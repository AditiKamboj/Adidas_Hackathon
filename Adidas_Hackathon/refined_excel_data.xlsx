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My Notebooks\Solution_addidas\"/>
    </mc:Choice>
  </mc:AlternateContent>
  <xr:revisionPtr revIDLastSave="0" documentId="13_ncr:1_{396B2BEF-4485-4C9A-860A-718E826CB9CF}" xr6:coauthVersionLast="47" xr6:coauthVersionMax="47" xr10:uidLastSave="{00000000-0000-0000-0000-000000000000}"/>
  <bookViews>
    <workbookView xWindow="23125" yWindow="-3679" windowWidth="23451" windowHeight="12561" tabRatio="753" activeTab="6" xr2:uid="{00000000-000D-0000-FFFF-FFFF00000000}"/>
  </bookViews>
  <sheets>
    <sheet name="all_data" sheetId="1" r:id="rId1"/>
    <sheet name="female_football" sheetId="7" r:id="rId2"/>
    <sheet name="male_football" sheetId="6" r:id="rId3"/>
    <sheet name="female_running" sheetId="3" r:id="rId4"/>
    <sheet name="male_running" sheetId="2" r:id="rId5"/>
    <sheet name="male_basketball" sheetId="4" r:id="rId6"/>
    <sheet name="female_basketball" sheetId="5" r:id="rId7"/>
  </sheets>
  <definedNames>
    <definedName name="_xlnm._FilterDatabase" localSheetId="0" hidden="1">all_data!$A$1:$O$2396</definedName>
    <definedName name="_xlnm._FilterDatabase" localSheetId="6" hidden="1">female_basketball!$A$1:$Q$261</definedName>
    <definedName name="_xlnm._FilterDatabase" localSheetId="1" hidden="1">female_football!$A$1:$Q$56</definedName>
    <definedName name="_xlnm._FilterDatabase" localSheetId="3" hidden="1">female_running!$A$1:$Q$428</definedName>
    <definedName name="_xlnm._FilterDatabase" localSheetId="5" hidden="1">male_basketball!$A$1:$Q$731</definedName>
    <definedName name="_xlnm._FilterDatabase" localSheetId="2" hidden="1">male_football!$A$1:$Q$105</definedName>
    <definedName name="_xlnm._FilterDatabase" localSheetId="4" hidden="1">male_running!$A$1:$Q$820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7" l="1"/>
  <c r="Q4" i="7"/>
  <c r="Q5" i="7"/>
  <c r="Q6" i="7"/>
  <c r="Q7" i="7"/>
  <c r="Q8" i="7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2" i="7"/>
  <c r="Q3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3" i="6"/>
  <c r="Q34" i="6"/>
  <c r="Q35" i="6"/>
  <c r="Q36" i="6"/>
  <c r="Q37" i="6"/>
  <c r="Q38" i="6"/>
  <c r="Q39" i="6"/>
  <c r="Q40" i="6"/>
  <c r="Q41" i="6"/>
  <c r="Q42" i="6"/>
  <c r="Q43" i="6"/>
  <c r="Q44" i="6"/>
  <c r="Q45" i="6"/>
  <c r="Q46" i="6"/>
  <c r="Q47" i="6"/>
  <c r="Q48" i="6"/>
  <c r="Q49" i="6"/>
  <c r="Q50" i="6"/>
  <c r="Q51" i="6"/>
  <c r="Q52" i="6"/>
  <c r="Q53" i="6"/>
  <c r="Q54" i="6"/>
  <c r="Q55" i="6"/>
  <c r="Q56" i="6"/>
  <c r="Q57" i="6"/>
  <c r="Q58" i="6"/>
  <c r="Q59" i="6"/>
  <c r="Q60" i="6"/>
  <c r="Q61" i="6"/>
  <c r="Q62" i="6"/>
  <c r="Q63" i="6"/>
  <c r="Q64" i="6"/>
  <c r="Q65" i="6"/>
  <c r="Q66" i="6"/>
  <c r="Q67" i="6"/>
  <c r="Q68" i="6"/>
  <c r="Q69" i="6"/>
  <c r="Q70" i="6"/>
  <c r="Q71" i="6"/>
  <c r="Q72" i="6"/>
  <c r="Q73" i="6"/>
  <c r="Q74" i="6"/>
  <c r="Q75" i="6"/>
  <c r="Q76" i="6"/>
  <c r="Q77" i="6"/>
  <c r="Q78" i="6"/>
  <c r="Q79" i="6"/>
  <c r="Q80" i="6"/>
  <c r="Q81" i="6"/>
  <c r="Q82" i="6"/>
  <c r="Q83" i="6"/>
  <c r="Q84" i="6"/>
  <c r="Q85" i="6"/>
  <c r="Q86" i="6"/>
  <c r="Q87" i="6"/>
  <c r="Q88" i="6"/>
  <c r="Q89" i="6"/>
  <c r="Q90" i="6"/>
  <c r="Q91" i="6"/>
  <c r="Q92" i="6"/>
  <c r="Q93" i="6"/>
  <c r="Q94" i="6"/>
  <c r="Q95" i="6"/>
  <c r="Q96" i="6"/>
  <c r="Q97" i="6"/>
  <c r="Q98" i="6"/>
  <c r="Q99" i="6"/>
  <c r="Q100" i="6"/>
  <c r="Q101" i="6"/>
  <c r="Q102" i="6"/>
  <c r="Q103" i="6"/>
  <c r="Q104" i="6"/>
  <c r="Q105" i="6"/>
  <c r="Q2" i="6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2" i="6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2" i="2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189" i="2"/>
  <c r="P190" i="2"/>
  <c r="P191" i="2"/>
  <c r="P192" i="2"/>
  <c r="P193" i="2"/>
  <c r="P194" i="2"/>
  <c r="P195" i="2"/>
  <c r="P196" i="2"/>
  <c r="P197" i="2"/>
  <c r="P198" i="2"/>
  <c r="P199" i="2"/>
  <c r="P200" i="2"/>
  <c r="P201" i="2"/>
  <c r="P202" i="2"/>
  <c r="P203" i="2"/>
  <c r="P204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40" i="2"/>
  <c r="P241" i="2"/>
  <c r="P242" i="2"/>
  <c r="P243" i="2"/>
  <c r="P244" i="2"/>
  <c r="P245" i="2"/>
  <c r="P246" i="2"/>
  <c r="P247" i="2"/>
  <c r="P248" i="2"/>
  <c r="P249" i="2"/>
  <c r="P250" i="2"/>
  <c r="P251" i="2"/>
  <c r="P252" i="2"/>
  <c r="P253" i="2"/>
  <c r="P254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57" i="2"/>
  <c r="P358" i="2"/>
  <c r="P359" i="2"/>
  <c r="P360" i="2"/>
  <c r="P361" i="2"/>
  <c r="P362" i="2"/>
  <c r="P363" i="2"/>
  <c r="P364" i="2"/>
  <c r="P365" i="2"/>
  <c r="P366" i="2"/>
  <c r="P367" i="2"/>
  <c r="P368" i="2"/>
  <c r="P369" i="2"/>
  <c r="P370" i="2"/>
  <c r="P371" i="2"/>
  <c r="P372" i="2"/>
  <c r="P373" i="2"/>
  <c r="P374" i="2"/>
  <c r="P375" i="2"/>
  <c r="P376" i="2"/>
  <c r="P377" i="2"/>
  <c r="P378" i="2"/>
  <c r="P379" i="2"/>
  <c r="P380" i="2"/>
  <c r="P381" i="2"/>
  <c r="P382" i="2"/>
  <c r="P383" i="2"/>
  <c r="P384" i="2"/>
  <c r="P385" i="2"/>
  <c r="P386" i="2"/>
  <c r="P387" i="2"/>
  <c r="P388" i="2"/>
  <c r="P389" i="2"/>
  <c r="P390" i="2"/>
  <c r="P391" i="2"/>
  <c r="P392" i="2"/>
  <c r="P393" i="2"/>
  <c r="P394" i="2"/>
  <c r="P395" i="2"/>
  <c r="P396" i="2"/>
  <c r="P397" i="2"/>
  <c r="P398" i="2"/>
  <c r="P399" i="2"/>
  <c r="P400" i="2"/>
  <c r="P401" i="2"/>
  <c r="P402" i="2"/>
  <c r="P403" i="2"/>
  <c r="P404" i="2"/>
  <c r="P405" i="2"/>
  <c r="P406" i="2"/>
  <c r="P407" i="2"/>
  <c r="P408" i="2"/>
  <c r="P409" i="2"/>
  <c r="P410" i="2"/>
  <c r="P411" i="2"/>
  <c r="P412" i="2"/>
  <c r="P413" i="2"/>
  <c r="P414" i="2"/>
  <c r="P415" i="2"/>
  <c r="P416" i="2"/>
  <c r="P417" i="2"/>
  <c r="P418" i="2"/>
  <c r="P419" i="2"/>
  <c r="P420" i="2"/>
  <c r="P421" i="2"/>
  <c r="P422" i="2"/>
  <c r="P423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41" i="2"/>
  <c r="P442" i="2"/>
  <c r="P443" i="2"/>
  <c r="P444" i="2"/>
  <c r="P445" i="2"/>
  <c r="P446" i="2"/>
  <c r="P447" i="2"/>
  <c r="P448" i="2"/>
  <c r="P449" i="2"/>
  <c r="P450" i="2"/>
  <c r="P451" i="2"/>
  <c r="P452" i="2"/>
  <c r="P453" i="2"/>
  <c r="P454" i="2"/>
  <c r="P455" i="2"/>
  <c r="P456" i="2"/>
  <c r="P457" i="2"/>
  <c r="P458" i="2"/>
  <c r="P459" i="2"/>
  <c r="P460" i="2"/>
  <c r="P461" i="2"/>
  <c r="P462" i="2"/>
  <c r="P463" i="2"/>
  <c r="P464" i="2"/>
  <c r="P465" i="2"/>
  <c r="P466" i="2"/>
  <c r="P467" i="2"/>
  <c r="P468" i="2"/>
  <c r="P469" i="2"/>
  <c r="P470" i="2"/>
  <c r="P471" i="2"/>
  <c r="P472" i="2"/>
  <c r="P473" i="2"/>
  <c r="P474" i="2"/>
  <c r="P475" i="2"/>
  <c r="P476" i="2"/>
  <c r="P477" i="2"/>
  <c r="P478" i="2"/>
  <c r="P479" i="2"/>
  <c r="P480" i="2"/>
  <c r="P481" i="2"/>
  <c r="P482" i="2"/>
  <c r="P483" i="2"/>
  <c r="P484" i="2"/>
  <c r="P485" i="2"/>
  <c r="P486" i="2"/>
  <c r="P487" i="2"/>
  <c r="P488" i="2"/>
  <c r="P489" i="2"/>
  <c r="P490" i="2"/>
  <c r="P491" i="2"/>
  <c r="P492" i="2"/>
  <c r="P493" i="2"/>
  <c r="P494" i="2"/>
  <c r="P495" i="2"/>
  <c r="P496" i="2"/>
  <c r="P497" i="2"/>
  <c r="P498" i="2"/>
  <c r="P499" i="2"/>
  <c r="P500" i="2"/>
  <c r="P501" i="2"/>
  <c r="P502" i="2"/>
  <c r="P503" i="2"/>
  <c r="P504" i="2"/>
  <c r="P505" i="2"/>
  <c r="P506" i="2"/>
  <c r="P507" i="2"/>
  <c r="P508" i="2"/>
  <c r="P509" i="2"/>
  <c r="P510" i="2"/>
  <c r="P511" i="2"/>
  <c r="P512" i="2"/>
  <c r="P513" i="2"/>
  <c r="P514" i="2"/>
  <c r="P515" i="2"/>
  <c r="P516" i="2"/>
  <c r="P517" i="2"/>
  <c r="P518" i="2"/>
  <c r="P519" i="2"/>
  <c r="P520" i="2"/>
  <c r="P521" i="2"/>
  <c r="P522" i="2"/>
  <c r="P523" i="2"/>
  <c r="P524" i="2"/>
  <c r="P525" i="2"/>
  <c r="P526" i="2"/>
  <c r="P527" i="2"/>
  <c r="P528" i="2"/>
  <c r="P529" i="2"/>
  <c r="P530" i="2"/>
  <c r="P531" i="2"/>
  <c r="P532" i="2"/>
  <c r="P533" i="2"/>
  <c r="P534" i="2"/>
  <c r="P535" i="2"/>
  <c r="P536" i="2"/>
  <c r="P537" i="2"/>
  <c r="P538" i="2"/>
  <c r="P539" i="2"/>
  <c r="P540" i="2"/>
  <c r="P541" i="2"/>
  <c r="P542" i="2"/>
  <c r="P543" i="2"/>
  <c r="P544" i="2"/>
  <c r="P545" i="2"/>
  <c r="P546" i="2"/>
  <c r="P547" i="2"/>
  <c r="P548" i="2"/>
  <c r="P549" i="2"/>
  <c r="P550" i="2"/>
  <c r="P551" i="2"/>
  <c r="P552" i="2"/>
  <c r="P553" i="2"/>
  <c r="P554" i="2"/>
  <c r="P555" i="2"/>
  <c r="P556" i="2"/>
  <c r="P557" i="2"/>
  <c r="P558" i="2"/>
  <c r="P559" i="2"/>
  <c r="P560" i="2"/>
  <c r="P561" i="2"/>
  <c r="P562" i="2"/>
  <c r="P563" i="2"/>
  <c r="P564" i="2"/>
  <c r="P565" i="2"/>
  <c r="P566" i="2"/>
  <c r="P567" i="2"/>
  <c r="P568" i="2"/>
  <c r="P569" i="2"/>
  <c r="P570" i="2"/>
  <c r="P571" i="2"/>
  <c r="P572" i="2"/>
  <c r="P573" i="2"/>
  <c r="P574" i="2"/>
  <c r="P575" i="2"/>
  <c r="P576" i="2"/>
  <c r="P577" i="2"/>
  <c r="P578" i="2"/>
  <c r="P579" i="2"/>
  <c r="P580" i="2"/>
  <c r="P581" i="2"/>
  <c r="P582" i="2"/>
  <c r="P583" i="2"/>
  <c r="P584" i="2"/>
  <c r="P585" i="2"/>
  <c r="P586" i="2"/>
  <c r="P587" i="2"/>
  <c r="P588" i="2"/>
  <c r="P589" i="2"/>
  <c r="P590" i="2"/>
  <c r="P591" i="2"/>
  <c r="P592" i="2"/>
  <c r="P593" i="2"/>
  <c r="P594" i="2"/>
  <c r="P595" i="2"/>
  <c r="P596" i="2"/>
  <c r="P597" i="2"/>
  <c r="P598" i="2"/>
  <c r="P599" i="2"/>
  <c r="P600" i="2"/>
  <c r="P601" i="2"/>
  <c r="P602" i="2"/>
  <c r="P603" i="2"/>
  <c r="P604" i="2"/>
  <c r="P605" i="2"/>
  <c r="P606" i="2"/>
  <c r="P607" i="2"/>
  <c r="P608" i="2"/>
  <c r="P609" i="2"/>
  <c r="P610" i="2"/>
  <c r="P611" i="2"/>
  <c r="P612" i="2"/>
  <c r="P613" i="2"/>
  <c r="P614" i="2"/>
  <c r="P615" i="2"/>
  <c r="P616" i="2"/>
  <c r="P617" i="2"/>
  <c r="P618" i="2"/>
  <c r="P619" i="2"/>
  <c r="P620" i="2"/>
  <c r="P621" i="2"/>
  <c r="P622" i="2"/>
  <c r="P623" i="2"/>
  <c r="P624" i="2"/>
  <c r="P625" i="2"/>
  <c r="P626" i="2"/>
  <c r="P627" i="2"/>
  <c r="P628" i="2"/>
  <c r="P629" i="2"/>
  <c r="P630" i="2"/>
  <c r="P631" i="2"/>
  <c r="P632" i="2"/>
  <c r="P633" i="2"/>
  <c r="P634" i="2"/>
  <c r="P635" i="2"/>
  <c r="P636" i="2"/>
  <c r="P637" i="2"/>
  <c r="P638" i="2"/>
  <c r="P639" i="2"/>
  <c r="P640" i="2"/>
  <c r="P641" i="2"/>
  <c r="P642" i="2"/>
  <c r="P643" i="2"/>
  <c r="P644" i="2"/>
  <c r="P645" i="2"/>
  <c r="P646" i="2"/>
  <c r="P647" i="2"/>
  <c r="P648" i="2"/>
  <c r="P649" i="2"/>
  <c r="P650" i="2"/>
  <c r="P651" i="2"/>
  <c r="P652" i="2"/>
  <c r="P653" i="2"/>
  <c r="P654" i="2"/>
  <c r="P655" i="2"/>
  <c r="P656" i="2"/>
  <c r="P657" i="2"/>
  <c r="P658" i="2"/>
  <c r="P659" i="2"/>
  <c r="P660" i="2"/>
  <c r="P661" i="2"/>
  <c r="P662" i="2"/>
  <c r="P663" i="2"/>
  <c r="P664" i="2"/>
  <c r="P665" i="2"/>
  <c r="P666" i="2"/>
  <c r="P667" i="2"/>
  <c r="P668" i="2"/>
  <c r="P669" i="2"/>
  <c r="P670" i="2"/>
  <c r="P671" i="2"/>
  <c r="P672" i="2"/>
  <c r="P673" i="2"/>
  <c r="P674" i="2"/>
  <c r="P675" i="2"/>
  <c r="P676" i="2"/>
  <c r="P677" i="2"/>
  <c r="P678" i="2"/>
  <c r="P679" i="2"/>
  <c r="P680" i="2"/>
  <c r="P681" i="2"/>
  <c r="P682" i="2"/>
  <c r="P683" i="2"/>
  <c r="P684" i="2"/>
  <c r="P685" i="2"/>
  <c r="P686" i="2"/>
  <c r="P687" i="2"/>
  <c r="P688" i="2"/>
  <c r="P689" i="2"/>
  <c r="P690" i="2"/>
  <c r="P691" i="2"/>
  <c r="P692" i="2"/>
  <c r="P693" i="2"/>
  <c r="P694" i="2"/>
  <c r="P695" i="2"/>
  <c r="P696" i="2"/>
  <c r="P697" i="2"/>
  <c r="P698" i="2"/>
  <c r="P699" i="2"/>
  <c r="P700" i="2"/>
  <c r="P701" i="2"/>
  <c r="P702" i="2"/>
  <c r="P703" i="2"/>
  <c r="P704" i="2"/>
  <c r="P705" i="2"/>
  <c r="P706" i="2"/>
  <c r="P707" i="2"/>
  <c r="P708" i="2"/>
  <c r="P709" i="2"/>
  <c r="P710" i="2"/>
  <c r="P711" i="2"/>
  <c r="P712" i="2"/>
  <c r="P713" i="2"/>
  <c r="P714" i="2"/>
  <c r="P715" i="2"/>
  <c r="P716" i="2"/>
  <c r="P717" i="2"/>
  <c r="P718" i="2"/>
  <c r="P719" i="2"/>
  <c r="P720" i="2"/>
  <c r="P721" i="2"/>
  <c r="P722" i="2"/>
  <c r="P723" i="2"/>
  <c r="P724" i="2"/>
  <c r="P725" i="2"/>
  <c r="P726" i="2"/>
  <c r="P727" i="2"/>
  <c r="P728" i="2"/>
  <c r="P729" i="2"/>
  <c r="P730" i="2"/>
  <c r="P731" i="2"/>
  <c r="P732" i="2"/>
  <c r="P733" i="2"/>
  <c r="P734" i="2"/>
  <c r="P735" i="2"/>
  <c r="P736" i="2"/>
  <c r="P737" i="2"/>
  <c r="P738" i="2"/>
  <c r="P739" i="2"/>
  <c r="P740" i="2"/>
  <c r="P741" i="2"/>
  <c r="P742" i="2"/>
  <c r="P743" i="2"/>
  <c r="P744" i="2"/>
  <c r="P745" i="2"/>
  <c r="P746" i="2"/>
  <c r="P747" i="2"/>
  <c r="P748" i="2"/>
  <c r="P749" i="2"/>
  <c r="P750" i="2"/>
  <c r="P751" i="2"/>
  <c r="P752" i="2"/>
  <c r="P753" i="2"/>
  <c r="P754" i="2"/>
  <c r="P755" i="2"/>
  <c r="P756" i="2"/>
  <c r="P757" i="2"/>
  <c r="P758" i="2"/>
  <c r="P759" i="2"/>
  <c r="P760" i="2"/>
  <c r="P761" i="2"/>
  <c r="P762" i="2"/>
  <c r="P763" i="2"/>
  <c r="P764" i="2"/>
  <c r="P765" i="2"/>
  <c r="P766" i="2"/>
  <c r="P767" i="2"/>
  <c r="P768" i="2"/>
  <c r="P769" i="2"/>
  <c r="P770" i="2"/>
  <c r="P771" i="2"/>
  <c r="P772" i="2"/>
  <c r="P773" i="2"/>
  <c r="P774" i="2"/>
  <c r="P775" i="2"/>
  <c r="P776" i="2"/>
  <c r="P777" i="2"/>
  <c r="P778" i="2"/>
  <c r="P779" i="2"/>
  <c r="P780" i="2"/>
  <c r="P781" i="2"/>
  <c r="P782" i="2"/>
  <c r="P783" i="2"/>
  <c r="P784" i="2"/>
  <c r="P785" i="2"/>
  <c r="P786" i="2"/>
  <c r="P787" i="2"/>
  <c r="P788" i="2"/>
  <c r="P789" i="2"/>
  <c r="P790" i="2"/>
  <c r="P791" i="2"/>
  <c r="P792" i="2"/>
  <c r="P793" i="2"/>
  <c r="P794" i="2"/>
  <c r="P795" i="2"/>
  <c r="P796" i="2"/>
  <c r="P797" i="2"/>
  <c r="P798" i="2"/>
  <c r="P799" i="2"/>
  <c r="P800" i="2"/>
  <c r="P801" i="2"/>
  <c r="P802" i="2"/>
  <c r="P803" i="2"/>
  <c r="P804" i="2"/>
  <c r="P805" i="2"/>
  <c r="P806" i="2"/>
  <c r="P807" i="2"/>
  <c r="P808" i="2"/>
  <c r="P809" i="2"/>
  <c r="P810" i="2"/>
  <c r="P811" i="2"/>
  <c r="P812" i="2"/>
  <c r="P813" i="2"/>
  <c r="P814" i="2"/>
  <c r="P815" i="2"/>
  <c r="P816" i="2"/>
  <c r="P817" i="2"/>
  <c r="P818" i="2"/>
  <c r="P819" i="2"/>
  <c r="P820" i="2"/>
  <c r="P2" i="2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2" i="3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4" i="4"/>
  <c r="Q25" i="4"/>
  <c r="Q26" i="4"/>
  <c r="Q27" i="4"/>
  <c r="Q28" i="4"/>
  <c r="Q29" i="4"/>
  <c r="Q30" i="4"/>
  <c r="Q31" i="4"/>
  <c r="Q32" i="4"/>
  <c r="Q33" i="4"/>
  <c r="Q34" i="4"/>
  <c r="Q35" i="4"/>
  <c r="Q36" i="4"/>
  <c r="Q37" i="4"/>
  <c r="Q38" i="4"/>
  <c r="Q39" i="4"/>
  <c r="Q40" i="4"/>
  <c r="Q41" i="4"/>
  <c r="Q42" i="4"/>
  <c r="Q43" i="4"/>
  <c r="Q44" i="4"/>
  <c r="Q45" i="4"/>
  <c r="Q46" i="4"/>
  <c r="Q47" i="4"/>
  <c r="Q48" i="4"/>
  <c r="Q49" i="4"/>
  <c r="Q50" i="4"/>
  <c r="Q51" i="4"/>
  <c r="Q52" i="4"/>
  <c r="Q53" i="4"/>
  <c r="Q54" i="4"/>
  <c r="Q55" i="4"/>
  <c r="Q56" i="4"/>
  <c r="Q57" i="4"/>
  <c r="Q58" i="4"/>
  <c r="Q59" i="4"/>
  <c r="Q60" i="4"/>
  <c r="Q61" i="4"/>
  <c r="Q62" i="4"/>
  <c r="Q63" i="4"/>
  <c r="Q64" i="4"/>
  <c r="Q65" i="4"/>
  <c r="Q66" i="4"/>
  <c r="Q67" i="4"/>
  <c r="Q68" i="4"/>
  <c r="Q69" i="4"/>
  <c r="Q70" i="4"/>
  <c r="Q71" i="4"/>
  <c r="Q72" i="4"/>
  <c r="Q73" i="4"/>
  <c r="Q74" i="4"/>
  <c r="Q75" i="4"/>
  <c r="Q76" i="4"/>
  <c r="Q77" i="4"/>
  <c r="Q78" i="4"/>
  <c r="Q79" i="4"/>
  <c r="Q80" i="4"/>
  <c r="Q81" i="4"/>
  <c r="Q82" i="4"/>
  <c r="Q83" i="4"/>
  <c r="Q84" i="4"/>
  <c r="Q85" i="4"/>
  <c r="Q86" i="4"/>
  <c r="Q87" i="4"/>
  <c r="Q88" i="4"/>
  <c r="Q89" i="4"/>
  <c r="Q90" i="4"/>
  <c r="Q91" i="4"/>
  <c r="Q92" i="4"/>
  <c r="Q93" i="4"/>
  <c r="Q94" i="4"/>
  <c r="Q95" i="4"/>
  <c r="Q96" i="4"/>
  <c r="Q97" i="4"/>
  <c r="Q98" i="4"/>
  <c r="Q99" i="4"/>
  <c r="Q100" i="4"/>
  <c r="Q101" i="4"/>
  <c r="Q102" i="4"/>
  <c r="Q103" i="4"/>
  <c r="Q104" i="4"/>
  <c r="Q105" i="4"/>
  <c r="Q106" i="4"/>
  <c r="Q107" i="4"/>
  <c r="Q108" i="4"/>
  <c r="Q109" i="4"/>
  <c r="Q110" i="4"/>
  <c r="Q111" i="4"/>
  <c r="Q112" i="4"/>
  <c r="Q113" i="4"/>
  <c r="Q114" i="4"/>
  <c r="Q115" i="4"/>
  <c r="Q116" i="4"/>
  <c r="Q117" i="4"/>
  <c r="Q118" i="4"/>
  <c r="Q119" i="4"/>
  <c r="Q120" i="4"/>
  <c r="Q121" i="4"/>
  <c r="Q122" i="4"/>
  <c r="Q123" i="4"/>
  <c r="Q124" i="4"/>
  <c r="Q125" i="4"/>
  <c r="Q126" i="4"/>
  <c r="Q127" i="4"/>
  <c r="Q128" i="4"/>
  <c r="Q129" i="4"/>
  <c r="Q130" i="4"/>
  <c r="Q131" i="4"/>
  <c r="Q132" i="4"/>
  <c r="Q133" i="4"/>
  <c r="Q134" i="4"/>
  <c r="Q135" i="4"/>
  <c r="Q136" i="4"/>
  <c r="Q137" i="4"/>
  <c r="Q138" i="4"/>
  <c r="Q139" i="4"/>
  <c r="Q140" i="4"/>
  <c r="Q141" i="4"/>
  <c r="Q142" i="4"/>
  <c r="Q143" i="4"/>
  <c r="Q144" i="4"/>
  <c r="Q145" i="4"/>
  <c r="Q146" i="4"/>
  <c r="Q147" i="4"/>
  <c r="Q148" i="4"/>
  <c r="Q149" i="4"/>
  <c r="Q150" i="4"/>
  <c r="Q151" i="4"/>
  <c r="Q152" i="4"/>
  <c r="Q153" i="4"/>
  <c r="Q154" i="4"/>
  <c r="Q155" i="4"/>
  <c r="Q156" i="4"/>
  <c r="Q157" i="4"/>
  <c r="Q158" i="4"/>
  <c r="Q159" i="4"/>
  <c r="Q160" i="4"/>
  <c r="Q161" i="4"/>
  <c r="Q162" i="4"/>
  <c r="Q163" i="4"/>
  <c r="Q164" i="4"/>
  <c r="Q165" i="4"/>
  <c r="Q166" i="4"/>
  <c r="Q167" i="4"/>
  <c r="Q168" i="4"/>
  <c r="Q169" i="4"/>
  <c r="Q170" i="4"/>
  <c r="Q171" i="4"/>
  <c r="Q172" i="4"/>
  <c r="Q173" i="4"/>
  <c r="Q174" i="4"/>
  <c r="Q175" i="4"/>
  <c r="Q176" i="4"/>
  <c r="Q177" i="4"/>
  <c r="Q178" i="4"/>
  <c r="Q179" i="4"/>
  <c r="Q180" i="4"/>
  <c r="Q181" i="4"/>
  <c r="Q182" i="4"/>
  <c r="Q183" i="4"/>
  <c r="Q184" i="4"/>
  <c r="Q185" i="4"/>
  <c r="Q186" i="4"/>
  <c r="Q187" i="4"/>
  <c r="Q188" i="4"/>
  <c r="Q189" i="4"/>
  <c r="Q190" i="4"/>
  <c r="Q191" i="4"/>
  <c r="Q192" i="4"/>
  <c r="Q193" i="4"/>
  <c r="Q194" i="4"/>
  <c r="Q195" i="4"/>
  <c r="Q196" i="4"/>
  <c r="Q197" i="4"/>
  <c r="Q198" i="4"/>
  <c r="Q199" i="4"/>
  <c r="Q200" i="4"/>
  <c r="Q201" i="4"/>
  <c r="Q202" i="4"/>
  <c r="Q203" i="4"/>
  <c r="Q204" i="4"/>
  <c r="Q205" i="4"/>
  <c r="Q206" i="4"/>
  <c r="Q207" i="4"/>
  <c r="Q208" i="4"/>
  <c r="Q209" i="4"/>
  <c r="Q210" i="4"/>
  <c r="Q211" i="4"/>
  <c r="Q212" i="4"/>
  <c r="Q213" i="4"/>
  <c r="Q214" i="4"/>
  <c r="Q215" i="4"/>
  <c r="Q216" i="4"/>
  <c r="Q217" i="4"/>
  <c r="Q218" i="4"/>
  <c r="Q219" i="4"/>
  <c r="Q220" i="4"/>
  <c r="Q221" i="4"/>
  <c r="Q222" i="4"/>
  <c r="Q223" i="4"/>
  <c r="Q224" i="4"/>
  <c r="Q225" i="4"/>
  <c r="Q226" i="4"/>
  <c r="Q227" i="4"/>
  <c r="Q228" i="4"/>
  <c r="Q229" i="4"/>
  <c r="Q230" i="4"/>
  <c r="Q231" i="4"/>
  <c r="Q232" i="4"/>
  <c r="Q233" i="4"/>
  <c r="Q234" i="4"/>
  <c r="Q235" i="4"/>
  <c r="Q236" i="4"/>
  <c r="Q237" i="4"/>
  <c r="Q238" i="4"/>
  <c r="Q239" i="4"/>
  <c r="Q240" i="4"/>
  <c r="Q241" i="4"/>
  <c r="Q242" i="4"/>
  <c r="Q243" i="4"/>
  <c r="Q244" i="4"/>
  <c r="Q245" i="4"/>
  <c r="Q246" i="4"/>
  <c r="Q247" i="4"/>
  <c r="Q248" i="4"/>
  <c r="Q249" i="4"/>
  <c r="Q250" i="4"/>
  <c r="Q251" i="4"/>
  <c r="Q252" i="4"/>
  <c r="Q253" i="4"/>
  <c r="Q254" i="4"/>
  <c r="Q255" i="4"/>
  <c r="Q256" i="4"/>
  <c r="Q257" i="4"/>
  <c r="Q258" i="4"/>
  <c r="Q259" i="4"/>
  <c r="Q260" i="4"/>
  <c r="Q261" i="4"/>
  <c r="Q262" i="4"/>
  <c r="Q263" i="4"/>
  <c r="Q264" i="4"/>
  <c r="Q265" i="4"/>
  <c r="Q266" i="4"/>
  <c r="Q267" i="4"/>
  <c r="Q268" i="4"/>
  <c r="Q269" i="4"/>
  <c r="Q270" i="4"/>
  <c r="Q271" i="4"/>
  <c r="Q272" i="4"/>
  <c r="Q273" i="4"/>
  <c r="Q274" i="4"/>
  <c r="Q275" i="4"/>
  <c r="Q276" i="4"/>
  <c r="Q277" i="4"/>
  <c r="Q278" i="4"/>
  <c r="Q279" i="4"/>
  <c r="Q280" i="4"/>
  <c r="Q281" i="4"/>
  <c r="Q282" i="4"/>
  <c r="Q283" i="4"/>
  <c r="Q284" i="4"/>
  <c r="Q285" i="4"/>
  <c r="Q286" i="4"/>
  <c r="Q287" i="4"/>
  <c r="Q288" i="4"/>
  <c r="Q289" i="4"/>
  <c r="Q290" i="4"/>
  <c r="Q291" i="4"/>
  <c r="Q292" i="4"/>
  <c r="Q293" i="4"/>
  <c r="Q294" i="4"/>
  <c r="Q295" i="4"/>
  <c r="Q296" i="4"/>
  <c r="Q297" i="4"/>
  <c r="Q298" i="4"/>
  <c r="Q299" i="4"/>
  <c r="Q300" i="4"/>
  <c r="Q301" i="4"/>
  <c r="Q302" i="4"/>
  <c r="Q303" i="4"/>
  <c r="Q304" i="4"/>
  <c r="Q305" i="4"/>
  <c r="Q306" i="4"/>
  <c r="Q307" i="4"/>
  <c r="Q308" i="4"/>
  <c r="Q309" i="4"/>
  <c r="Q310" i="4"/>
  <c r="Q311" i="4"/>
  <c r="Q312" i="4"/>
  <c r="Q313" i="4"/>
  <c r="Q314" i="4"/>
  <c r="Q315" i="4"/>
  <c r="Q316" i="4"/>
  <c r="Q317" i="4"/>
  <c r="Q318" i="4"/>
  <c r="Q319" i="4"/>
  <c r="Q320" i="4"/>
  <c r="Q321" i="4"/>
  <c r="Q322" i="4"/>
  <c r="Q323" i="4"/>
  <c r="Q324" i="4"/>
  <c r="Q325" i="4"/>
  <c r="Q326" i="4"/>
  <c r="Q327" i="4"/>
  <c r="Q328" i="4"/>
  <c r="Q329" i="4"/>
  <c r="Q330" i="4"/>
  <c r="Q331" i="4"/>
  <c r="Q332" i="4"/>
  <c r="Q333" i="4"/>
  <c r="Q334" i="4"/>
  <c r="Q335" i="4"/>
  <c r="Q336" i="4"/>
  <c r="Q337" i="4"/>
  <c r="Q338" i="4"/>
  <c r="Q339" i="4"/>
  <c r="Q340" i="4"/>
  <c r="Q341" i="4"/>
  <c r="Q342" i="4"/>
  <c r="Q343" i="4"/>
  <c r="Q344" i="4"/>
  <c r="Q345" i="4"/>
  <c r="Q346" i="4"/>
  <c r="Q347" i="4"/>
  <c r="Q348" i="4"/>
  <c r="Q349" i="4"/>
  <c r="Q350" i="4"/>
  <c r="Q351" i="4"/>
  <c r="Q352" i="4"/>
  <c r="Q353" i="4"/>
  <c r="Q354" i="4"/>
  <c r="Q355" i="4"/>
  <c r="Q356" i="4"/>
  <c r="Q357" i="4"/>
  <c r="Q358" i="4"/>
  <c r="Q359" i="4"/>
  <c r="Q360" i="4"/>
  <c r="Q361" i="4"/>
  <c r="Q362" i="4"/>
  <c r="Q363" i="4"/>
  <c r="Q364" i="4"/>
  <c r="Q365" i="4"/>
  <c r="Q366" i="4"/>
  <c r="Q367" i="4"/>
  <c r="Q368" i="4"/>
  <c r="Q369" i="4"/>
  <c r="Q370" i="4"/>
  <c r="Q371" i="4"/>
  <c r="Q372" i="4"/>
  <c r="Q373" i="4"/>
  <c r="Q374" i="4"/>
  <c r="Q375" i="4"/>
  <c r="Q376" i="4"/>
  <c r="Q377" i="4"/>
  <c r="Q378" i="4"/>
  <c r="Q379" i="4"/>
  <c r="Q380" i="4"/>
  <c r="Q381" i="4"/>
  <c r="Q382" i="4"/>
  <c r="Q383" i="4"/>
  <c r="Q384" i="4"/>
  <c r="Q385" i="4"/>
  <c r="Q386" i="4"/>
  <c r="Q387" i="4"/>
  <c r="Q388" i="4"/>
  <c r="Q389" i="4"/>
  <c r="Q390" i="4"/>
  <c r="Q391" i="4"/>
  <c r="Q392" i="4"/>
  <c r="Q393" i="4"/>
  <c r="Q394" i="4"/>
  <c r="Q395" i="4"/>
  <c r="Q396" i="4"/>
  <c r="Q397" i="4"/>
  <c r="Q398" i="4"/>
  <c r="Q399" i="4"/>
  <c r="Q400" i="4"/>
  <c r="Q401" i="4"/>
  <c r="Q402" i="4"/>
  <c r="Q403" i="4"/>
  <c r="Q404" i="4"/>
  <c r="Q405" i="4"/>
  <c r="Q406" i="4"/>
  <c r="Q407" i="4"/>
  <c r="Q408" i="4"/>
  <c r="Q409" i="4"/>
  <c r="Q410" i="4"/>
  <c r="Q411" i="4"/>
  <c r="Q412" i="4"/>
  <c r="Q413" i="4"/>
  <c r="Q414" i="4"/>
  <c r="Q415" i="4"/>
  <c r="Q416" i="4"/>
  <c r="Q417" i="4"/>
  <c r="Q418" i="4"/>
  <c r="Q419" i="4"/>
  <c r="Q420" i="4"/>
  <c r="Q421" i="4"/>
  <c r="Q422" i="4"/>
  <c r="Q423" i="4"/>
  <c r="Q424" i="4"/>
  <c r="Q425" i="4"/>
  <c r="Q426" i="4"/>
  <c r="Q427" i="4"/>
  <c r="Q428" i="4"/>
  <c r="Q429" i="4"/>
  <c r="Q430" i="4"/>
  <c r="Q431" i="4"/>
  <c r="Q432" i="4"/>
  <c r="Q433" i="4"/>
  <c r="Q434" i="4"/>
  <c r="Q435" i="4"/>
  <c r="Q436" i="4"/>
  <c r="Q437" i="4"/>
  <c r="Q438" i="4"/>
  <c r="Q439" i="4"/>
  <c r="Q440" i="4"/>
  <c r="Q441" i="4"/>
  <c r="Q442" i="4"/>
  <c r="Q443" i="4"/>
  <c r="Q444" i="4"/>
  <c r="Q445" i="4"/>
  <c r="Q446" i="4"/>
  <c r="Q447" i="4"/>
  <c r="Q448" i="4"/>
  <c r="Q449" i="4"/>
  <c r="Q450" i="4"/>
  <c r="Q451" i="4"/>
  <c r="Q452" i="4"/>
  <c r="Q453" i="4"/>
  <c r="Q454" i="4"/>
  <c r="Q455" i="4"/>
  <c r="Q456" i="4"/>
  <c r="Q457" i="4"/>
  <c r="Q458" i="4"/>
  <c r="Q459" i="4"/>
  <c r="Q460" i="4"/>
  <c r="Q461" i="4"/>
  <c r="Q462" i="4"/>
  <c r="Q463" i="4"/>
  <c r="Q464" i="4"/>
  <c r="Q465" i="4"/>
  <c r="Q466" i="4"/>
  <c r="Q467" i="4"/>
  <c r="Q468" i="4"/>
  <c r="Q469" i="4"/>
  <c r="Q470" i="4"/>
  <c r="Q471" i="4"/>
  <c r="Q472" i="4"/>
  <c r="Q473" i="4"/>
  <c r="Q474" i="4"/>
  <c r="Q475" i="4"/>
  <c r="Q476" i="4"/>
  <c r="Q477" i="4"/>
  <c r="Q478" i="4"/>
  <c r="Q479" i="4"/>
  <c r="Q480" i="4"/>
  <c r="Q481" i="4"/>
  <c r="Q482" i="4"/>
  <c r="Q483" i="4"/>
  <c r="Q484" i="4"/>
  <c r="Q485" i="4"/>
  <c r="Q486" i="4"/>
  <c r="Q487" i="4"/>
  <c r="Q488" i="4"/>
  <c r="Q489" i="4"/>
  <c r="Q490" i="4"/>
  <c r="Q491" i="4"/>
  <c r="Q492" i="4"/>
  <c r="Q493" i="4"/>
  <c r="Q494" i="4"/>
  <c r="Q495" i="4"/>
  <c r="Q496" i="4"/>
  <c r="Q497" i="4"/>
  <c r="Q498" i="4"/>
  <c r="Q499" i="4"/>
  <c r="Q500" i="4"/>
  <c r="Q501" i="4"/>
  <c r="Q502" i="4"/>
  <c r="Q503" i="4"/>
  <c r="Q504" i="4"/>
  <c r="Q505" i="4"/>
  <c r="Q506" i="4"/>
  <c r="Q507" i="4"/>
  <c r="Q508" i="4"/>
  <c r="Q509" i="4"/>
  <c r="Q510" i="4"/>
  <c r="Q511" i="4"/>
  <c r="Q512" i="4"/>
  <c r="Q513" i="4"/>
  <c r="Q514" i="4"/>
  <c r="Q515" i="4"/>
  <c r="Q516" i="4"/>
  <c r="Q517" i="4"/>
  <c r="Q518" i="4"/>
  <c r="Q519" i="4"/>
  <c r="Q520" i="4"/>
  <c r="Q521" i="4"/>
  <c r="Q522" i="4"/>
  <c r="Q523" i="4"/>
  <c r="Q524" i="4"/>
  <c r="Q525" i="4"/>
  <c r="Q526" i="4"/>
  <c r="Q527" i="4"/>
  <c r="Q528" i="4"/>
  <c r="Q529" i="4"/>
  <c r="Q530" i="4"/>
  <c r="Q531" i="4"/>
  <c r="Q532" i="4"/>
  <c r="Q533" i="4"/>
  <c r="Q534" i="4"/>
  <c r="Q535" i="4"/>
  <c r="Q536" i="4"/>
  <c r="Q537" i="4"/>
  <c r="Q538" i="4"/>
  <c r="Q539" i="4"/>
  <c r="Q540" i="4"/>
  <c r="Q541" i="4"/>
  <c r="Q542" i="4"/>
  <c r="Q543" i="4"/>
  <c r="Q544" i="4"/>
  <c r="Q545" i="4"/>
  <c r="Q546" i="4"/>
  <c r="Q547" i="4"/>
  <c r="Q548" i="4"/>
  <c r="Q549" i="4"/>
  <c r="Q550" i="4"/>
  <c r="Q551" i="4"/>
  <c r="Q552" i="4"/>
  <c r="Q553" i="4"/>
  <c r="Q554" i="4"/>
  <c r="Q555" i="4"/>
  <c r="Q556" i="4"/>
  <c r="Q557" i="4"/>
  <c r="Q558" i="4"/>
  <c r="Q559" i="4"/>
  <c r="Q560" i="4"/>
  <c r="Q561" i="4"/>
  <c r="Q562" i="4"/>
  <c r="Q563" i="4"/>
  <c r="Q564" i="4"/>
  <c r="Q565" i="4"/>
  <c r="Q566" i="4"/>
  <c r="Q567" i="4"/>
  <c r="Q568" i="4"/>
  <c r="Q569" i="4"/>
  <c r="Q570" i="4"/>
  <c r="Q571" i="4"/>
  <c r="Q572" i="4"/>
  <c r="Q573" i="4"/>
  <c r="Q574" i="4"/>
  <c r="Q575" i="4"/>
  <c r="Q576" i="4"/>
  <c r="Q577" i="4"/>
  <c r="Q578" i="4"/>
  <c r="Q579" i="4"/>
  <c r="Q580" i="4"/>
  <c r="Q581" i="4"/>
  <c r="Q582" i="4"/>
  <c r="Q583" i="4"/>
  <c r="Q584" i="4"/>
  <c r="Q585" i="4"/>
  <c r="Q586" i="4"/>
  <c r="Q587" i="4"/>
  <c r="Q588" i="4"/>
  <c r="Q589" i="4"/>
  <c r="Q590" i="4"/>
  <c r="Q591" i="4"/>
  <c r="Q592" i="4"/>
  <c r="Q593" i="4"/>
  <c r="Q594" i="4"/>
  <c r="Q595" i="4"/>
  <c r="Q596" i="4"/>
  <c r="Q597" i="4"/>
  <c r="Q598" i="4"/>
  <c r="Q599" i="4"/>
  <c r="Q600" i="4"/>
  <c r="Q601" i="4"/>
  <c r="Q602" i="4"/>
  <c r="Q603" i="4"/>
  <c r="Q604" i="4"/>
  <c r="Q605" i="4"/>
  <c r="Q606" i="4"/>
  <c r="Q607" i="4"/>
  <c r="Q608" i="4"/>
  <c r="Q609" i="4"/>
  <c r="Q610" i="4"/>
  <c r="Q611" i="4"/>
  <c r="Q612" i="4"/>
  <c r="Q613" i="4"/>
  <c r="Q614" i="4"/>
  <c r="Q615" i="4"/>
  <c r="Q616" i="4"/>
  <c r="Q617" i="4"/>
  <c r="Q618" i="4"/>
  <c r="Q619" i="4"/>
  <c r="Q620" i="4"/>
  <c r="Q621" i="4"/>
  <c r="Q622" i="4"/>
  <c r="Q623" i="4"/>
  <c r="Q624" i="4"/>
  <c r="Q625" i="4"/>
  <c r="Q626" i="4"/>
  <c r="Q627" i="4"/>
  <c r="Q628" i="4"/>
  <c r="Q629" i="4"/>
  <c r="Q630" i="4"/>
  <c r="Q631" i="4"/>
  <c r="Q632" i="4"/>
  <c r="Q633" i="4"/>
  <c r="Q634" i="4"/>
  <c r="Q635" i="4"/>
  <c r="Q636" i="4"/>
  <c r="Q637" i="4"/>
  <c r="Q638" i="4"/>
  <c r="Q639" i="4"/>
  <c r="Q640" i="4"/>
  <c r="Q641" i="4"/>
  <c r="Q642" i="4"/>
  <c r="Q643" i="4"/>
  <c r="Q644" i="4"/>
  <c r="Q645" i="4"/>
  <c r="Q646" i="4"/>
  <c r="Q647" i="4"/>
  <c r="Q648" i="4"/>
  <c r="Q649" i="4"/>
  <c r="Q650" i="4"/>
  <c r="Q651" i="4"/>
  <c r="Q652" i="4"/>
  <c r="Q653" i="4"/>
  <c r="Q654" i="4"/>
  <c r="Q655" i="4"/>
  <c r="Q656" i="4"/>
  <c r="Q657" i="4"/>
  <c r="Q658" i="4"/>
  <c r="Q659" i="4"/>
  <c r="Q660" i="4"/>
  <c r="Q661" i="4"/>
  <c r="Q662" i="4"/>
  <c r="Q663" i="4"/>
  <c r="Q664" i="4"/>
  <c r="Q665" i="4"/>
  <c r="Q666" i="4"/>
  <c r="Q667" i="4"/>
  <c r="Q668" i="4"/>
  <c r="Q669" i="4"/>
  <c r="Q670" i="4"/>
  <c r="Q671" i="4"/>
  <c r="Q672" i="4"/>
  <c r="Q673" i="4"/>
  <c r="Q674" i="4"/>
  <c r="Q675" i="4"/>
  <c r="Q676" i="4"/>
  <c r="Q677" i="4"/>
  <c r="Q678" i="4"/>
  <c r="Q679" i="4"/>
  <c r="Q680" i="4"/>
  <c r="Q681" i="4"/>
  <c r="Q682" i="4"/>
  <c r="Q683" i="4"/>
  <c r="Q684" i="4"/>
  <c r="Q685" i="4"/>
  <c r="Q686" i="4"/>
  <c r="Q687" i="4"/>
  <c r="Q688" i="4"/>
  <c r="Q689" i="4"/>
  <c r="Q690" i="4"/>
  <c r="Q691" i="4"/>
  <c r="Q692" i="4"/>
  <c r="Q693" i="4"/>
  <c r="Q694" i="4"/>
  <c r="Q695" i="4"/>
  <c r="Q696" i="4"/>
  <c r="Q697" i="4"/>
  <c r="Q698" i="4"/>
  <c r="Q699" i="4"/>
  <c r="Q700" i="4"/>
  <c r="Q701" i="4"/>
  <c r="Q702" i="4"/>
  <c r="Q703" i="4"/>
  <c r="Q704" i="4"/>
  <c r="Q705" i="4"/>
  <c r="Q706" i="4"/>
  <c r="Q707" i="4"/>
  <c r="Q708" i="4"/>
  <c r="Q709" i="4"/>
  <c r="Q710" i="4"/>
  <c r="Q711" i="4"/>
  <c r="Q712" i="4"/>
  <c r="Q713" i="4"/>
  <c r="Q714" i="4"/>
  <c r="Q715" i="4"/>
  <c r="Q716" i="4"/>
  <c r="Q717" i="4"/>
  <c r="Q718" i="4"/>
  <c r="Q719" i="4"/>
  <c r="Q720" i="4"/>
  <c r="Q721" i="4"/>
  <c r="Q722" i="4"/>
  <c r="Q723" i="4"/>
  <c r="Q724" i="4"/>
  <c r="Q725" i="4"/>
  <c r="Q726" i="4"/>
  <c r="Q727" i="4"/>
  <c r="Q728" i="4"/>
  <c r="Q729" i="4"/>
  <c r="Q730" i="4"/>
  <c r="Q731" i="4"/>
  <c r="Q2" i="4"/>
  <c r="P3" i="4"/>
  <c r="P4" i="4"/>
  <c r="P5" i="4"/>
  <c r="P6" i="4"/>
  <c r="P7" i="4"/>
  <c r="P8" i="4"/>
  <c r="P9" i="4"/>
  <c r="P10" i="4"/>
  <c r="P11" i="4"/>
  <c r="P12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43" i="4"/>
  <c r="P44" i="4"/>
  <c r="P45" i="4"/>
  <c r="P46" i="4"/>
  <c r="P47" i="4"/>
  <c r="P48" i="4"/>
  <c r="P49" i="4"/>
  <c r="P50" i="4"/>
  <c r="P51" i="4"/>
  <c r="P52" i="4"/>
  <c r="P53" i="4"/>
  <c r="P54" i="4"/>
  <c r="P55" i="4"/>
  <c r="P56" i="4"/>
  <c r="P57" i="4"/>
  <c r="P58" i="4"/>
  <c r="P59" i="4"/>
  <c r="P60" i="4"/>
  <c r="P61" i="4"/>
  <c r="P62" i="4"/>
  <c r="P63" i="4"/>
  <c r="P64" i="4"/>
  <c r="P65" i="4"/>
  <c r="P66" i="4"/>
  <c r="P67" i="4"/>
  <c r="P68" i="4"/>
  <c r="P69" i="4"/>
  <c r="P70" i="4"/>
  <c r="P71" i="4"/>
  <c r="P72" i="4"/>
  <c r="P73" i="4"/>
  <c r="P74" i="4"/>
  <c r="P75" i="4"/>
  <c r="P76" i="4"/>
  <c r="P77" i="4"/>
  <c r="P78" i="4"/>
  <c r="P79" i="4"/>
  <c r="P80" i="4"/>
  <c r="P81" i="4"/>
  <c r="P82" i="4"/>
  <c r="P83" i="4"/>
  <c r="P84" i="4"/>
  <c r="P85" i="4"/>
  <c r="P86" i="4"/>
  <c r="P87" i="4"/>
  <c r="P88" i="4"/>
  <c r="P89" i="4"/>
  <c r="P90" i="4"/>
  <c r="P91" i="4"/>
  <c r="P92" i="4"/>
  <c r="P93" i="4"/>
  <c r="P94" i="4"/>
  <c r="P95" i="4"/>
  <c r="P96" i="4"/>
  <c r="P97" i="4"/>
  <c r="P98" i="4"/>
  <c r="P99" i="4"/>
  <c r="P100" i="4"/>
  <c r="P101" i="4"/>
  <c r="P102" i="4"/>
  <c r="P103" i="4"/>
  <c r="P104" i="4"/>
  <c r="P105" i="4"/>
  <c r="P106" i="4"/>
  <c r="P107" i="4"/>
  <c r="P108" i="4"/>
  <c r="P109" i="4"/>
  <c r="P110" i="4"/>
  <c r="P111" i="4"/>
  <c r="P112" i="4"/>
  <c r="P113" i="4"/>
  <c r="P114" i="4"/>
  <c r="P115" i="4"/>
  <c r="P116" i="4"/>
  <c r="P117" i="4"/>
  <c r="P118" i="4"/>
  <c r="P119" i="4"/>
  <c r="P120" i="4"/>
  <c r="P121" i="4"/>
  <c r="P122" i="4"/>
  <c r="P123" i="4"/>
  <c r="P124" i="4"/>
  <c r="P125" i="4"/>
  <c r="P126" i="4"/>
  <c r="P127" i="4"/>
  <c r="P128" i="4"/>
  <c r="P129" i="4"/>
  <c r="P130" i="4"/>
  <c r="P131" i="4"/>
  <c r="P132" i="4"/>
  <c r="P133" i="4"/>
  <c r="P134" i="4"/>
  <c r="P135" i="4"/>
  <c r="P136" i="4"/>
  <c r="P137" i="4"/>
  <c r="P138" i="4"/>
  <c r="P139" i="4"/>
  <c r="P140" i="4"/>
  <c r="P141" i="4"/>
  <c r="P142" i="4"/>
  <c r="P143" i="4"/>
  <c r="P144" i="4"/>
  <c r="P145" i="4"/>
  <c r="P146" i="4"/>
  <c r="P147" i="4"/>
  <c r="P148" i="4"/>
  <c r="P149" i="4"/>
  <c r="P150" i="4"/>
  <c r="P151" i="4"/>
  <c r="P152" i="4"/>
  <c r="P153" i="4"/>
  <c r="P154" i="4"/>
  <c r="P155" i="4"/>
  <c r="P156" i="4"/>
  <c r="P157" i="4"/>
  <c r="P158" i="4"/>
  <c r="P159" i="4"/>
  <c r="P160" i="4"/>
  <c r="P161" i="4"/>
  <c r="P162" i="4"/>
  <c r="P163" i="4"/>
  <c r="P164" i="4"/>
  <c r="P165" i="4"/>
  <c r="P166" i="4"/>
  <c r="P167" i="4"/>
  <c r="P168" i="4"/>
  <c r="P169" i="4"/>
  <c r="P170" i="4"/>
  <c r="P171" i="4"/>
  <c r="P172" i="4"/>
  <c r="P173" i="4"/>
  <c r="P174" i="4"/>
  <c r="P175" i="4"/>
  <c r="P176" i="4"/>
  <c r="P177" i="4"/>
  <c r="P178" i="4"/>
  <c r="P179" i="4"/>
  <c r="P180" i="4"/>
  <c r="P181" i="4"/>
  <c r="P182" i="4"/>
  <c r="P183" i="4"/>
  <c r="P184" i="4"/>
  <c r="P185" i="4"/>
  <c r="P186" i="4"/>
  <c r="P187" i="4"/>
  <c r="P188" i="4"/>
  <c r="P189" i="4"/>
  <c r="P190" i="4"/>
  <c r="P191" i="4"/>
  <c r="P192" i="4"/>
  <c r="P193" i="4"/>
  <c r="P194" i="4"/>
  <c r="P195" i="4"/>
  <c r="P196" i="4"/>
  <c r="P197" i="4"/>
  <c r="P198" i="4"/>
  <c r="P199" i="4"/>
  <c r="P200" i="4"/>
  <c r="P201" i="4"/>
  <c r="P202" i="4"/>
  <c r="P203" i="4"/>
  <c r="P204" i="4"/>
  <c r="P205" i="4"/>
  <c r="P206" i="4"/>
  <c r="P207" i="4"/>
  <c r="P208" i="4"/>
  <c r="P209" i="4"/>
  <c r="P210" i="4"/>
  <c r="P211" i="4"/>
  <c r="P212" i="4"/>
  <c r="P213" i="4"/>
  <c r="P214" i="4"/>
  <c r="P215" i="4"/>
  <c r="P216" i="4"/>
  <c r="P217" i="4"/>
  <c r="P218" i="4"/>
  <c r="P219" i="4"/>
  <c r="P220" i="4"/>
  <c r="P221" i="4"/>
  <c r="P222" i="4"/>
  <c r="P223" i="4"/>
  <c r="P224" i="4"/>
  <c r="P225" i="4"/>
  <c r="P226" i="4"/>
  <c r="P227" i="4"/>
  <c r="P228" i="4"/>
  <c r="P229" i="4"/>
  <c r="P230" i="4"/>
  <c r="P231" i="4"/>
  <c r="P232" i="4"/>
  <c r="P233" i="4"/>
  <c r="P234" i="4"/>
  <c r="P235" i="4"/>
  <c r="P236" i="4"/>
  <c r="P237" i="4"/>
  <c r="P238" i="4"/>
  <c r="P239" i="4"/>
  <c r="P240" i="4"/>
  <c r="P241" i="4"/>
  <c r="P242" i="4"/>
  <c r="P243" i="4"/>
  <c r="P244" i="4"/>
  <c r="P245" i="4"/>
  <c r="P246" i="4"/>
  <c r="P247" i="4"/>
  <c r="P248" i="4"/>
  <c r="P249" i="4"/>
  <c r="P250" i="4"/>
  <c r="P251" i="4"/>
  <c r="P252" i="4"/>
  <c r="P253" i="4"/>
  <c r="P254" i="4"/>
  <c r="P255" i="4"/>
  <c r="P256" i="4"/>
  <c r="P257" i="4"/>
  <c r="P258" i="4"/>
  <c r="P259" i="4"/>
  <c r="P260" i="4"/>
  <c r="P261" i="4"/>
  <c r="P262" i="4"/>
  <c r="P263" i="4"/>
  <c r="P264" i="4"/>
  <c r="P265" i="4"/>
  <c r="P266" i="4"/>
  <c r="P267" i="4"/>
  <c r="P268" i="4"/>
  <c r="P269" i="4"/>
  <c r="P270" i="4"/>
  <c r="P271" i="4"/>
  <c r="P272" i="4"/>
  <c r="P273" i="4"/>
  <c r="P274" i="4"/>
  <c r="P275" i="4"/>
  <c r="P276" i="4"/>
  <c r="P277" i="4"/>
  <c r="P278" i="4"/>
  <c r="P279" i="4"/>
  <c r="P280" i="4"/>
  <c r="P281" i="4"/>
  <c r="P282" i="4"/>
  <c r="P283" i="4"/>
  <c r="P284" i="4"/>
  <c r="P285" i="4"/>
  <c r="P286" i="4"/>
  <c r="P287" i="4"/>
  <c r="P288" i="4"/>
  <c r="P289" i="4"/>
  <c r="P290" i="4"/>
  <c r="P291" i="4"/>
  <c r="P292" i="4"/>
  <c r="P293" i="4"/>
  <c r="P294" i="4"/>
  <c r="P295" i="4"/>
  <c r="P296" i="4"/>
  <c r="P297" i="4"/>
  <c r="P298" i="4"/>
  <c r="P299" i="4"/>
  <c r="P300" i="4"/>
  <c r="P301" i="4"/>
  <c r="P302" i="4"/>
  <c r="P303" i="4"/>
  <c r="P304" i="4"/>
  <c r="P305" i="4"/>
  <c r="P306" i="4"/>
  <c r="P307" i="4"/>
  <c r="P308" i="4"/>
  <c r="P309" i="4"/>
  <c r="P310" i="4"/>
  <c r="P311" i="4"/>
  <c r="P312" i="4"/>
  <c r="P313" i="4"/>
  <c r="P314" i="4"/>
  <c r="P315" i="4"/>
  <c r="P316" i="4"/>
  <c r="P317" i="4"/>
  <c r="P318" i="4"/>
  <c r="P319" i="4"/>
  <c r="P320" i="4"/>
  <c r="P321" i="4"/>
  <c r="P322" i="4"/>
  <c r="P323" i="4"/>
  <c r="P324" i="4"/>
  <c r="P325" i="4"/>
  <c r="P326" i="4"/>
  <c r="P327" i="4"/>
  <c r="P328" i="4"/>
  <c r="P329" i="4"/>
  <c r="P330" i="4"/>
  <c r="P331" i="4"/>
  <c r="P332" i="4"/>
  <c r="P333" i="4"/>
  <c r="P334" i="4"/>
  <c r="P335" i="4"/>
  <c r="P336" i="4"/>
  <c r="P337" i="4"/>
  <c r="P338" i="4"/>
  <c r="P339" i="4"/>
  <c r="P340" i="4"/>
  <c r="P341" i="4"/>
  <c r="P342" i="4"/>
  <c r="P343" i="4"/>
  <c r="P344" i="4"/>
  <c r="P345" i="4"/>
  <c r="P346" i="4"/>
  <c r="P347" i="4"/>
  <c r="P348" i="4"/>
  <c r="P349" i="4"/>
  <c r="P350" i="4"/>
  <c r="P351" i="4"/>
  <c r="P352" i="4"/>
  <c r="P353" i="4"/>
  <c r="P354" i="4"/>
  <c r="P355" i="4"/>
  <c r="P356" i="4"/>
  <c r="P357" i="4"/>
  <c r="P358" i="4"/>
  <c r="P359" i="4"/>
  <c r="P360" i="4"/>
  <c r="P361" i="4"/>
  <c r="P362" i="4"/>
  <c r="P363" i="4"/>
  <c r="P364" i="4"/>
  <c r="P365" i="4"/>
  <c r="P366" i="4"/>
  <c r="P367" i="4"/>
  <c r="P368" i="4"/>
  <c r="P369" i="4"/>
  <c r="P370" i="4"/>
  <c r="P371" i="4"/>
  <c r="P372" i="4"/>
  <c r="P373" i="4"/>
  <c r="P374" i="4"/>
  <c r="P375" i="4"/>
  <c r="P376" i="4"/>
  <c r="P377" i="4"/>
  <c r="P378" i="4"/>
  <c r="P379" i="4"/>
  <c r="P380" i="4"/>
  <c r="P381" i="4"/>
  <c r="P382" i="4"/>
  <c r="P383" i="4"/>
  <c r="P384" i="4"/>
  <c r="P385" i="4"/>
  <c r="P386" i="4"/>
  <c r="P387" i="4"/>
  <c r="P388" i="4"/>
  <c r="P389" i="4"/>
  <c r="P390" i="4"/>
  <c r="P391" i="4"/>
  <c r="P392" i="4"/>
  <c r="P393" i="4"/>
  <c r="P394" i="4"/>
  <c r="P395" i="4"/>
  <c r="P396" i="4"/>
  <c r="P397" i="4"/>
  <c r="P398" i="4"/>
  <c r="P399" i="4"/>
  <c r="P400" i="4"/>
  <c r="P401" i="4"/>
  <c r="P402" i="4"/>
  <c r="P403" i="4"/>
  <c r="P404" i="4"/>
  <c r="P405" i="4"/>
  <c r="P406" i="4"/>
  <c r="P407" i="4"/>
  <c r="P408" i="4"/>
  <c r="P409" i="4"/>
  <c r="P410" i="4"/>
  <c r="P411" i="4"/>
  <c r="P412" i="4"/>
  <c r="P413" i="4"/>
  <c r="P414" i="4"/>
  <c r="P415" i="4"/>
  <c r="P416" i="4"/>
  <c r="P417" i="4"/>
  <c r="P418" i="4"/>
  <c r="P419" i="4"/>
  <c r="P420" i="4"/>
  <c r="P421" i="4"/>
  <c r="P422" i="4"/>
  <c r="P423" i="4"/>
  <c r="P424" i="4"/>
  <c r="P425" i="4"/>
  <c r="P426" i="4"/>
  <c r="P427" i="4"/>
  <c r="P428" i="4"/>
  <c r="P429" i="4"/>
  <c r="P430" i="4"/>
  <c r="P431" i="4"/>
  <c r="P432" i="4"/>
  <c r="P433" i="4"/>
  <c r="P434" i="4"/>
  <c r="P435" i="4"/>
  <c r="P436" i="4"/>
  <c r="P437" i="4"/>
  <c r="P438" i="4"/>
  <c r="P439" i="4"/>
  <c r="P440" i="4"/>
  <c r="P441" i="4"/>
  <c r="P442" i="4"/>
  <c r="P443" i="4"/>
  <c r="P444" i="4"/>
  <c r="P445" i="4"/>
  <c r="P446" i="4"/>
  <c r="P447" i="4"/>
  <c r="P448" i="4"/>
  <c r="P449" i="4"/>
  <c r="P450" i="4"/>
  <c r="P451" i="4"/>
  <c r="P452" i="4"/>
  <c r="P453" i="4"/>
  <c r="P454" i="4"/>
  <c r="P455" i="4"/>
  <c r="P456" i="4"/>
  <c r="P457" i="4"/>
  <c r="P458" i="4"/>
  <c r="P459" i="4"/>
  <c r="P460" i="4"/>
  <c r="P461" i="4"/>
  <c r="P462" i="4"/>
  <c r="P463" i="4"/>
  <c r="P464" i="4"/>
  <c r="P465" i="4"/>
  <c r="P466" i="4"/>
  <c r="P467" i="4"/>
  <c r="P468" i="4"/>
  <c r="P469" i="4"/>
  <c r="P470" i="4"/>
  <c r="P471" i="4"/>
  <c r="P472" i="4"/>
  <c r="P473" i="4"/>
  <c r="P474" i="4"/>
  <c r="P475" i="4"/>
  <c r="P476" i="4"/>
  <c r="P477" i="4"/>
  <c r="P478" i="4"/>
  <c r="P479" i="4"/>
  <c r="P480" i="4"/>
  <c r="P481" i="4"/>
  <c r="P482" i="4"/>
  <c r="P483" i="4"/>
  <c r="P484" i="4"/>
  <c r="P485" i="4"/>
  <c r="P486" i="4"/>
  <c r="P487" i="4"/>
  <c r="P488" i="4"/>
  <c r="P489" i="4"/>
  <c r="P490" i="4"/>
  <c r="P491" i="4"/>
  <c r="P492" i="4"/>
  <c r="P493" i="4"/>
  <c r="P494" i="4"/>
  <c r="P495" i="4"/>
  <c r="P496" i="4"/>
  <c r="P497" i="4"/>
  <c r="P498" i="4"/>
  <c r="P499" i="4"/>
  <c r="P500" i="4"/>
  <c r="P501" i="4"/>
  <c r="P502" i="4"/>
  <c r="P503" i="4"/>
  <c r="P504" i="4"/>
  <c r="P505" i="4"/>
  <c r="P506" i="4"/>
  <c r="P507" i="4"/>
  <c r="P508" i="4"/>
  <c r="P509" i="4"/>
  <c r="P510" i="4"/>
  <c r="P511" i="4"/>
  <c r="P512" i="4"/>
  <c r="P513" i="4"/>
  <c r="P514" i="4"/>
  <c r="P515" i="4"/>
  <c r="P516" i="4"/>
  <c r="P517" i="4"/>
  <c r="P518" i="4"/>
  <c r="P519" i="4"/>
  <c r="P520" i="4"/>
  <c r="P521" i="4"/>
  <c r="P522" i="4"/>
  <c r="P523" i="4"/>
  <c r="P524" i="4"/>
  <c r="P525" i="4"/>
  <c r="P526" i="4"/>
  <c r="P527" i="4"/>
  <c r="P528" i="4"/>
  <c r="P529" i="4"/>
  <c r="P530" i="4"/>
  <c r="P531" i="4"/>
  <c r="P532" i="4"/>
  <c r="P533" i="4"/>
  <c r="P534" i="4"/>
  <c r="P535" i="4"/>
  <c r="P536" i="4"/>
  <c r="P537" i="4"/>
  <c r="P538" i="4"/>
  <c r="P539" i="4"/>
  <c r="P540" i="4"/>
  <c r="P541" i="4"/>
  <c r="P542" i="4"/>
  <c r="P543" i="4"/>
  <c r="P544" i="4"/>
  <c r="P545" i="4"/>
  <c r="P546" i="4"/>
  <c r="P547" i="4"/>
  <c r="P548" i="4"/>
  <c r="P549" i="4"/>
  <c r="P550" i="4"/>
  <c r="P551" i="4"/>
  <c r="P552" i="4"/>
  <c r="P553" i="4"/>
  <c r="P554" i="4"/>
  <c r="P555" i="4"/>
  <c r="P556" i="4"/>
  <c r="P557" i="4"/>
  <c r="P558" i="4"/>
  <c r="P559" i="4"/>
  <c r="P560" i="4"/>
  <c r="P561" i="4"/>
  <c r="P562" i="4"/>
  <c r="P563" i="4"/>
  <c r="P564" i="4"/>
  <c r="P565" i="4"/>
  <c r="P566" i="4"/>
  <c r="P567" i="4"/>
  <c r="P568" i="4"/>
  <c r="P569" i="4"/>
  <c r="P570" i="4"/>
  <c r="P571" i="4"/>
  <c r="P572" i="4"/>
  <c r="P573" i="4"/>
  <c r="P574" i="4"/>
  <c r="P575" i="4"/>
  <c r="P576" i="4"/>
  <c r="P577" i="4"/>
  <c r="P578" i="4"/>
  <c r="P579" i="4"/>
  <c r="P580" i="4"/>
  <c r="P581" i="4"/>
  <c r="P582" i="4"/>
  <c r="P583" i="4"/>
  <c r="P584" i="4"/>
  <c r="P585" i="4"/>
  <c r="P586" i="4"/>
  <c r="P587" i="4"/>
  <c r="P588" i="4"/>
  <c r="P589" i="4"/>
  <c r="P590" i="4"/>
  <c r="P591" i="4"/>
  <c r="P592" i="4"/>
  <c r="P593" i="4"/>
  <c r="P594" i="4"/>
  <c r="P595" i="4"/>
  <c r="P596" i="4"/>
  <c r="P597" i="4"/>
  <c r="P598" i="4"/>
  <c r="P599" i="4"/>
  <c r="P600" i="4"/>
  <c r="P601" i="4"/>
  <c r="P602" i="4"/>
  <c r="P603" i="4"/>
  <c r="P604" i="4"/>
  <c r="P605" i="4"/>
  <c r="P606" i="4"/>
  <c r="P607" i="4"/>
  <c r="P608" i="4"/>
  <c r="P609" i="4"/>
  <c r="P610" i="4"/>
  <c r="P611" i="4"/>
  <c r="P612" i="4"/>
  <c r="P613" i="4"/>
  <c r="P614" i="4"/>
  <c r="P615" i="4"/>
  <c r="P616" i="4"/>
  <c r="P617" i="4"/>
  <c r="P618" i="4"/>
  <c r="P619" i="4"/>
  <c r="P620" i="4"/>
  <c r="P621" i="4"/>
  <c r="P622" i="4"/>
  <c r="P623" i="4"/>
  <c r="P624" i="4"/>
  <c r="P625" i="4"/>
  <c r="P626" i="4"/>
  <c r="P627" i="4"/>
  <c r="P628" i="4"/>
  <c r="P629" i="4"/>
  <c r="P630" i="4"/>
  <c r="P631" i="4"/>
  <c r="P632" i="4"/>
  <c r="P633" i="4"/>
  <c r="P634" i="4"/>
  <c r="P635" i="4"/>
  <c r="P636" i="4"/>
  <c r="P637" i="4"/>
  <c r="P638" i="4"/>
  <c r="P639" i="4"/>
  <c r="P640" i="4"/>
  <c r="P641" i="4"/>
  <c r="P642" i="4"/>
  <c r="P643" i="4"/>
  <c r="P644" i="4"/>
  <c r="P645" i="4"/>
  <c r="P646" i="4"/>
  <c r="P647" i="4"/>
  <c r="P648" i="4"/>
  <c r="P649" i="4"/>
  <c r="P650" i="4"/>
  <c r="P651" i="4"/>
  <c r="P652" i="4"/>
  <c r="P653" i="4"/>
  <c r="P654" i="4"/>
  <c r="P655" i="4"/>
  <c r="P656" i="4"/>
  <c r="P657" i="4"/>
  <c r="P658" i="4"/>
  <c r="P659" i="4"/>
  <c r="P660" i="4"/>
  <c r="P661" i="4"/>
  <c r="P662" i="4"/>
  <c r="P663" i="4"/>
  <c r="P664" i="4"/>
  <c r="P665" i="4"/>
  <c r="P666" i="4"/>
  <c r="P667" i="4"/>
  <c r="P668" i="4"/>
  <c r="P669" i="4"/>
  <c r="P670" i="4"/>
  <c r="P671" i="4"/>
  <c r="P672" i="4"/>
  <c r="P673" i="4"/>
  <c r="P674" i="4"/>
  <c r="P675" i="4"/>
  <c r="P676" i="4"/>
  <c r="P677" i="4"/>
  <c r="P678" i="4"/>
  <c r="P679" i="4"/>
  <c r="P680" i="4"/>
  <c r="P681" i="4"/>
  <c r="P682" i="4"/>
  <c r="P683" i="4"/>
  <c r="P684" i="4"/>
  <c r="P685" i="4"/>
  <c r="P686" i="4"/>
  <c r="P687" i="4"/>
  <c r="P688" i="4"/>
  <c r="P689" i="4"/>
  <c r="P690" i="4"/>
  <c r="P691" i="4"/>
  <c r="P692" i="4"/>
  <c r="P693" i="4"/>
  <c r="P694" i="4"/>
  <c r="P695" i="4"/>
  <c r="P696" i="4"/>
  <c r="P697" i="4"/>
  <c r="P698" i="4"/>
  <c r="P699" i="4"/>
  <c r="P700" i="4"/>
  <c r="P701" i="4"/>
  <c r="P702" i="4"/>
  <c r="P703" i="4"/>
  <c r="P704" i="4"/>
  <c r="P705" i="4"/>
  <c r="P706" i="4"/>
  <c r="P707" i="4"/>
  <c r="P708" i="4"/>
  <c r="P709" i="4"/>
  <c r="P710" i="4"/>
  <c r="P711" i="4"/>
  <c r="P712" i="4"/>
  <c r="P713" i="4"/>
  <c r="P714" i="4"/>
  <c r="P715" i="4"/>
  <c r="P716" i="4"/>
  <c r="P717" i="4"/>
  <c r="P718" i="4"/>
  <c r="P719" i="4"/>
  <c r="P720" i="4"/>
  <c r="P721" i="4"/>
  <c r="P722" i="4"/>
  <c r="P723" i="4"/>
  <c r="P724" i="4"/>
  <c r="P725" i="4"/>
  <c r="P726" i="4"/>
  <c r="P727" i="4"/>
  <c r="P728" i="4"/>
  <c r="P729" i="4"/>
  <c r="P730" i="4"/>
  <c r="P731" i="4"/>
  <c r="P2" i="4"/>
  <c r="Q2" i="5"/>
  <c r="Q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Q69" i="5"/>
  <c r="Q70" i="5"/>
  <c r="Q71" i="5"/>
  <c r="Q72" i="5"/>
  <c r="Q73" i="5"/>
  <c r="Q74" i="5"/>
  <c r="Q75" i="5"/>
  <c r="Q76" i="5"/>
  <c r="Q77" i="5"/>
  <c r="Q78" i="5"/>
  <c r="Q79" i="5"/>
  <c r="Q80" i="5"/>
  <c r="Q81" i="5"/>
  <c r="Q82" i="5"/>
  <c r="Q83" i="5"/>
  <c r="Q84" i="5"/>
  <c r="Q85" i="5"/>
  <c r="Q86" i="5"/>
  <c r="Q87" i="5"/>
  <c r="Q88" i="5"/>
  <c r="Q89" i="5"/>
  <c r="Q90" i="5"/>
  <c r="Q91" i="5"/>
  <c r="Q92" i="5"/>
  <c r="Q93" i="5"/>
  <c r="Q94" i="5"/>
  <c r="Q95" i="5"/>
  <c r="Q96" i="5"/>
  <c r="Q97" i="5"/>
  <c r="Q98" i="5"/>
  <c r="Q99" i="5"/>
  <c r="Q100" i="5"/>
  <c r="Q101" i="5"/>
  <c r="Q102" i="5"/>
  <c r="Q103" i="5"/>
  <c r="Q104" i="5"/>
  <c r="Q105" i="5"/>
  <c r="Q106" i="5"/>
  <c r="Q107" i="5"/>
  <c r="Q108" i="5"/>
  <c r="Q109" i="5"/>
  <c r="Q110" i="5"/>
  <c r="Q111" i="5"/>
  <c r="Q112" i="5"/>
  <c r="Q113" i="5"/>
  <c r="Q114" i="5"/>
  <c r="Q115" i="5"/>
  <c r="Q116" i="5"/>
  <c r="Q117" i="5"/>
  <c r="Q118" i="5"/>
  <c r="Q119" i="5"/>
  <c r="Q120" i="5"/>
  <c r="Q121" i="5"/>
  <c r="Q122" i="5"/>
  <c r="Q123" i="5"/>
  <c r="Q124" i="5"/>
  <c r="Q125" i="5"/>
  <c r="Q126" i="5"/>
  <c r="Q127" i="5"/>
  <c r="Q128" i="5"/>
  <c r="Q129" i="5"/>
  <c r="Q130" i="5"/>
  <c r="Q131" i="5"/>
  <c r="Q132" i="5"/>
  <c r="Q133" i="5"/>
  <c r="Q134" i="5"/>
  <c r="Q135" i="5"/>
  <c r="Q136" i="5"/>
  <c r="Q137" i="5"/>
  <c r="Q138" i="5"/>
  <c r="Q139" i="5"/>
  <c r="Q140" i="5"/>
  <c r="Q141" i="5"/>
  <c r="Q142" i="5"/>
  <c r="Q143" i="5"/>
  <c r="Q144" i="5"/>
  <c r="Q145" i="5"/>
  <c r="Q146" i="5"/>
  <c r="Q147" i="5"/>
  <c r="Q148" i="5"/>
  <c r="Q149" i="5"/>
  <c r="Q150" i="5"/>
  <c r="Q151" i="5"/>
  <c r="Q152" i="5"/>
  <c r="Q153" i="5"/>
  <c r="Q154" i="5"/>
  <c r="Q155" i="5"/>
  <c r="Q156" i="5"/>
  <c r="Q157" i="5"/>
  <c r="Q158" i="5"/>
  <c r="Q159" i="5"/>
  <c r="Q160" i="5"/>
  <c r="Q161" i="5"/>
  <c r="Q162" i="5"/>
  <c r="Q163" i="5"/>
  <c r="Q164" i="5"/>
  <c r="Q165" i="5"/>
  <c r="Q166" i="5"/>
  <c r="Q167" i="5"/>
  <c r="Q168" i="5"/>
  <c r="Q169" i="5"/>
  <c r="Q170" i="5"/>
  <c r="Q171" i="5"/>
  <c r="Q172" i="5"/>
  <c r="Q173" i="5"/>
  <c r="Q174" i="5"/>
  <c r="Q175" i="5"/>
  <c r="Q176" i="5"/>
  <c r="Q177" i="5"/>
  <c r="Q178" i="5"/>
  <c r="Q179" i="5"/>
  <c r="Q180" i="5"/>
  <c r="Q181" i="5"/>
  <c r="Q182" i="5"/>
  <c r="Q183" i="5"/>
  <c r="Q184" i="5"/>
  <c r="Q185" i="5"/>
  <c r="Q186" i="5"/>
  <c r="Q187" i="5"/>
  <c r="Q188" i="5"/>
  <c r="Q189" i="5"/>
  <c r="Q190" i="5"/>
  <c r="Q191" i="5"/>
  <c r="Q192" i="5"/>
  <c r="Q193" i="5"/>
  <c r="Q194" i="5"/>
  <c r="Q195" i="5"/>
  <c r="Q196" i="5"/>
  <c r="Q197" i="5"/>
  <c r="Q198" i="5"/>
  <c r="Q199" i="5"/>
  <c r="Q200" i="5"/>
  <c r="Q201" i="5"/>
  <c r="Q202" i="5"/>
  <c r="Q203" i="5"/>
  <c r="Q204" i="5"/>
  <c r="Q205" i="5"/>
  <c r="Q206" i="5"/>
  <c r="Q207" i="5"/>
  <c r="Q208" i="5"/>
  <c r="Q209" i="5"/>
  <c r="Q210" i="5"/>
  <c r="Q211" i="5"/>
  <c r="Q212" i="5"/>
  <c r="Q213" i="5"/>
  <c r="Q214" i="5"/>
  <c r="Q215" i="5"/>
  <c r="Q216" i="5"/>
  <c r="Q217" i="5"/>
  <c r="Q218" i="5"/>
  <c r="Q219" i="5"/>
  <c r="Q220" i="5"/>
  <c r="Q221" i="5"/>
  <c r="Q222" i="5"/>
  <c r="Q223" i="5"/>
  <c r="Q224" i="5"/>
  <c r="Q225" i="5"/>
  <c r="Q226" i="5"/>
  <c r="Q227" i="5"/>
  <c r="Q228" i="5"/>
  <c r="Q229" i="5"/>
  <c r="Q230" i="5"/>
  <c r="Q231" i="5"/>
  <c r="Q232" i="5"/>
  <c r="Q233" i="5"/>
  <c r="Q234" i="5"/>
  <c r="Q235" i="5"/>
  <c r="Q236" i="5"/>
  <c r="Q237" i="5"/>
  <c r="Q238" i="5"/>
  <c r="Q239" i="5"/>
  <c r="Q240" i="5"/>
  <c r="Q241" i="5"/>
  <c r="Q242" i="5"/>
  <c r="Q243" i="5"/>
  <c r="Q244" i="5"/>
  <c r="Q245" i="5"/>
  <c r="Q246" i="5"/>
  <c r="Q247" i="5"/>
  <c r="Q248" i="5"/>
  <c r="Q249" i="5"/>
  <c r="Q250" i="5"/>
  <c r="Q251" i="5"/>
  <c r="Q252" i="5"/>
  <c r="Q253" i="5"/>
  <c r="Q254" i="5"/>
  <c r="Q255" i="5"/>
  <c r="Q256" i="5"/>
  <c r="Q257" i="5"/>
  <c r="Q258" i="5"/>
  <c r="Q259" i="5"/>
  <c r="Q260" i="5"/>
  <c r="Q261" i="5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" i="5"/>
</calcChain>
</file>

<file path=xl/sharedStrings.xml><?xml version="1.0" encoding="utf-8"?>
<sst xmlns="http://schemas.openxmlformats.org/spreadsheetml/2006/main" count="19277" uniqueCount="29">
  <si>
    <t>article_id</t>
  </si>
  <si>
    <t>model_id</t>
  </si>
  <si>
    <t>last_id</t>
  </si>
  <si>
    <t>sports_categories</t>
  </si>
  <si>
    <t>gender_last</t>
  </si>
  <si>
    <t>laces_type</t>
  </si>
  <si>
    <t>vamp_material</t>
  </si>
  <si>
    <t>insole_length</t>
  </si>
  <si>
    <t>ball_girth</t>
  </si>
  <si>
    <t>ball_width</t>
  </si>
  <si>
    <t>heel_width</t>
  </si>
  <si>
    <t>toe_height</t>
  </si>
  <si>
    <t>heel_spring</t>
  </si>
  <si>
    <t>too_small</t>
  </si>
  <si>
    <t>too_large</t>
  </si>
  <si>
    <t>Football</t>
  </si>
  <si>
    <t>Female</t>
  </si>
  <si>
    <t>laces</t>
  </si>
  <si>
    <t>mesh</t>
  </si>
  <si>
    <t>Running</t>
  </si>
  <si>
    <t>Male</t>
  </si>
  <si>
    <t>sock</t>
  </si>
  <si>
    <t>leather</t>
  </si>
  <si>
    <t>Basketball</t>
  </si>
  <si>
    <t>strung</t>
  </si>
  <si>
    <t>synthetic</t>
  </si>
  <si>
    <t>cotton</t>
  </si>
  <si>
    <t>threshold_small</t>
  </si>
  <si>
    <t>threshold_large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</si>
</sst>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96"/>
  <sheetViews>
    <sheetView zoomScale="90" zoomScaleNormal="90" workbookViewId="0">
      <selection activeCell="R10" sqref="R10"/>
    </sheetView>
  </sheetViews>
  <sheetFormatPr defaultRowHeight="14.55" x14ac:dyDescent="0.3"/>
  <cols>
    <col min="1" max="2" width="8.5546875" bestFit="1" customWidth="1"/>
    <col min="3" max="3" width="6.33203125" bestFit="1" customWidth="1"/>
    <col min="4" max="4" width="15.5546875" bestFit="1" customWidth="1"/>
    <col min="5" max="5" width="10.44140625" bestFit="1" customWidth="1"/>
    <col min="6" max="6" width="9.6640625" bestFit="1" customWidth="1"/>
    <col min="7" max="7" width="13.33203125" bestFit="1" customWidth="1"/>
    <col min="8" max="8" width="11.77734375" bestFit="1" customWidth="1"/>
    <col min="9" max="9" width="8.5546875" bestFit="1" customWidth="1"/>
    <col min="10" max="10" width="9.44140625" bestFit="1" customWidth="1"/>
    <col min="11" max="11" width="10" bestFit="1" customWidth="1"/>
    <col min="12" max="12" width="9.77734375" bestFit="1" customWidth="1"/>
    <col min="13" max="13" width="10.21875" bestFit="1" customWidth="1"/>
    <col min="14" max="15" width="12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>
        <v>3</v>
      </c>
      <c r="B2">
        <v>1</v>
      </c>
      <c r="C2">
        <v>378</v>
      </c>
      <c r="D2" t="s">
        <v>15</v>
      </c>
      <c r="E2" t="s">
        <v>16</v>
      </c>
      <c r="F2" t="s">
        <v>17</v>
      </c>
      <c r="G2" t="s">
        <v>18</v>
      </c>
      <c r="H2">
        <v>277.39999999999998</v>
      </c>
      <c r="I2">
        <v>254</v>
      </c>
      <c r="J2">
        <v>95.7</v>
      </c>
      <c r="K2">
        <v>69.5</v>
      </c>
      <c r="L2">
        <v>27.4</v>
      </c>
      <c r="M2">
        <v>5</v>
      </c>
      <c r="N2">
        <v>0.27526447157337303</v>
      </c>
      <c r="O2">
        <v>2.91879137214189E-2</v>
      </c>
    </row>
    <row r="3" spans="1:15" x14ac:dyDescent="0.3">
      <c r="A3">
        <v>4</v>
      </c>
      <c r="B3">
        <v>1</v>
      </c>
      <c r="C3">
        <v>378</v>
      </c>
      <c r="D3" t="s">
        <v>15</v>
      </c>
      <c r="E3" t="s">
        <v>16</v>
      </c>
      <c r="F3" t="s">
        <v>17</v>
      </c>
      <c r="G3" t="s">
        <v>18</v>
      </c>
      <c r="H3">
        <v>277.39999999999998</v>
      </c>
      <c r="I3">
        <v>254</v>
      </c>
      <c r="J3">
        <v>95.7</v>
      </c>
      <c r="K3">
        <v>69.5</v>
      </c>
      <c r="L3">
        <v>27.4</v>
      </c>
      <c r="M3">
        <v>5</v>
      </c>
      <c r="N3">
        <v>0.26001445971981302</v>
      </c>
      <c r="O3">
        <v>4.0713947957231503E-2</v>
      </c>
    </row>
    <row r="4" spans="1:15" x14ac:dyDescent="0.3">
      <c r="A4">
        <v>9</v>
      </c>
      <c r="B4">
        <v>100</v>
      </c>
      <c r="C4">
        <v>346</v>
      </c>
      <c r="D4" t="s">
        <v>19</v>
      </c>
      <c r="E4" t="s">
        <v>20</v>
      </c>
      <c r="F4" t="s">
        <v>21</v>
      </c>
      <c r="G4" t="s">
        <v>22</v>
      </c>
      <c r="H4">
        <v>271.60000000000002</v>
      </c>
      <c r="I4">
        <v>238</v>
      </c>
      <c r="J4">
        <v>91.3</v>
      </c>
      <c r="K4">
        <v>63</v>
      </c>
      <c r="L4">
        <v>24.7</v>
      </c>
      <c r="M4">
        <v>8</v>
      </c>
      <c r="N4">
        <v>0.16562173362764501</v>
      </c>
      <c r="O4">
        <v>2.39054044518975E-2</v>
      </c>
    </row>
    <row r="5" spans="1:15" x14ac:dyDescent="0.3">
      <c r="A5">
        <v>10</v>
      </c>
      <c r="B5">
        <v>100</v>
      </c>
      <c r="C5">
        <v>346</v>
      </c>
      <c r="D5" t="s">
        <v>19</v>
      </c>
      <c r="E5" t="s">
        <v>20</v>
      </c>
      <c r="F5" t="s">
        <v>21</v>
      </c>
      <c r="G5" t="s">
        <v>22</v>
      </c>
      <c r="H5">
        <v>271.60000000000002</v>
      </c>
      <c r="I5">
        <v>238</v>
      </c>
      <c r="J5">
        <v>91.3</v>
      </c>
      <c r="K5">
        <v>63</v>
      </c>
      <c r="L5">
        <v>24.7</v>
      </c>
      <c r="M5">
        <v>8</v>
      </c>
      <c r="N5">
        <v>0.20164479479883199</v>
      </c>
      <c r="O5">
        <v>2.5694341519430001E-2</v>
      </c>
    </row>
    <row r="6" spans="1:15" x14ac:dyDescent="0.3">
      <c r="A6">
        <v>19</v>
      </c>
      <c r="B6">
        <v>1003</v>
      </c>
      <c r="C6">
        <v>17</v>
      </c>
      <c r="D6" t="s">
        <v>15</v>
      </c>
      <c r="E6" t="s">
        <v>16</v>
      </c>
      <c r="F6" t="s">
        <v>21</v>
      </c>
      <c r="G6" t="s">
        <v>22</v>
      </c>
      <c r="H6">
        <v>270.2</v>
      </c>
      <c r="I6">
        <v>242.5</v>
      </c>
      <c r="J6">
        <v>93.9</v>
      </c>
      <c r="K6">
        <v>65.5</v>
      </c>
      <c r="L6">
        <v>25.2</v>
      </c>
      <c r="M6">
        <v>5</v>
      </c>
      <c r="N6">
        <v>0.235818523785575</v>
      </c>
      <c r="O6">
        <v>1.2022576580529101E-2</v>
      </c>
    </row>
    <row r="7" spans="1:15" x14ac:dyDescent="0.3">
      <c r="A7">
        <v>20</v>
      </c>
      <c r="B7">
        <v>1003</v>
      </c>
      <c r="C7">
        <v>17</v>
      </c>
      <c r="D7" t="s">
        <v>15</v>
      </c>
      <c r="E7" t="s">
        <v>16</v>
      </c>
      <c r="F7" t="s">
        <v>21</v>
      </c>
      <c r="G7" t="s">
        <v>22</v>
      </c>
      <c r="H7">
        <v>270.2</v>
      </c>
      <c r="I7">
        <v>242.5</v>
      </c>
      <c r="J7">
        <v>93.9</v>
      </c>
      <c r="K7">
        <v>65.5</v>
      </c>
      <c r="L7">
        <v>25.2</v>
      </c>
      <c r="M7">
        <v>5</v>
      </c>
      <c r="N7">
        <v>0.25943047108294498</v>
      </c>
      <c r="O7">
        <v>1.8975040457116499E-2</v>
      </c>
    </row>
    <row r="8" spans="1:15" x14ac:dyDescent="0.3">
      <c r="A8">
        <v>25</v>
      </c>
      <c r="B8">
        <v>1005</v>
      </c>
      <c r="C8">
        <v>306</v>
      </c>
      <c r="D8" t="s">
        <v>23</v>
      </c>
      <c r="E8" t="s">
        <v>16</v>
      </c>
      <c r="F8" t="s">
        <v>17</v>
      </c>
      <c r="G8" t="s">
        <v>24</v>
      </c>
      <c r="H8">
        <v>274.39999999999998</v>
      </c>
      <c r="I8">
        <v>249</v>
      </c>
      <c r="J8">
        <v>95.3</v>
      </c>
      <c r="K8">
        <v>69.5</v>
      </c>
      <c r="L8">
        <v>27.8</v>
      </c>
      <c r="M8">
        <v>5.5</v>
      </c>
      <c r="N8">
        <v>0.13592232090480399</v>
      </c>
      <c r="O8">
        <v>0.41020713905608602</v>
      </c>
    </row>
    <row r="9" spans="1:15" x14ac:dyDescent="0.3">
      <c r="A9">
        <v>26</v>
      </c>
      <c r="B9">
        <v>1005</v>
      </c>
      <c r="C9">
        <v>306</v>
      </c>
      <c r="D9" t="s">
        <v>23</v>
      </c>
      <c r="E9" t="s">
        <v>16</v>
      </c>
      <c r="F9" t="s">
        <v>17</v>
      </c>
      <c r="G9" t="s">
        <v>24</v>
      </c>
      <c r="H9">
        <v>274.39999999999998</v>
      </c>
      <c r="I9">
        <v>249</v>
      </c>
      <c r="J9">
        <v>95.3</v>
      </c>
      <c r="K9">
        <v>69.5</v>
      </c>
      <c r="L9">
        <v>27.8</v>
      </c>
      <c r="M9">
        <v>5.5</v>
      </c>
      <c r="N9">
        <v>0.14899611447851499</v>
      </c>
      <c r="O9">
        <v>0.39083480473807503</v>
      </c>
    </row>
    <row r="10" spans="1:15" x14ac:dyDescent="0.3">
      <c r="A10">
        <v>43</v>
      </c>
      <c r="B10">
        <v>1013</v>
      </c>
      <c r="C10">
        <v>122</v>
      </c>
      <c r="D10" t="s">
        <v>23</v>
      </c>
      <c r="E10" t="s">
        <v>20</v>
      </c>
      <c r="F10" t="s">
        <v>17</v>
      </c>
      <c r="G10" t="s">
        <v>25</v>
      </c>
      <c r="H10">
        <v>276.60000000000002</v>
      </c>
      <c r="I10">
        <v>246.5</v>
      </c>
      <c r="J10">
        <v>96.7</v>
      </c>
      <c r="K10">
        <v>65.5</v>
      </c>
      <c r="L10">
        <v>30.9</v>
      </c>
      <c r="M10">
        <v>8.5</v>
      </c>
      <c r="N10">
        <v>5.9154641252908403E-2</v>
      </c>
      <c r="O10">
        <v>0.27944655164907201</v>
      </c>
    </row>
    <row r="11" spans="1:15" x14ac:dyDescent="0.3">
      <c r="A11">
        <v>44</v>
      </c>
      <c r="B11">
        <v>1014</v>
      </c>
      <c r="C11">
        <v>249</v>
      </c>
      <c r="D11" t="s">
        <v>19</v>
      </c>
      <c r="E11" t="s">
        <v>16</v>
      </c>
      <c r="F11" t="s">
        <v>21</v>
      </c>
      <c r="G11" t="s">
        <v>25</v>
      </c>
      <c r="H11">
        <v>275.7</v>
      </c>
      <c r="I11">
        <v>254.5</v>
      </c>
      <c r="J11">
        <v>97.9</v>
      </c>
      <c r="K11">
        <v>66</v>
      </c>
      <c r="L11">
        <v>26.3</v>
      </c>
      <c r="M11">
        <v>9</v>
      </c>
      <c r="N11">
        <v>0.26487841955784702</v>
      </c>
      <c r="O11">
        <v>5.7210643125788101E-2</v>
      </c>
    </row>
    <row r="12" spans="1:15" x14ac:dyDescent="0.3">
      <c r="A12">
        <v>45</v>
      </c>
      <c r="B12">
        <v>1014</v>
      </c>
      <c r="C12">
        <v>249</v>
      </c>
      <c r="D12" t="s">
        <v>19</v>
      </c>
      <c r="E12" t="s">
        <v>16</v>
      </c>
      <c r="F12" t="s">
        <v>21</v>
      </c>
      <c r="G12" t="s">
        <v>25</v>
      </c>
      <c r="H12">
        <v>275.7</v>
      </c>
      <c r="I12">
        <v>254.5</v>
      </c>
      <c r="J12">
        <v>97.9</v>
      </c>
      <c r="K12">
        <v>66</v>
      </c>
      <c r="L12">
        <v>26.3</v>
      </c>
      <c r="M12">
        <v>9</v>
      </c>
      <c r="N12">
        <v>0.25795511047244901</v>
      </c>
      <c r="O12">
        <v>4.6994456531517001E-2</v>
      </c>
    </row>
    <row r="13" spans="1:15" x14ac:dyDescent="0.3">
      <c r="A13">
        <v>50</v>
      </c>
      <c r="B13">
        <v>1016</v>
      </c>
      <c r="C13">
        <v>453</v>
      </c>
      <c r="D13" t="s">
        <v>23</v>
      </c>
      <c r="E13" t="s">
        <v>20</v>
      </c>
      <c r="F13" t="s">
        <v>17</v>
      </c>
      <c r="G13" t="s">
        <v>26</v>
      </c>
      <c r="H13">
        <v>281.60000000000002</v>
      </c>
      <c r="I13">
        <v>255.5</v>
      </c>
      <c r="J13">
        <v>100.4</v>
      </c>
      <c r="K13">
        <v>70</v>
      </c>
      <c r="L13">
        <v>25.7</v>
      </c>
      <c r="M13">
        <v>10</v>
      </c>
      <c r="N13">
        <v>0.13202357000803699</v>
      </c>
      <c r="O13">
        <v>0.38866097826250601</v>
      </c>
    </row>
    <row r="14" spans="1:15" x14ac:dyDescent="0.3">
      <c r="A14">
        <v>65</v>
      </c>
      <c r="B14">
        <v>1021</v>
      </c>
      <c r="C14">
        <v>228</v>
      </c>
      <c r="D14" t="s">
        <v>19</v>
      </c>
      <c r="E14" t="s">
        <v>16</v>
      </c>
      <c r="F14" t="s">
        <v>17</v>
      </c>
      <c r="G14" t="s">
        <v>18</v>
      </c>
      <c r="H14">
        <v>275.39999999999998</v>
      </c>
      <c r="I14">
        <v>249.5</v>
      </c>
      <c r="J14">
        <v>93.4</v>
      </c>
      <c r="K14">
        <v>64</v>
      </c>
      <c r="L14">
        <v>28.4</v>
      </c>
      <c r="M14">
        <v>13</v>
      </c>
      <c r="N14">
        <v>8.8250166064588104E-2</v>
      </c>
      <c r="O14">
        <v>0.14351889709069801</v>
      </c>
    </row>
    <row r="15" spans="1:15" x14ac:dyDescent="0.3">
      <c r="A15">
        <v>66</v>
      </c>
      <c r="B15">
        <v>1021</v>
      </c>
      <c r="C15">
        <v>228</v>
      </c>
      <c r="D15" t="s">
        <v>19</v>
      </c>
      <c r="E15" t="s">
        <v>16</v>
      </c>
      <c r="F15" t="s">
        <v>17</v>
      </c>
      <c r="G15" t="s">
        <v>18</v>
      </c>
      <c r="H15">
        <v>275.39999999999998</v>
      </c>
      <c r="I15">
        <v>249.5</v>
      </c>
      <c r="J15">
        <v>93.4</v>
      </c>
      <c r="K15">
        <v>64</v>
      </c>
      <c r="L15">
        <v>28.4</v>
      </c>
      <c r="M15">
        <v>13</v>
      </c>
      <c r="N15">
        <v>7.0392633511526095E-2</v>
      </c>
      <c r="O15">
        <v>0.14969106021568199</v>
      </c>
    </row>
    <row r="16" spans="1:15" x14ac:dyDescent="0.3">
      <c r="A16">
        <v>67</v>
      </c>
      <c r="B16">
        <v>1021</v>
      </c>
      <c r="C16">
        <v>228</v>
      </c>
      <c r="D16" t="s">
        <v>19</v>
      </c>
      <c r="E16" t="s">
        <v>16</v>
      </c>
      <c r="F16" t="s">
        <v>17</v>
      </c>
      <c r="G16" t="s">
        <v>18</v>
      </c>
      <c r="H16">
        <v>275.39999999999998</v>
      </c>
      <c r="I16">
        <v>249.5</v>
      </c>
      <c r="J16">
        <v>93.4</v>
      </c>
      <c r="K16">
        <v>64</v>
      </c>
      <c r="L16">
        <v>28.4</v>
      </c>
      <c r="M16">
        <v>13</v>
      </c>
      <c r="N16">
        <v>8.7942641793875204E-2</v>
      </c>
      <c r="O16">
        <v>0.12803494635116699</v>
      </c>
    </row>
    <row r="17" spans="1:15" x14ac:dyDescent="0.3">
      <c r="A17">
        <v>68</v>
      </c>
      <c r="B17">
        <v>1021</v>
      </c>
      <c r="C17">
        <v>228</v>
      </c>
      <c r="D17" t="s">
        <v>19</v>
      </c>
      <c r="E17" t="s">
        <v>16</v>
      </c>
      <c r="F17" t="s">
        <v>17</v>
      </c>
      <c r="G17" t="s">
        <v>18</v>
      </c>
      <c r="H17">
        <v>275.39999999999998</v>
      </c>
      <c r="I17">
        <v>249.5</v>
      </c>
      <c r="J17">
        <v>93.4</v>
      </c>
      <c r="K17">
        <v>64</v>
      </c>
      <c r="L17">
        <v>28.4</v>
      </c>
      <c r="M17">
        <v>13</v>
      </c>
      <c r="N17">
        <v>9.1186274048892194E-2</v>
      </c>
      <c r="O17">
        <v>0.116285508836537</v>
      </c>
    </row>
    <row r="18" spans="1:15" x14ac:dyDescent="0.3">
      <c r="A18">
        <v>71</v>
      </c>
      <c r="B18">
        <v>1023</v>
      </c>
      <c r="C18">
        <v>261</v>
      </c>
      <c r="D18" t="s">
        <v>23</v>
      </c>
      <c r="E18" t="s">
        <v>20</v>
      </c>
      <c r="F18" t="s">
        <v>17</v>
      </c>
      <c r="G18" t="s">
        <v>24</v>
      </c>
      <c r="H18">
        <v>276.60000000000002</v>
      </c>
      <c r="I18">
        <v>246</v>
      </c>
      <c r="J18">
        <v>96.1</v>
      </c>
      <c r="K18">
        <v>65.5</v>
      </c>
      <c r="L18">
        <v>29.4</v>
      </c>
      <c r="M18">
        <v>12</v>
      </c>
      <c r="N18">
        <v>2.6381806266959702E-2</v>
      </c>
      <c r="O18">
        <v>0.33817474517208501</v>
      </c>
    </row>
    <row r="19" spans="1:15" x14ac:dyDescent="0.3">
      <c r="A19">
        <v>72</v>
      </c>
      <c r="B19">
        <v>1023</v>
      </c>
      <c r="C19">
        <v>261</v>
      </c>
      <c r="D19" t="s">
        <v>23</v>
      </c>
      <c r="E19" t="s">
        <v>20</v>
      </c>
      <c r="F19" t="s">
        <v>17</v>
      </c>
      <c r="G19" t="s">
        <v>24</v>
      </c>
      <c r="H19">
        <v>276.60000000000002</v>
      </c>
      <c r="I19">
        <v>246</v>
      </c>
      <c r="J19">
        <v>96.1</v>
      </c>
      <c r="K19">
        <v>65.5</v>
      </c>
      <c r="L19">
        <v>29.4</v>
      </c>
      <c r="M19">
        <v>12</v>
      </c>
      <c r="N19">
        <v>2.62111096607812E-2</v>
      </c>
      <c r="O19">
        <v>0.33743280988555902</v>
      </c>
    </row>
    <row r="20" spans="1:15" x14ac:dyDescent="0.3">
      <c r="A20">
        <v>73</v>
      </c>
      <c r="B20">
        <v>1023</v>
      </c>
      <c r="C20">
        <v>261</v>
      </c>
      <c r="D20" t="s">
        <v>23</v>
      </c>
      <c r="E20" t="s">
        <v>20</v>
      </c>
      <c r="F20" t="s">
        <v>17</v>
      </c>
      <c r="G20" t="s">
        <v>24</v>
      </c>
      <c r="H20">
        <v>276.60000000000002</v>
      </c>
      <c r="I20">
        <v>246</v>
      </c>
      <c r="J20">
        <v>96.1</v>
      </c>
      <c r="K20">
        <v>65.5</v>
      </c>
      <c r="L20">
        <v>29.4</v>
      </c>
      <c r="M20">
        <v>12</v>
      </c>
      <c r="N20">
        <v>3.4456683615126701E-2</v>
      </c>
      <c r="O20">
        <v>0.34364370837463198</v>
      </c>
    </row>
    <row r="21" spans="1:15" x14ac:dyDescent="0.3">
      <c r="A21">
        <v>94</v>
      </c>
      <c r="B21">
        <v>1033</v>
      </c>
      <c r="C21">
        <v>325</v>
      </c>
      <c r="D21" t="s">
        <v>19</v>
      </c>
      <c r="E21" t="s">
        <v>16</v>
      </c>
      <c r="F21" t="s">
        <v>17</v>
      </c>
      <c r="G21" t="s">
        <v>25</v>
      </c>
      <c r="H21">
        <v>274</v>
      </c>
      <c r="I21">
        <v>243.5</v>
      </c>
      <c r="J21">
        <v>94.8</v>
      </c>
      <c r="K21">
        <v>65.5</v>
      </c>
      <c r="L21">
        <v>26.1</v>
      </c>
      <c r="M21">
        <v>13</v>
      </c>
      <c r="N21">
        <v>0.208144934226213</v>
      </c>
      <c r="O21">
        <v>7.1634236897305498E-2</v>
      </c>
    </row>
    <row r="22" spans="1:15" x14ac:dyDescent="0.3">
      <c r="A22">
        <v>95</v>
      </c>
      <c r="B22">
        <v>1033</v>
      </c>
      <c r="C22">
        <v>325</v>
      </c>
      <c r="D22" t="s">
        <v>19</v>
      </c>
      <c r="E22" t="s">
        <v>16</v>
      </c>
      <c r="F22" t="s">
        <v>17</v>
      </c>
      <c r="G22" t="s">
        <v>25</v>
      </c>
      <c r="H22">
        <v>274</v>
      </c>
      <c r="I22">
        <v>243.5</v>
      </c>
      <c r="J22">
        <v>94.8</v>
      </c>
      <c r="K22">
        <v>65.5</v>
      </c>
      <c r="L22">
        <v>26.1</v>
      </c>
      <c r="M22">
        <v>13</v>
      </c>
      <c r="N22">
        <v>0.226490564508634</v>
      </c>
      <c r="O22">
        <v>9.3496573098886399E-2</v>
      </c>
    </row>
    <row r="23" spans="1:15" x14ac:dyDescent="0.3">
      <c r="A23">
        <v>108</v>
      </c>
      <c r="B23">
        <v>1037</v>
      </c>
      <c r="C23">
        <v>122</v>
      </c>
      <c r="D23" t="s">
        <v>23</v>
      </c>
      <c r="E23" t="s">
        <v>20</v>
      </c>
      <c r="F23" t="s">
        <v>17</v>
      </c>
      <c r="G23" t="s">
        <v>25</v>
      </c>
      <c r="H23">
        <v>276.60000000000002</v>
      </c>
      <c r="I23">
        <v>246.5</v>
      </c>
      <c r="J23">
        <v>96.7</v>
      </c>
      <c r="K23">
        <v>65.5</v>
      </c>
      <c r="L23">
        <v>30.9</v>
      </c>
      <c r="M23">
        <v>8.5</v>
      </c>
      <c r="N23">
        <v>7.0549065467127997E-2</v>
      </c>
      <c r="O23">
        <v>0.28702044336403798</v>
      </c>
    </row>
    <row r="24" spans="1:15" x14ac:dyDescent="0.3">
      <c r="A24">
        <v>109</v>
      </c>
      <c r="B24">
        <v>1037</v>
      </c>
      <c r="C24">
        <v>122</v>
      </c>
      <c r="D24" t="s">
        <v>23</v>
      </c>
      <c r="E24" t="s">
        <v>20</v>
      </c>
      <c r="F24" t="s">
        <v>17</v>
      </c>
      <c r="G24" t="s">
        <v>25</v>
      </c>
      <c r="H24">
        <v>276.60000000000002</v>
      </c>
      <c r="I24">
        <v>246.5</v>
      </c>
      <c r="J24">
        <v>96.7</v>
      </c>
      <c r="K24">
        <v>65.5</v>
      </c>
      <c r="L24">
        <v>30.9</v>
      </c>
      <c r="M24">
        <v>8.5</v>
      </c>
      <c r="N24">
        <v>6.5169774309274398E-2</v>
      </c>
      <c r="O24">
        <v>0.298977813277292</v>
      </c>
    </row>
    <row r="25" spans="1:15" x14ac:dyDescent="0.3">
      <c r="A25">
        <v>110</v>
      </c>
      <c r="B25">
        <v>1038</v>
      </c>
      <c r="C25">
        <v>193</v>
      </c>
      <c r="D25" t="s">
        <v>19</v>
      </c>
      <c r="E25" t="s">
        <v>20</v>
      </c>
      <c r="F25" t="s">
        <v>21</v>
      </c>
      <c r="G25" t="s">
        <v>25</v>
      </c>
      <c r="H25">
        <v>279.60000000000002</v>
      </c>
      <c r="I25">
        <v>259.5</v>
      </c>
      <c r="J25">
        <v>97.1</v>
      </c>
      <c r="K25">
        <v>67.5</v>
      </c>
      <c r="L25">
        <v>25.4</v>
      </c>
      <c r="M25">
        <v>7.5</v>
      </c>
      <c r="N25">
        <v>0.109300072995915</v>
      </c>
      <c r="O25">
        <v>2.5783607728589401E-2</v>
      </c>
    </row>
    <row r="26" spans="1:15" x14ac:dyDescent="0.3">
      <c r="A26">
        <v>111</v>
      </c>
      <c r="B26">
        <v>1038</v>
      </c>
      <c r="C26">
        <v>193</v>
      </c>
      <c r="D26" t="s">
        <v>19</v>
      </c>
      <c r="E26" t="s">
        <v>20</v>
      </c>
      <c r="F26" t="s">
        <v>21</v>
      </c>
      <c r="G26" t="s">
        <v>25</v>
      </c>
      <c r="H26">
        <v>279.60000000000002</v>
      </c>
      <c r="I26">
        <v>259.5</v>
      </c>
      <c r="J26">
        <v>97.1</v>
      </c>
      <c r="K26">
        <v>67.5</v>
      </c>
      <c r="L26">
        <v>25.4</v>
      </c>
      <c r="M26">
        <v>7.5</v>
      </c>
      <c r="N26">
        <v>0.123463986090869</v>
      </c>
      <c r="O26">
        <v>1.7398660232215101E-2</v>
      </c>
    </row>
    <row r="27" spans="1:15" x14ac:dyDescent="0.3">
      <c r="A27">
        <v>125</v>
      </c>
      <c r="B27">
        <v>1043</v>
      </c>
      <c r="C27">
        <v>197</v>
      </c>
      <c r="D27" t="s">
        <v>19</v>
      </c>
      <c r="E27" t="s">
        <v>20</v>
      </c>
      <c r="F27" t="s">
        <v>17</v>
      </c>
      <c r="G27" t="s">
        <v>25</v>
      </c>
      <c r="H27">
        <v>280.10000000000002</v>
      </c>
      <c r="I27">
        <v>249.5</v>
      </c>
      <c r="J27">
        <v>95.8</v>
      </c>
      <c r="K27">
        <v>69.5</v>
      </c>
      <c r="L27">
        <v>26.6</v>
      </c>
      <c r="M27">
        <v>6.5</v>
      </c>
      <c r="N27">
        <v>0.195401583263071</v>
      </c>
      <c r="O27">
        <v>2.1683591212189299E-2</v>
      </c>
    </row>
    <row r="28" spans="1:15" x14ac:dyDescent="0.3">
      <c r="A28">
        <v>126</v>
      </c>
      <c r="B28">
        <v>1044</v>
      </c>
      <c r="C28">
        <v>190</v>
      </c>
      <c r="D28" t="s">
        <v>23</v>
      </c>
      <c r="E28" t="s">
        <v>20</v>
      </c>
      <c r="F28" t="s">
        <v>21</v>
      </c>
      <c r="G28" t="s">
        <v>24</v>
      </c>
      <c r="H28">
        <v>276.60000000000002</v>
      </c>
      <c r="I28">
        <v>243.5</v>
      </c>
      <c r="J28">
        <v>94.8</v>
      </c>
      <c r="K28">
        <v>67</v>
      </c>
      <c r="L28">
        <v>27</v>
      </c>
      <c r="M28">
        <v>9.5</v>
      </c>
      <c r="N28">
        <v>0.109354582739725</v>
      </c>
      <c r="O28">
        <v>0.273907113876869</v>
      </c>
    </row>
    <row r="29" spans="1:15" x14ac:dyDescent="0.3">
      <c r="A29">
        <v>127</v>
      </c>
      <c r="B29">
        <v>1044</v>
      </c>
      <c r="C29">
        <v>190</v>
      </c>
      <c r="D29" t="s">
        <v>23</v>
      </c>
      <c r="E29" t="s">
        <v>20</v>
      </c>
      <c r="F29" t="s">
        <v>21</v>
      </c>
      <c r="G29" t="s">
        <v>24</v>
      </c>
      <c r="H29">
        <v>276.60000000000002</v>
      </c>
      <c r="I29">
        <v>243.5</v>
      </c>
      <c r="J29">
        <v>94.8</v>
      </c>
      <c r="K29">
        <v>67</v>
      </c>
      <c r="L29">
        <v>27</v>
      </c>
      <c r="M29">
        <v>9.5</v>
      </c>
      <c r="N29">
        <v>0.110620389302687</v>
      </c>
      <c r="O29">
        <v>0.28022836560173903</v>
      </c>
    </row>
    <row r="30" spans="1:15" x14ac:dyDescent="0.3">
      <c r="A30">
        <v>128</v>
      </c>
      <c r="B30">
        <v>1044</v>
      </c>
      <c r="C30">
        <v>190</v>
      </c>
      <c r="D30" t="s">
        <v>23</v>
      </c>
      <c r="E30" t="s">
        <v>20</v>
      </c>
      <c r="F30" t="s">
        <v>21</v>
      </c>
      <c r="G30" t="s">
        <v>24</v>
      </c>
      <c r="H30">
        <v>276.60000000000002</v>
      </c>
      <c r="I30">
        <v>243.5</v>
      </c>
      <c r="J30">
        <v>94.8</v>
      </c>
      <c r="K30">
        <v>67</v>
      </c>
      <c r="L30">
        <v>27</v>
      </c>
      <c r="M30">
        <v>9.5</v>
      </c>
      <c r="N30">
        <v>0.124148664272656</v>
      </c>
      <c r="O30">
        <v>0.27933120376527898</v>
      </c>
    </row>
    <row r="31" spans="1:15" x14ac:dyDescent="0.3">
      <c r="A31">
        <v>129</v>
      </c>
      <c r="B31">
        <v>1044</v>
      </c>
      <c r="C31">
        <v>190</v>
      </c>
      <c r="D31" t="s">
        <v>23</v>
      </c>
      <c r="E31" t="s">
        <v>20</v>
      </c>
      <c r="F31" t="s">
        <v>21</v>
      </c>
      <c r="G31" t="s">
        <v>24</v>
      </c>
      <c r="H31">
        <v>276.60000000000002</v>
      </c>
      <c r="I31">
        <v>243.5</v>
      </c>
      <c r="J31">
        <v>94.8</v>
      </c>
      <c r="K31">
        <v>67</v>
      </c>
      <c r="L31">
        <v>27</v>
      </c>
      <c r="M31">
        <v>9.5</v>
      </c>
      <c r="N31">
        <v>0.105617010215593</v>
      </c>
      <c r="O31">
        <v>0.26623857669079798</v>
      </c>
    </row>
    <row r="32" spans="1:15" x14ac:dyDescent="0.3">
      <c r="A32">
        <v>131</v>
      </c>
      <c r="B32">
        <v>1045</v>
      </c>
      <c r="C32">
        <v>28</v>
      </c>
      <c r="D32" t="s">
        <v>19</v>
      </c>
      <c r="E32" t="s">
        <v>20</v>
      </c>
      <c r="F32" t="s">
        <v>17</v>
      </c>
      <c r="G32" t="s">
        <v>26</v>
      </c>
      <c r="H32">
        <v>274.39999999999998</v>
      </c>
      <c r="I32">
        <v>243.5</v>
      </c>
      <c r="J32">
        <v>94.3</v>
      </c>
      <c r="K32">
        <v>65.5</v>
      </c>
      <c r="L32">
        <v>28</v>
      </c>
      <c r="M32">
        <v>5.5</v>
      </c>
      <c r="N32">
        <v>0.29575086808558998</v>
      </c>
      <c r="O32">
        <v>6.5607287926228497E-2</v>
      </c>
    </row>
    <row r="33" spans="1:15" x14ac:dyDescent="0.3">
      <c r="A33">
        <v>152</v>
      </c>
      <c r="B33">
        <v>1051</v>
      </c>
      <c r="C33">
        <v>350</v>
      </c>
      <c r="D33" t="s">
        <v>23</v>
      </c>
      <c r="E33" t="s">
        <v>16</v>
      </c>
      <c r="F33" t="s">
        <v>21</v>
      </c>
      <c r="G33" t="s">
        <v>26</v>
      </c>
      <c r="H33">
        <v>271.60000000000002</v>
      </c>
      <c r="I33">
        <v>240.5</v>
      </c>
      <c r="J33">
        <v>93.3</v>
      </c>
      <c r="K33">
        <v>65</v>
      </c>
      <c r="L33">
        <v>23.4</v>
      </c>
      <c r="M33">
        <v>7.5</v>
      </c>
      <c r="N33">
        <v>0.27580868078966497</v>
      </c>
      <c r="O33">
        <v>0.38388481776600097</v>
      </c>
    </row>
    <row r="34" spans="1:15" x14ac:dyDescent="0.3">
      <c r="A34">
        <v>162</v>
      </c>
      <c r="B34">
        <v>1056</v>
      </c>
      <c r="C34">
        <v>337</v>
      </c>
      <c r="D34" t="s">
        <v>23</v>
      </c>
      <c r="E34" t="s">
        <v>20</v>
      </c>
      <c r="F34" t="s">
        <v>21</v>
      </c>
      <c r="G34" t="s">
        <v>24</v>
      </c>
      <c r="H34">
        <v>279.7</v>
      </c>
      <c r="I34">
        <v>255</v>
      </c>
      <c r="J34">
        <v>95.2</v>
      </c>
      <c r="K34">
        <v>68</v>
      </c>
      <c r="L34">
        <v>25.3</v>
      </c>
      <c r="M34">
        <v>5.5</v>
      </c>
      <c r="N34">
        <v>0.206562000590267</v>
      </c>
      <c r="O34">
        <v>0.37940815549055201</v>
      </c>
    </row>
    <row r="35" spans="1:15" x14ac:dyDescent="0.3">
      <c r="A35">
        <v>163</v>
      </c>
      <c r="B35">
        <v>1056</v>
      </c>
      <c r="C35">
        <v>337</v>
      </c>
      <c r="D35" t="s">
        <v>23</v>
      </c>
      <c r="E35" t="s">
        <v>20</v>
      </c>
      <c r="F35" t="s">
        <v>21</v>
      </c>
      <c r="G35" t="s">
        <v>24</v>
      </c>
      <c r="H35">
        <v>279.7</v>
      </c>
      <c r="I35">
        <v>255</v>
      </c>
      <c r="J35">
        <v>95.2</v>
      </c>
      <c r="K35">
        <v>68</v>
      </c>
      <c r="L35">
        <v>25.3</v>
      </c>
      <c r="M35">
        <v>5.5</v>
      </c>
      <c r="N35">
        <v>0.23262933733588101</v>
      </c>
      <c r="O35">
        <v>0.35752739948013601</v>
      </c>
    </row>
    <row r="36" spans="1:15" x14ac:dyDescent="0.3">
      <c r="A36">
        <v>175</v>
      </c>
      <c r="B36">
        <v>1060</v>
      </c>
      <c r="C36">
        <v>346</v>
      </c>
      <c r="D36" t="s">
        <v>19</v>
      </c>
      <c r="E36" t="s">
        <v>20</v>
      </c>
      <c r="F36" t="s">
        <v>21</v>
      </c>
      <c r="G36" t="s">
        <v>22</v>
      </c>
      <c r="H36">
        <v>271.60000000000002</v>
      </c>
      <c r="I36">
        <v>238</v>
      </c>
      <c r="J36">
        <v>91.3</v>
      </c>
      <c r="K36">
        <v>63</v>
      </c>
      <c r="L36">
        <v>24.7</v>
      </c>
      <c r="M36">
        <v>8</v>
      </c>
      <c r="N36">
        <v>0.17676499895872799</v>
      </c>
      <c r="O36">
        <v>1.4281872550138099E-2</v>
      </c>
    </row>
    <row r="37" spans="1:15" x14ac:dyDescent="0.3">
      <c r="A37">
        <v>176</v>
      </c>
      <c r="B37">
        <v>1060</v>
      </c>
      <c r="C37">
        <v>346</v>
      </c>
      <c r="D37" t="s">
        <v>19</v>
      </c>
      <c r="E37" t="s">
        <v>20</v>
      </c>
      <c r="F37" t="s">
        <v>21</v>
      </c>
      <c r="G37" t="s">
        <v>22</v>
      </c>
      <c r="H37">
        <v>271.60000000000002</v>
      </c>
      <c r="I37">
        <v>238</v>
      </c>
      <c r="J37">
        <v>91.3</v>
      </c>
      <c r="K37">
        <v>63</v>
      </c>
      <c r="L37">
        <v>24.7</v>
      </c>
      <c r="M37">
        <v>8</v>
      </c>
      <c r="N37">
        <v>0.188262857851553</v>
      </c>
      <c r="O37">
        <v>6.30940717293682E-4</v>
      </c>
    </row>
    <row r="38" spans="1:15" x14ac:dyDescent="0.3">
      <c r="A38">
        <v>180</v>
      </c>
      <c r="B38">
        <v>1062</v>
      </c>
      <c r="C38">
        <v>66</v>
      </c>
      <c r="D38" t="s">
        <v>23</v>
      </c>
      <c r="E38" t="s">
        <v>20</v>
      </c>
      <c r="F38" t="s">
        <v>17</v>
      </c>
      <c r="G38" t="s">
        <v>26</v>
      </c>
      <c r="H38">
        <v>276.2</v>
      </c>
      <c r="I38">
        <v>258</v>
      </c>
      <c r="J38">
        <v>95.8</v>
      </c>
      <c r="K38">
        <v>63.5</v>
      </c>
      <c r="L38">
        <v>26.4</v>
      </c>
      <c r="M38">
        <v>7</v>
      </c>
      <c r="N38">
        <v>0.16140944035730201</v>
      </c>
      <c r="O38">
        <v>0.25351773332521099</v>
      </c>
    </row>
    <row r="39" spans="1:15" x14ac:dyDescent="0.3">
      <c r="A39">
        <v>227</v>
      </c>
      <c r="B39">
        <v>1080</v>
      </c>
      <c r="C39">
        <v>351</v>
      </c>
      <c r="D39" t="s">
        <v>23</v>
      </c>
      <c r="E39" t="s">
        <v>20</v>
      </c>
      <c r="F39" t="s">
        <v>21</v>
      </c>
      <c r="G39" t="s">
        <v>18</v>
      </c>
      <c r="H39">
        <v>277.60000000000002</v>
      </c>
      <c r="I39">
        <v>246.5</v>
      </c>
      <c r="J39">
        <v>93.9</v>
      </c>
      <c r="K39">
        <v>67.5</v>
      </c>
      <c r="L39">
        <v>27.5</v>
      </c>
      <c r="M39">
        <v>8</v>
      </c>
      <c r="N39">
        <v>0.15640887256605199</v>
      </c>
      <c r="O39">
        <v>0.315236009131662</v>
      </c>
    </row>
    <row r="40" spans="1:15" x14ac:dyDescent="0.3">
      <c r="A40">
        <v>228</v>
      </c>
      <c r="B40">
        <v>1080</v>
      </c>
      <c r="C40">
        <v>351</v>
      </c>
      <c r="D40" t="s">
        <v>23</v>
      </c>
      <c r="E40" t="s">
        <v>20</v>
      </c>
      <c r="F40" t="s">
        <v>21</v>
      </c>
      <c r="G40" t="s">
        <v>18</v>
      </c>
      <c r="H40">
        <v>277.60000000000002</v>
      </c>
      <c r="I40">
        <v>246.5</v>
      </c>
      <c r="J40">
        <v>93.9</v>
      </c>
      <c r="K40">
        <v>67.5</v>
      </c>
      <c r="L40">
        <v>27.5</v>
      </c>
      <c r="M40">
        <v>8</v>
      </c>
      <c r="N40">
        <v>0.16204838766511101</v>
      </c>
      <c r="O40">
        <v>0.317713974352624</v>
      </c>
    </row>
    <row r="41" spans="1:15" x14ac:dyDescent="0.3">
      <c r="A41">
        <v>229</v>
      </c>
      <c r="B41">
        <v>1081</v>
      </c>
      <c r="C41">
        <v>468</v>
      </c>
      <c r="D41" t="s">
        <v>19</v>
      </c>
      <c r="E41" t="s">
        <v>20</v>
      </c>
      <c r="F41" t="s">
        <v>17</v>
      </c>
      <c r="G41" t="s">
        <v>26</v>
      </c>
      <c r="H41">
        <v>273.39999999999998</v>
      </c>
      <c r="I41">
        <v>243.5</v>
      </c>
      <c r="J41">
        <v>92.9</v>
      </c>
      <c r="K41">
        <v>63.5</v>
      </c>
      <c r="L41">
        <v>24.1</v>
      </c>
      <c r="M41">
        <v>7.5</v>
      </c>
      <c r="N41">
        <v>0.17611552273912001</v>
      </c>
      <c r="O41">
        <v>8.9121182719147804E-2</v>
      </c>
    </row>
    <row r="42" spans="1:15" x14ac:dyDescent="0.3">
      <c r="A42">
        <v>230</v>
      </c>
      <c r="B42">
        <v>1081</v>
      </c>
      <c r="C42">
        <v>468</v>
      </c>
      <c r="D42" t="s">
        <v>19</v>
      </c>
      <c r="E42" t="s">
        <v>20</v>
      </c>
      <c r="F42" t="s">
        <v>17</v>
      </c>
      <c r="G42" t="s">
        <v>26</v>
      </c>
      <c r="H42">
        <v>273.39999999999998</v>
      </c>
      <c r="I42">
        <v>243.5</v>
      </c>
      <c r="J42">
        <v>92.9</v>
      </c>
      <c r="K42">
        <v>63.5</v>
      </c>
      <c r="L42">
        <v>24.1</v>
      </c>
      <c r="M42">
        <v>7.5</v>
      </c>
      <c r="N42">
        <v>0.16629758904927999</v>
      </c>
      <c r="O42">
        <v>9.7748593397842004E-2</v>
      </c>
    </row>
    <row r="43" spans="1:15" x14ac:dyDescent="0.3">
      <c r="A43">
        <v>231</v>
      </c>
      <c r="B43">
        <v>1081</v>
      </c>
      <c r="C43">
        <v>468</v>
      </c>
      <c r="D43" t="s">
        <v>19</v>
      </c>
      <c r="E43" t="s">
        <v>20</v>
      </c>
      <c r="F43" t="s">
        <v>17</v>
      </c>
      <c r="G43" t="s">
        <v>26</v>
      </c>
      <c r="H43">
        <v>273.39999999999998</v>
      </c>
      <c r="I43">
        <v>243.5</v>
      </c>
      <c r="J43">
        <v>92.9</v>
      </c>
      <c r="K43">
        <v>63.5</v>
      </c>
      <c r="L43">
        <v>24.1</v>
      </c>
      <c r="M43">
        <v>7.5</v>
      </c>
      <c r="N43">
        <v>0.172344217323918</v>
      </c>
      <c r="O43">
        <v>9.5452536590678094E-2</v>
      </c>
    </row>
    <row r="44" spans="1:15" x14ac:dyDescent="0.3">
      <c r="A44">
        <v>232</v>
      </c>
      <c r="B44">
        <v>1081</v>
      </c>
      <c r="C44">
        <v>468</v>
      </c>
      <c r="D44" t="s">
        <v>19</v>
      </c>
      <c r="E44" t="s">
        <v>20</v>
      </c>
      <c r="F44" t="s">
        <v>17</v>
      </c>
      <c r="G44" t="s">
        <v>26</v>
      </c>
      <c r="H44">
        <v>273.39999999999998</v>
      </c>
      <c r="I44">
        <v>243.5</v>
      </c>
      <c r="J44">
        <v>92.9</v>
      </c>
      <c r="K44">
        <v>63.5</v>
      </c>
      <c r="L44">
        <v>24.1</v>
      </c>
      <c r="M44">
        <v>7.5</v>
      </c>
      <c r="N44">
        <v>0.17323310543276399</v>
      </c>
      <c r="O44">
        <v>0.106042181579853</v>
      </c>
    </row>
    <row r="45" spans="1:15" x14ac:dyDescent="0.3">
      <c r="A45">
        <v>233</v>
      </c>
      <c r="B45">
        <v>1081</v>
      </c>
      <c r="C45">
        <v>468</v>
      </c>
      <c r="D45" t="s">
        <v>19</v>
      </c>
      <c r="E45" t="s">
        <v>20</v>
      </c>
      <c r="F45" t="s">
        <v>17</v>
      </c>
      <c r="G45" t="s">
        <v>26</v>
      </c>
      <c r="H45">
        <v>273.39999999999998</v>
      </c>
      <c r="I45">
        <v>243.5</v>
      </c>
      <c r="J45">
        <v>92.9</v>
      </c>
      <c r="K45">
        <v>63.5</v>
      </c>
      <c r="L45">
        <v>24.1</v>
      </c>
      <c r="M45">
        <v>7.5</v>
      </c>
      <c r="N45">
        <v>0.159479862317429</v>
      </c>
      <c r="O45">
        <v>8.6629580632943196E-2</v>
      </c>
    </row>
    <row r="46" spans="1:15" x14ac:dyDescent="0.3">
      <c r="A46">
        <v>237</v>
      </c>
      <c r="B46">
        <v>1083</v>
      </c>
      <c r="C46">
        <v>89</v>
      </c>
      <c r="D46" t="s">
        <v>19</v>
      </c>
      <c r="E46" t="s">
        <v>20</v>
      </c>
      <c r="F46" t="s">
        <v>17</v>
      </c>
      <c r="G46" t="s">
        <v>26</v>
      </c>
      <c r="H46">
        <v>275.89999999999998</v>
      </c>
      <c r="I46">
        <v>245.5</v>
      </c>
      <c r="J46">
        <v>92.8</v>
      </c>
      <c r="K46">
        <v>66.5</v>
      </c>
      <c r="L46">
        <v>26.7</v>
      </c>
      <c r="M46">
        <v>12.5</v>
      </c>
      <c r="N46">
        <v>6.2650663329319095E-2</v>
      </c>
      <c r="O46">
        <v>0.121743031853447</v>
      </c>
    </row>
    <row r="47" spans="1:15" x14ac:dyDescent="0.3">
      <c r="A47">
        <v>238</v>
      </c>
      <c r="B47">
        <v>1083</v>
      </c>
      <c r="C47">
        <v>89</v>
      </c>
      <c r="D47" t="s">
        <v>19</v>
      </c>
      <c r="E47" t="s">
        <v>20</v>
      </c>
      <c r="F47" t="s">
        <v>17</v>
      </c>
      <c r="G47" t="s">
        <v>26</v>
      </c>
      <c r="H47">
        <v>275.89999999999998</v>
      </c>
      <c r="I47">
        <v>245.5</v>
      </c>
      <c r="J47">
        <v>92.8</v>
      </c>
      <c r="K47">
        <v>66.5</v>
      </c>
      <c r="L47">
        <v>26.7</v>
      </c>
      <c r="M47">
        <v>12.5</v>
      </c>
      <c r="N47">
        <v>6.5961828891226607E-2</v>
      </c>
      <c r="O47">
        <v>0.107912962439738</v>
      </c>
    </row>
    <row r="48" spans="1:15" x14ac:dyDescent="0.3">
      <c r="A48">
        <v>239</v>
      </c>
      <c r="B48">
        <v>1084</v>
      </c>
      <c r="C48">
        <v>494</v>
      </c>
      <c r="D48" t="s">
        <v>19</v>
      </c>
      <c r="E48" t="s">
        <v>16</v>
      </c>
      <c r="F48" t="s">
        <v>17</v>
      </c>
      <c r="G48" t="s">
        <v>22</v>
      </c>
      <c r="H48">
        <v>281.3</v>
      </c>
      <c r="I48">
        <v>262</v>
      </c>
      <c r="J48">
        <v>97.7</v>
      </c>
      <c r="K48">
        <v>70</v>
      </c>
      <c r="L48">
        <v>27</v>
      </c>
      <c r="M48">
        <v>4</v>
      </c>
      <c r="N48">
        <v>0.123432949308091</v>
      </c>
      <c r="O48">
        <v>0.19281856312644499</v>
      </c>
    </row>
    <row r="49" spans="1:15" x14ac:dyDescent="0.3">
      <c r="A49">
        <v>240</v>
      </c>
      <c r="B49">
        <v>1084</v>
      </c>
      <c r="C49">
        <v>494</v>
      </c>
      <c r="D49" t="s">
        <v>19</v>
      </c>
      <c r="E49" t="s">
        <v>16</v>
      </c>
      <c r="F49" t="s">
        <v>17</v>
      </c>
      <c r="G49" t="s">
        <v>22</v>
      </c>
      <c r="H49">
        <v>281.3</v>
      </c>
      <c r="I49">
        <v>262</v>
      </c>
      <c r="J49">
        <v>97.7</v>
      </c>
      <c r="K49">
        <v>70</v>
      </c>
      <c r="L49">
        <v>27</v>
      </c>
      <c r="M49">
        <v>4</v>
      </c>
      <c r="N49">
        <v>0.10142717783326199</v>
      </c>
      <c r="O49">
        <v>0.191272885054807</v>
      </c>
    </row>
    <row r="50" spans="1:15" x14ac:dyDescent="0.3">
      <c r="A50">
        <v>241</v>
      </c>
      <c r="B50">
        <v>1084</v>
      </c>
      <c r="C50">
        <v>494</v>
      </c>
      <c r="D50" t="s">
        <v>19</v>
      </c>
      <c r="E50" t="s">
        <v>16</v>
      </c>
      <c r="F50" t="s">
        <v>17</v>
      </c>
      <c r="G50" t="s">
        <v>22</v>
      </c>
      <c r="H50">
        <v>281.3</v>
      </c>
      <c r="I50">
        <v>262</v>
      </c>
      <c r="J50">
        <v>97.7</v>
      </c>
      <c r="K50">
        <v>70</v>
      </c>
      <c r="L50">
        <v>27</v>
      </c>
      <c r="M50">
        <v>4</v>
      </c>
      <c r="N50">
        <v>0.119186547267253</v>
      </c>
      <c r="O50">
        <v>0.19343058032805399</v>
      </c>
    </row>
    <row r="51" spans="1:15" x14ac:dyDescent="0.3">
      <c r="A51">
        <v>242</v>
      </c>
      <c r="B51">
        <v>1084</v>
      </c>
      <c r="C51">
        <v>494</v>
      </c>
      <c r="D51" t="s">
        <v>19</v>
      </c>
      <c r="E51" t="s">
        <v>16</v>
      </c>
      <c r="F51" t="s">
        <v>17</v>
      </c>
      <c r="G51" t="s">
        <v>22</v>
      </c>
      <c r="H51">
        <v>281.3</v>
      </c>
      <c r="I51">
        <v>262</v>
      </c>
      <c r="J51">
        <v>97.7</v>
      </c>
      <c r="K51">
        <v>70</v>
      </c>
      <c r="L51">
        <v>27</v>
      </c>
      <c r="M51">
        <v>4</v>
      </c>
      <c r="N51">
        <v>0.13441894442906299</v>
      </c>
      <c r="O51">
        <v>0.170040534549281</v>
      </c>
    </row>
    <row r="52" spans="1:15" x14ac:dyDescent="0.3">
      <c r="A52">
        <v>243</v>
      </c>
      <c r="B52">
        <v>1084</v>
      </c>
      <c r="C52">
        <v>494</v>
      </c>
      <c r="D52" t="s">
        <v>19</v>
      </c>
      <c r="E52" t="s">
        <v>16</v>
      </c>
      <c r="F52" t="s">
        <v>17</v>
      </c>
      <c r="G52" t="s">
        <v>22</v>
      </c>
      <c r="H52">
        <v>281.3</v>
      </c>
      <c r="I52">
        <v>262</v>
      </c>
      <c r="J52">
        <v>97.7</v>
      </c>
      <c r="K52">
        <v>70</v>
      </c>
      <c r="L52">
        <v>27</v>
      </c>
      <c r="M52">
        <v>4</v>
      </c>
      <c r="N52">
        <v>0.12286625224723099</v>
      </c>
      <c r="O52">
        <v>0.204854300159868</v>
      </c>
    </row>
    <row r="53" spans="1:15" x14ac:dyDescent="0.3">
      <c r="A53">
        <v>250</v>
      </c>
      <c r="B53">
        <v>1088</v>
      </c>
      <c r="C53">
        <v>366</v>
      </c>
      <c r="D53" t="s">
        <v>19</v>
      </c>
      <c r="E53" t="s">
        <v>20</v>
      </c>
      <c r="F53" t="s">
        <v>17</v>
      </c>
      <c r="G53" t="s">
        <v>26</v>
      </c>
      <c r="H53">
        <v>275.89999999999998</v>
      </c>
      <c r="I53">
        <v>255</v>
      </c>
      <c r="J53">
        <v>94.9</v>
      </c>
      <c r="K53">
        <v>64</v>
      </c>
      <c r="L53">
        <v>26.8</v>
      </c>
      <c r="M53">
        <v>17</v>
      </c>
      <c r="N53">
        <v>0.18096776998515299</v>
      </c>
      <c r="O53">
        <v>0.138473010186724</v>
      </c>
    </row>
    <row r="54" spans="1:15" x14ac:dyDescent="0.3">
      <c r="A54">
        <v>251</v>
      </c>
      <c r="B54">
        <v>1088</v>
      </c>
      <c r="C54">
        <v>366</v>
      </c>
      <c r="D54" t="s">
        <v>19</v>
      </c>
      <c r="E54" t="s">
        <v>20</v>
      </c>
      <c r="F54" t="s">
        <v>17</v>
      </c>
      <c r="G54" t="s">
        <v>26</v>
      </c>
      <c r="H54">
        <v>275.89999999999998</v>
      </c>
      <c r="I54">
        <v>255</v>
      </c>
      <c r="J54">
        <v>94.9</v>
      </c>
      <c r="K54">
        <v>64</v>
      </c>
      <c r="L54">
        <v>26.8</v>
      </c>
      <c r="M54">
        <v>17</v>
      </c>
      <c r="N54">
        <v>0.165179651641784</v>
      </c>
      <c r="O54">
        <v>0.130114391660275</v>
      </c>
    </row>
    <row r="55" spans="1:15" x14ac:dyDescent="0.3">
      <c r="A55">
        <v>254</v>
      </c>
      <c r="B55">
        <v>109</v>
      </c>
      <c r="C55">
        <v>466</v>
      </c>
      <c r="D55" t="s">
        <v>23</v>
      </c>
      <c r="E55" t="s">
        <v>20</v>
      </c>
      <c r="F55" t="s">
        <v>21</v>
      </c>
      <c r="G55" t="s">
        <v>24</v>
      </c>
      <c r="H55">
        <v>282.10000000000002</v>
      </c>
      <c r="I55">
        <v>257</v>
      </c>
      <c r="J55">
        <v>100.3</v>
      </c>
      <c r="K55">
        <v>68.5</v>
      </c>
      <c r="L55">
        <v>27.5</v>
      </c>
      <c r="M55">
        <v>11</v>
      </c>
      <c r="N55">
        <v>7.2824051741045601E-2</v>
      </c>
      <c r="O55">
        <v>0.287352484811778</v>
      </c>
    </row>
    <row r="56" spans="1:15" x14ac:dyDescent="0.3">
      <c r="A56">
        <v>255</v>
      </c>
      <c r="B56">
        <v>109</v>
      </c>
      <c r="C56">
        <v>466</v>
      </c>
      <c r="D56" t="s">
        <v>23</v>
      </c>
      <c r="E56" t="s">
        <v>20</v>
      </c>
      <c r="F56" t="s">
        <v>21</v>
      </c>
      <c r="G56" t="s">
        <v>24</v>
      </c>
      <c r="H56">
        <v>282.10000000000002</v>
      </c>
      <c r="I56">
        <v>257</v>
      </c>
      <c r="J56">
        <v>100.3</v>
      </c>
      <c r="K56">
        <v>68.5</v>
      </c>
      <c r="L56">
        <v>27.5</v>
      </c>
      <c r="M56">
        <v>11</v>
      </c>
      <c r="N56">
        <v>6.6072294192382905E-2</v>
      </c>
      <c r="O56">
        <v>0.302040561570246</v>
      </c>
    </row>
    <row r="57" spans="1:15" x14ac:dyDescent="0.3">
      <c r="A57">
        <v>256</v>
      </c>
      <c r="B57">
        <v>109</v>
      </c>
      <c r="C57">
        <v>466</v>
      </c>
      <c r="D57" t="s">
        <v>23</v>
      </c>
      <c r="E57" t="s">
        <v>20</v>
      </c>
      <c r="F57" t="s">
        <v>21</v>
      </c>
      <c r="G57" t="s">
        <v>24</v>
      </c>
      <c r="H57">
        <v>282.10000000000002</v>
      </c>
      <c r="I57">
        <v>257</v>
      </c>
      <c r="J57">
        <v>100.3</v>
      </c>
      <c r="K57">
        <v>68.5</v>
      </c>
      <c r="L57">
        <v>27.5</v>
      </c>
      <c r="M57">
        <v>11</v>
      </c>
      <c r="N57">
        <v>7.8603366405525996E-2</v>
      </c>
      <c r="O57">
        <v>0.29586308632881803</v>
      </c>
    </row>
    <row r="58" spans="1:15" x14ac:dyDescent="0.3">
      <c r="A58">
        <v>263</v>
      </c>
      <c r="B58">
        <v>1093</v>
      </c>
      <c r="C58">
        <v>388</v>
      </c>
      <c r="D58" t="s">
        <v>19</v>
      </c>
      <c r="E58" t="s">
        <v>16</v>
      </c>
      <c r="F58" t="s">
        <v>21</v>
      </c>
      <c r="G58" t="s">
        <v>18</v>
      </c>
      <c r="H58">
        <v>277.10000000000002</v>
      </c>
      <c r="I58">
        <v>244.5</v>
      </c>
      <c r="J58">
        <v>91.9</v>
      </c>
      <c r="K58">
        <v>62.5</v>
      </c>
      <c r="L58">
        <v>25.9</v>
      </c>
      <c r="M58">
        <v>7</v>
      </c>
      <c r="N58">
        <v>9.6645075599816804E-2</v>
      </c>
      <c r="O58">
        <v>6.1735641086645601E-2</v>
      </c>
    </row>
    <row r="59" spans="1:15" x14ac:dyDescent="0.3">
      <c r="A59">
        <v>264</v>
      </c>
      <c r="B59">
        <v>1093</v>
      </c>
      <c r="C59">
        <v>388</v>
      </c>
      <c r="D59" t="s">
        <v>19</v>
      </c>
      <c r="E59" t="s">
        <v>16</v>
      </c>
      <c r="F59" t="s">
        <v>21</v>
      </c>
      <c r="G59" t="s">
        <v>18</v>
      </c>
      <c r="H59">
        <v>277.10000000000002</v>
      </c>
      <c r="I59">
        <v>244.5</v>
      </c>
      <c r="J59">
        <v>91.9</v>
      </c>
      <c r="K59">
        <v>62.5</v>
      </c>
      <c r="L59">
        <v>25.9</v>
      </c>
      <c r="M59">
        <v>7</v>
      </c>
      <c r="N59">
        <v>0.12342626772255701</v>
      </c>
      <c r="O59">
        <v>6.1295496444648399E-2</v>
      </c>
    </row>
    <row r="60" spans="1:15" x14ac:dyDescent="0.3">
      <c r="A60">
        <v>287</v>
      </c>
      <c r="B60">
        <v>1100</v>
      </c>
      <c r="C60">
        <v>114</v>
      </c>
      <c r="D60" t="s">
        <v>19</v>
      </c>
      <c r="E60" t="s">
        <v>16</v>
      </c>
      <c r="F60" t="s">
        <v>21</v>
      </c>
      <c r="G60" t="s">
        <v>18</v>
      </c>
      <c r="H60">
        <v>275.89999999999998</v>
      </c>
      <c r="I60">
        <v>254</v>
      </c>
      <c r="J60">
        <v>97.2</v>
      </c>
      <c r="K60">
        <v>66.5</v>
      </c>
      <c r="L60">
        <v>28.5</v>
      </c>
      <c r="M60">
        <v>5.5</v>
      </c>
      <c r="N60">
        <v>0.13341198992415801</v>
      </c>
      <c r="O60">
        <v>0.20608741611749001</v>
      </c>
    </row>
    <row r="61" spans="1:15" x14ac:dyDescent="0.3">
      <c r="A61">
        <v>294</v>
      </c>
      <c r="B61">
        <v>1103</v>
      </c>
      <c r="C61">
        <v>417</v>
      </c>
      <c r="D61" t="s">
        <v>19</v>
      </c>
      <c r="E61" t="s">
        <v>16</v>
      </c>
      <c r="F61" t="s">
        <v>21</v>
      </c>
      <c r="G61" t="s">
        <v>22</v>
      </c>
      <c r="H61">
        <v>268.60000000000002</v>
      </c>
      <c r="I61">
        <v>234.5</v>
      </c>
      <c r="J61">
        <v>92.8</v>
      </c>
      <c r="K61">
        <v>64</v>
      </c>
      <c r="L61">
        <v>24.3</v>
      </c>
      <c r="M61">
        <v>5</v>
      </c>
      <c r="N61">
        <v>0.21984142647632701</v>
      </c>
      <c r="O61">
        <v>0.17095251728882799</v>
      </c>
    </row>
    <row r="62" spans="1:15" x14ac:dyDescent="0.3">
      <c r="A62">
        <v>295</v>
      </c>
      <c r="B62">
        <v>1103</v>
      </c>
      <c r="C62">
        <v>417</v>
      </c>
      <c r="D62" t="s">
        <v>19</v>
      </c>
      <c r="E62" t="s">
        <v>16</v>
      </c>
      <c r="F62" t="s">
        <v>21</v>
      </c>
      <c r="G62" t="s">
        <v>22</v>
      </c>
      <c r="H62">
        <v>268.60000000000002</v>
      </c>
      <c r="I62">
        <v>234.5</v>
      </c>
      <c r="J62">
        <v>92.8</v>
      </c>
      <c r="K62">
        <v>64</v>
      </c>
      <c r="L62">
        <v>24.3</v>
      </c>
      <c r="M62">
        <v>5</v>
      </c>
      <c r="N62">
        <v>0.220459554377121</v>
      </c>
      <c r="O62">
        <v>0.174140748647334</v>
      </c>
    </row>
    <row r="63" spans="1:15" x14ac:dyDescent="0.3">
      <c r="A63">
        <v>296</v>
      </c>
      <c r="B63">
        <v>1103</v>
      </c>
      <c r="C63">
        <v>417</v>
      </c>
      <c r="D63" t="s">
        <v>19</v>
      </c>
      <c r="E63" t="s">
        <v>16</v>
      </c>
      <c r="F63" t="s">
        <v>21</v>
      </c>
      <c r="G63" t="s">
        <v>22</v>
      </c>
      <c r="H63">
        <v>268.60000000000002</v>
      </c>
      <c r="I63">
        <v>234.5</v>
      </c>
      <c r="J63">
        <v>92.8</v>
      </c>
      <c r="K63">
        <v>64</v>
      </c>
      <c r="L63">
        <v>24.3</v>
      </c>
      <c r="M63">
        <v>5</v>
      </c>
      <c r="N63">
        <v>0.229264513863391</v>
      </c>
      <c r="O63">
        <v>0.16397799139878799</v>
      </c>
    </row>
    <row r="64" spans="1:15" x14ac:dyDescent="0.3">
      <c r="A64">
        <v>311</v>
      </c>
      <c r="B64">
        <v>111</v>
      </c>
      <c r="C64">
        <v>483</v>
      </c>
      <c r="D64" t="s">
        <v>23</v>
      </c>
      <c r="E64" t="s">
        <v>20</v>
      </c>
      <c r="F64" t="s">
        <v>21</v>
      </c>
      <c r="G64" t="s">
        <v>22</v>
      </c>
      <c r="H64">
        <v>271.89999999999998</v>
      </c>
      <c r="I64">
        <v>246</v>
      </c>
      <c r="J64">
        <v>94.4</v>
      </c>
      <c r="K64">
        <v>60.5</v>
      </c>
      <c r="L64">
        <v>27.6</v>
      </c>
      <c r="M64">
        <v>13.5</v>
      </c>
      <c r="N64">
        <v>0.118953887681248</v>
      </c>
      <c r="O64">
        <v>0.20696142436311701</v>
      </c>
    </row>
    <row r="65" spans="1:15" x14ac:dyDescent="0.3">
      <c r="A65">
        <v>312</v>
      </c>
      <c r="B65">
        <v>111</v>
      </c>
      <c r="C65">
        <v>483</v>
      </c>
      <c r="D65" t="s">
        <v>23</v>
      </c>
      <c r="E65" t="s">
        <v>20</v>
      </c>
      <c r="F65" t="s">
        <v>21</v>
      </c>
      <c r="G65" t="s">
        <v>22</v>
      </c>
      <c r="H65">
        <v>271.89999999999998</v>
      </c>
      <c r="I65">
        <v>246</v>
      </c>
      <c r="J65">
        <v>94.4</v>
      </c>
      <c r="K65">
        <v>60.5</v>
      </c>
      <c r="L65">
        <v>27.6</v>
      </c>
      <c r="M65">
        <v>13.5</v>
      </c>
      <c r="N65">
        <v>0.107195026097369</v>
      </c>
      <c r="O65">
        <v>0.19942337624089099</v>
      </c>
    </row>
    <row r="66" spans="1:15" x14ac:dyDescent="0.3">
      <c r="A66">
        <v>321</v>
      </c>
      <c r="B66">
        <v>1112</v>
      </c>
      <c r="C66">
        <v>176</v>
      </c>
      <c r="D66" t="s">
        <v>23</v>
      </c>
      <c r="E66" t="s">
        <v>20</v>
      </c>
      <c r="F66" t="s">
        <v>21</v>
      </c>
      <c r="G66" t="s">
        <v>26</v>
      </c>
      <c r="H66">
        <v>274.5</v>
      </c>
      <c r="I66">
        <v>261.5</v>
      </c>
      <c r="J66">
        <v>100.7</v>
      </c>
      <c r="K66">
        <v>67</v>
      </c>
      <c r="L66">
        <v>26.6</v>
      </c>
      <c r="M66">
        <v>10</v>
      </c>
      <c r="N66">
        <v>0.13545848422842799</v>
      </c>
      <c r="O66">
        <v>0.41596165894989201</v>
      </c>
    </row>
    <row r="67" spans="1:15" x14ac:dyDescent="0.3">
      <c r="A67">
        <v>322</v>
      </c>
      <c r="B67">
        <v>1112</v>
      </c>
      <c r="C67">
        <v>176</v>
      </c>
      <c r="D67" t="s">
        <v>23</v>
      </c>
      <c r="E67" t="s">
        <v>20</v>
      </c>
      <c r="F67" t="s">
        <v>21</v>
      </c>
      <c r="G67" t="s">
        <v>26</v>
      </c>
      <c r="H67">
        <v>274.5</v>
      </c>
      <c r="I67">
        <v>261.5</v>
      </c>
      <c r="J67">
        <v>100.7</v>
      </c>
      <c r="K67">
        <v>67</v>
      </c>
      <c r="L67">
        <v>26.6</v>
      </c>
      <c r="M67">
        <v>10</v>
      </c>
      <c r="N67">
        <v>0.14276175797299001</v>
      </c>
      <c r="O67">
        <v>0.41035326839115199</v>
      </c>
    </row>
    <row r="68" spans="1:15" x14ac:dyDescent="0.3">
      <c r="A68">
        <v>323</v>
      </c>
      <c r="B68">
        <v>1112</v>
      </c>
      <c r="C68">
        <v>176</v>
      </c>
      <c r="D68" t="s">
        <v>23</v>
      </c>
      <c r="E68" t="s">
        <v>20</v>
      </c>
      <c r="F68" t="s">
        <v>21</v>
      </c>
      <c r="G68" t="s">
        <v>26</v>
      </c>
      <c r="H68">
        <v>274.5</v>
      </c>
      <c r="I68">
        <v>261.5</v>
      </c>
      <c r="J68">
        <v>100.7</v>
      </c>
      <c r="K68">
        <v>67</v>
      </c>
      <c r="L68">
        <v>26.6</v>
      </c>
      <c r="M68">
        <v>10</v>
      </c>
      <c r="N68">
        <v>0.14914469376197201</v>
      </c>
      <c r="O68">
        <v>0.42955892821594999</v>
      </c>
    </row>
    <row r="69" spans="1:15" x14ac:dyDescent="0.3">
      <c r="A69">
        <v>334</v>
      </c>
      <c r="B69">
        <v>1116</v>
      </c>
      <c r="C69">
        <v>79</v>
      </c>
      <c r="D69" t="s">
        <v>23</v>
      </c>
      <c r="E69" t="s">
        <v>20</v>
      </c>
      <c r="F69" t="s">
        <v>21</v>
      </c>
      <c r="G69" t="s">
        <v>26</v>
      </c>
      <c r="H69">
        <v>276.8</v>
      </c>
      <c r="I69">
        <v>258.5</v>
      </c>
      <c r="J69">
        <v>101.8</v>
      </c>
      <c r="K69">
        <v>65</v>
      </c>
      <c r="L69">
        <v>24.9</v>
      </c>
      <c r="M69">
        <v>11.5</v>
      </c>
      <c r="N69">
        <v>0.15025735722525399</v>
      </c>
      <c r="O69">
        <v>0.19886920509988501</v>
      </c>
    </row>
    <row r="70" spans="1:15" x14ac:dyDescent="0.3">
      <c r="A70">
        <v>335</v>
      </c>
      <c r="B70">
        <v>1116</v>
      </c>
      <c r="C70">
        <v>79</v>
      </c>
      <c r="D70" t="s">
        <v>23</v>
      </c>
      <c r="E70" t="s">
        <v>20</v>
      </c>
      <c r="F70" t="s">
        <v>21</v>
      </c>
      <c r="G70" t="s">
        <v>26</v>
      </c>
      <c r="H70">
        <v>276.8</v>
      </c>
      <c r="I70">
        <v>258.5</v>
      </c>
      <c r="J70">
        <v>101.8</v>
      </c>
      <c r="K70">
        <v>65</v>
      </c>
      <c r="L70">
        <v>24.9</v>
      </c>
      <c r="M70">
        <v>11.5</v>
      </c>
      <c r="N70">
        <v>0.17190282684205099</v>
      </c>
      <c r="O70">
        <v>0.21375858561106501</v>
      </c>
    </row>
    <row r="71" spans="1:15" x14ac:dyDescent="0.3">
      <c r="A71">
        <v>336</v>
      </c>
      <c r="B71">
        <v>1116</v>
      </c>
      <c r="C71">
        <v>79</v>
      </c>
      <c r="D71" t="s">
        <v>23</v>
      </c>
      <c r="E71" t="s">
        <v>20</v>
      </c>
      <c r="F71" t="s">
        <v>21</v>
      </c>
      <c r="G71" t="s">
        <v>26</v>
      </c>
      <c r="H71">
        <v>276.8</v>
      </c>
      <c r="I71">
        <v>258.5</v>
      </c>
      <c r="J71">
        <v>101.8</v>
      </c>
      <c r="K71">
        <v>65</v>
      </c>
      <c r="L71">
        <v>24.9</v>
      </c>
      <c r="M71">
        <v>11.5</v>
      </c>
      <c r="N71">
        <v>0.150466006920871</v>
      </c>
      <c r="O71">
        <v>0.206964964793733</v>
      </c>
    </row>
    <row r="72" spans="1:15" x14ac:dyDescent="0.3">
      <c r="A72">
        <v>337</v>
      </c>
      <c r="B72">
        <v>1116</v>
      </c>
      <c r="C72">
        <v>79</v>
      </c>
      <c r="D72" t="s">
        <v>23</v>
      </c>
      <c r="E72" t="s">
        <v>20</v>
      </c>
      <c r="F72" t="s">
        <v>21</v>
      </c>
      <c r="G72" t="s">
        <v>26</v>
      </c>
      <c r="H72">
        <v>276.8</v>
      </c>
      <c r="I72">
        <v>258.5</v>
      </c>
      <c r="J72">
        <v>101.8</v>
      </c>
      <c r="K72">
        <v>65</v>
      </c>
      <c r="L72">
        <v>24.9</v>
      </c>
      <c r="M72">
        <v>11.5</v>
      </c>
      <c r="N72">
        <v>0.17299690216646299</v>
      </c>
      <c r="O72">
        <v>0.214839707385589</v>
      </c>
    </row>
    <row r="73" spans="1:15" x14ac:dyDescent="0.3">
      <c r="A73">
        <v>338</v>
      </c>
      <c r="B73">
        <v>1116</v>
      </c>
      <c r="C73">
        <v>79</v>
      </c>
      <c r="D73" t="s">
        <v>23</v>
      </c>
      <c r="E73" t="s">
        <v>20</v>
      </c>
      <c r="F73" t="s">
        <v>21</v>
      </c>
      <c r="G73" t="s">
        <v>26</v>
      </c>
      <c r="H73">
        <v>276.8</v>
      </c>
      <c r="I73">
        <v>258.5</v>
      </c>
      <c r="J73">
        <v>101.8</v>
      </c>
      <c r="K73">
        <v>65</v>
      </c>
      <c r="L73">
        <v>24.9</v>
      </c>
      <c r="M73">
        <v>11.5</v>
      </c>
      <c r="N73">
        <v>0.161187010697355</v>
      </c>
      <c r="O73">
        <v>0.205269838297471</v>
      </c>
    </row>
    <row r="74" spans="1:15" x14ac:dyDescent="0.3">
      <c r="A74">
        <v>339</v>
      </c>
      <c r="B74">
        <v>1116</v>
      </c>
      <c r="C74">
        <v>79</v>
      </c>
      <c r="D74" t="s">
        <v>23</v>
      </c>
      <c r="E74" t="s">
        <v>20</v>
      </c>
      <c r="F74" t="s">
        <v>21</v>
      </c>
      <c r="G74" t="s">
        <v>26</v>
      </c>
      <c r="H74">
        <v>276.8</v>
      </c>
      <c r="I74">
        <v>258.5</v>
      </c>
      <c r="J74">
        <v>101.8</v>
      </c>
      <c r="K74">
        <v>65</v>
      </c>
      <c r="L74">
        <v>24.9</v>
      </c>
      <c r="M74">
        <v>11.5</v>
      </c>
      <c r="N74">
        <v>0.15362728347378199</v>
      </c>
      <c r="O74">
        <v>0.19633112635660299</v>
      </c>
    </row>
    <row r="75" spans="1:15" x14ac:dyDescent="0.3">
      <c r="A75">
        <v>345</v>
      </c>
      <c r="B75">
        <v>1118</v>
      </c>
      <c r="C75">
        <v>457</v>
      </c>
      <c r="D75" t="s">
        <v>15</v>
      </c>
      <c r="E75" t="s">
        <v>16</v>
      </c>
      <c r="F75" t="s">
        <v>17</v>
      </c>
      <c r="G75" t="s">
        <v>18</v>
      </c>
      <c r="H75">
        <v>279.3</v>
      </c>
      <c r="I75">
        <v>250</v>
      </c>
      <c r="J75">
        <v>95</v>
      </c>
      <c r="K75">
        <v>67</v>
      </c>
      <c r="L75">
        <v>28.5</v>
      </c>
      <c r="M75">
        <v>7.5</v>
      </c>
      <c r="N75">
        <v>5.1771973932872903E-2</v>
      </c>
      <c r="O75">
        <v>0.17982433969095499</v>
      </c>
    </row>
    <row r="76" spans="1:15" x14ac:dyDescent="0.3">
      <c r="A76">
        <v>377</v>
      </c>
      <c r="B76">
        <v>1130</v>
      </c>
      <c r="C76">
        <v>112</v>
      </c>
      <c r="D76" t="s">
        <v>19</v>
      </c>
      <c r="E76" t="s">
        <v>20</v>
      </c>
      <c r="F76" t="s">
        <v>21</v>
      </c>
      <c r="G76" t="s">
        <v>24</v>
      </c>
      <c r="H76">
        <v>277.2</v>
      </c>
      <c r="I76">
        <v>249</v>
      </c>
      <c r="J76">
        <v>95</v>
      </c>
      <c r="K76">
        <v>64</v>
      </c>
      <c r="L76">
        <v>29.1</v>
      </c>
      <c r="M76">
        <v>7</v>
      </c>
      <c r="N76">
        <v>0.17900143147404801</v>
      </c>
      <c r="O76">
        <v>0.12791456982861399</v>
      </c>
    </row>
    <row r="77" spans="1:15" x14ac:dyDescent="0.3">
      <c r="A77">
        <v>378</v>
      </c>
      <c r="B77">
        <v>1130</v>
      </c>
      <c r="C77">
        <v>112</v>
      </c>
      <c r="D77" t="s">
        <v>19</v>
      </c>
      <c r="E77" t="s">
        <v>20</v>
      </c>
      <c r="F77" t="s">
        <v>21</v>
      </c>
      <c r="G77" t="s">
        <v>24</v>
      </c>
      <c r="H77">
        <v>277.2</v>
      </c>
      <c r="I77">
        <v>249</v>
      </c>
      <c r="J77">
        <v>95</v>
      </c>
      <c r="K77">
        <v>64</v>
      </c>
      <c r="L77">
        <v>29.1</v>
      </c>
      <c r="M77">
        <v>7</v>
      </c>
      <c r="N77">
        <v>0.17448543766529201</v>
      </c>
      <c r="O77">
        <v>9.9801357690649906E-2</v>
      </c>
    </row>
    <row r="78" spans="1:15" x14ac:dyDescent="0.3">
      <c r="A78">
        <v>379</v>
      </c>
      <c r="B78">
        <v>1130</v>
      </c>
      <c r="C78">
        <v>112</v>
      </c>
      <c r="D78" t="s">
        <v>19</v>
      </c>
      <c r="E78" t="s">
        <v>20</v>
      </c>
      <c r="F78" t="s">
        <v>21</v>
      </c>
      <c r="G78" t="s">
        <v>24</v>
      </c>
      <c r="H78">
        <v>277.2</v>
      </c>
      <c r="I78">
        <v>249</v>
      </c>
      <c r="J78">
        <v>95</v>
      </c>
      <c r="K78">
        <v>64</v>
      </c>
      <c r="L78">
        <v>29.1</v>
      </c>
      <c r="M78">
        <v>7</v>
      </c>
      <c r="N78">
        <v>0.172223319129785</v>
      </c>
      <c r="O78">
        <v>0.10823833561674</v>
      </c>
    </row>
    <row r="79" spans="1:15" x14ac:dyDescent="0.3">
      <c r="A79">
        <v>380</v>
      </c>
      <c r="B79">
        <v>1131</v>
      </c>
      <c r="C79">
        <v>183</v>
      </c>
      <c r="D79" t="s">
        <v>19</v>
      </c>
      <c r="E79" t="s">
        <v>20</v>
      </c>
      <c r="F79" t="s">
        <v>21</v>
      </c>
      <c r="G79" t="s">
        <v>22</v>
      </c>
      <c r="H79">
        <v>276.39999999999998</v>
      </c>
      <c r="I79">
        <v>248</v>
      </c>
      <c r="J79">
        <v>92.7</v>
      </c>
      <c r="K79">
        <v>64</v>
      </c>
      <c r="L79">
        <v>27.8</v>
      </c>
      <c r="M79">
        <v>6.5</v>
      </c>
      <c r="N79">
        <v>0.31669030789385599</v>
      </c>
      <c r="O79">
        <v>7.8219454440202604E-2</v>
      </c>
    </row>
    <row r="80" spans="1:15" x14ac:dyDescent="0.3">
      <c r="A80">
        <v>382</v>
      </c>
      <c r="B80">
        <v>1131</v>
      </c>
      <c r="C80">
        <v>183</v>
      </c>
      <c r="D80" t="s">
        <v>19</v>
      </c>
      <c r="E80" t="s">
        <v>20</v>
      </c>
      <c r="F80" t="s">
        <v>21</v>
      </c>
      <c r="G80" t="s">
        <v>22</v>
      </c>
      <c r="H80">
        <v>276.39999999999998</v>
      </c>
      <c r="I80">
        <v>248</v>
      </c>
      <c r="J80">
        <v>92.7</v>
      </c>
      <c r="K80">
        <v>64</v>
      </c>
      <c r="L80">
        <v>27.8</v>
      </c>
      <c r="M80">
        <v>6.5</v>
      </c>
      <c r="N80">
        <v>0.31343530969391897</v>
      </c>
      <c r="O80">
        <v>8.0443230589970494E-2</v>
      </c>
    </row>
    <row r="81" spans="1:15" x14ac:dyDescent="0.3">
      <c r="A81">
        <v>383</v>
      </c>
      <c r="B81">
        <v>1131</v>
      </c>
      <c r="C81">
        <v>183</v>
      </c>
      <c r="D81" t="s">
        <v>19</v>
      </c>
      <c r="E81" t="s">
        <v>20</v>
      </c>
      <c r="F81" t="s">
        <v>21</v>
      </c>
      <c r="G81" t="s">
        <v>22</v>
      </c>
      <c r="H81">
        <v>276.39999999999998</v>
      </c>
      <c r="I81">
        <v>248</v>
      </c>
      <c r="J81">
        <v>92.7</v>
      </c>
      <c r="K81">
        <v>64</v>
      </c>
      <c r="L81">
        <v>27.8</v>
      </c>
      <c r="M81">
        <v>6.5</v>
      </c>
      <c r="N81">
        <v>0.32244730706497099</v>
      </c>
      <c r="O81">
        <v>6.2412475347331402E-2</v>
      </c>
    </row>
    <row r="82" spans="1:15" x14ac:dyDescent="0.3">
      <c r="A82">
        <v>402</v>
      </c>
      <c r="B82">
        <v>1140</v>
      </c>
      <c r="C82">
        <v>99</v>
      </c>
      <c r="D82" t="s">
        <v>19</v>
      </c>
      <c r="E82" t="s">
        <v>20</v>
      </c>
      <c r="F82" t="s">
        <v>17</v>
      </c>
      <c r="G82" t="s">
        <v>25</v>
      </c>
      <c r="H82">
        <v>277</v>
      </c>
      <c r="I82">
        <v>257</v>
      </c>
      <c r="J82">
        <v>99.7</v>
      </c>
      <c r="K82">
        <v>69</v>
      </c>
      <c r="L82">
        <v>26.4</v>
      </c>
      <c r="M82">
        <v>7.5</v>
      </c>
      <c r="N82">
        <v>0.110917266216966</v>
      </c>
      <c r="O82">
        <v>2.59664326759841E-2</v>
      </c>
    </row>
    <row r="83" spans="1:15" x14ac:dyDescent="0.3">
      <c r="A83">
        <v>403</v>
      </c>
      <c r="B83">
        <v>1140</v>
      </c>
      <c r="C83">
        <v>99</v>
      </c>
      <c r="D83" t="s">
        <v>19</v>
      </c>
      <c r="E83" t="s">
        <v>20</v>
      </c>
      <c r="F83" t="s">
        <v>17</v>
      </c>
      <c r="G83" t="s">
        <v>25</v>
      </c>
      <c r="H83">
        <v>277</v>
      </c>
      <c r="I83">
        <v>257</v>
      </c>
      <c r="J83">
        <v>99.7</v>
      </c>
      <c r="K83">
        <v>69</v>
      </c>
      <c r="L83">
        <v>26.4</v>
      </c>
      <c r="M83">
        <v>7.5</v>
      </c>
      <c r="N83">
        <v>9.4988203376071695E-2</v>
      </c>
      <c r="O83">
        <v>5.03834106886853E-2</v>
      </c>
    </row>
    <row r="84" spans="1:15" x14ac:dyDescent="0.3">
      <c r="A84">
        <v>404</v>
      </c>
      <c r="B84">
        <v>1140</v>
      </c>
      <c r="C84">
        <v>99</v>
      </c>
      <c r="D84" t="s">
        <v>19</v>
      </c>
      <c r="E84" t="s">
        <v>20</v>
      </c>
      <c r="F84" t="s">
        <v>17</v>
      </c>
      <c r="G84" t="s">
        <v>25</v>
      </c>
      <c r="H84">
        <v>277</v>
      </c>
      <c r="I84">
        <v>257</v>
      </c>
      <c r="J84">
        <v>99.7</v>
      </c>
      <c r="K84">
        <v>69</v>
      </c>
      <c r="L84">
        <v>26.4</v>
      </c>
      <c r="M84">
        <v>7.5</v>
      </c>
      <c r="N84">
        <v>0.121011366332508</v>
      </c>
      <c r="O84">
        <v>1.7871189872905899E-2</v>
      </c>
    </row>
    <row r="85" spans="1:15" x14ac:dyDescent="0.3">
      <c r="A85">
        <v>405</v>
      </c>
      <c r="B85">
        <v>1140</v>
      </c>
      <c r="C85">
        <v>99</v>
      </c>
      <c r="D85" t="s">
        <v>19</v>
      </c>
      <c r="E85" t="s">
        <v>20</v>
      </c>
      <c r="F85" t="s">
        <v>17</v>
      </c>
      <c r="G85" t="s">
        <v>25</v>
      </c>
      <c r="H85">
        <v>277</v>
      </c>
      <c r="I85">
        <v>257</v>
      </c>
      <c r="J85">
        <v>99.7</v>
      </c>
      <c r="K85">
        <v>69</v>
      </c>
      <c r="L85">
        <v>26.4</v>
      </c>
      <c r="M85">
        <v>7.5</v>
      </c>
      <c r="N85">
        <v>9.4508666035535899E-2</v>
      </c>
      <c r="O85">
        <v>4.30379521912636E-2</v>
      </c>
    </row>
    <row r="86" spans="1:15" x14ac:dyDescent="0.3">
      <c r="A86">
        <v>407</v>
      </c>
      <c r="B86">
        <v>1143</v>
      </c>
      <c r="C86">
        <v>385</v>
      </c>
      <c r="D86" t="s">
        <v>23</v>
      </c>
      <c r="E86" t="s">
        <v>20</v>
      </c>
      <c r="F86" t="s">
        <v>17</v>
      </c>
      <c r="G86" t="s">
        <v>26</v>
      </c>
      <c r="H86">
        <v>270</v>
      </c>
      <c r="I86">
        <v>256</v>
      </c>
      <c r="J86">
        <v>97.2</v>
      </c>
      <c r="K86">
        <v>65.5</v>
      </c>
      <c r="L86">
        <v>26</v>
      </c>
      <c r="M86">
        <v>8</v>
      </c>
      <c r="N86">
        <v>0.19141965058389501</v>
      </c>
      <c r="O86">
        <v>0.36753839373103497</v>
      </c>
    </row>
    <row r="87" spans="1:15" x14ac:dyDescent="0.3">
      <c r="A87">
        <v>421</v>
      </c>
      <c r="B87">
        <v>1149</v>
      </c>
      <c r="C87">
        <v>340</v>
      </c>
      <c r="D87" t="s">
        <v>23</v>
      </c>
      <c r="E87" t="s">
        <v>20</v>
      </c>
      <c r="F87" t="s">
        <v>17</v>
      </c>
      <c r="G87" t="s">
        <v>25</v>
      </c>
      <c r="H87">
        <v>274.60000000000002</v>
      </c>
      <c r="I87">
        <v>261.5</v>
      </c>
      <c r="J87">
        <v>96.7</v>
      </c>
      <c r="K87">
        <v>62</v>
      </c>
      <c r="L87">
        <v>28.9</v>
      </c>
      <c r="M87">
        <v>10.5</v>
      </c>
      <c r="N87">
        <v>5.0694139886880402E-2</v>
      </c>
      <c r="O87">
        <v>0.38529760519027301</v>
      </c>
    </row>
    <row r="88" spans="1:15" x14ac:dyDescent="0.3">
      <c r="A88">
        <v>423</v>
      </c>
      <c r="B88">
        <v>115</v>
      </c>
      <c r="C88">
        <v>68</v>
      </c>
      <c r="D88" t="s">
        <v>19</v>
      </c>
      <c r="E88" t="s">
        <v>20</v>
      </c>
      <c r="F88" t="s">
        <v>21</v>
      </c>
      <c r="G88" t="s">
        <v>22</v>
      </c>
      <c r="H88">
        <v>275.60000000000002</v>
      </c>
      <c r="I88">
        <v>254.5</v>
      </c>
      <c r="J88">
        <v>95.5</v>
      </c>
      <c r="K88">
        <v>65.5</v>
      </c>
      <c r="L88">
        <v>29.1</v>
      </c>
      <c r="M88">
        <v>10</v>
      </c>
      <c r="N88">
        <v>0.204993732871353</v>
      </c>
      <c r="O88">
        <v>0.18028565191686199</v>
      </c>
    </row>
    <row r="89" spans="1:15" x14ac:dyDescent="0.3">
      <c r="A89">
        <v>424</v>
      </c>
      <c r="B89">
        <v>115</v>
      </c>
      <c r="C89">
        <v>68</v>
      </c>
      <c r="D89" t="s">
        <v>19</v>
      </c>
      <c r="E89" t="s">
        <v>20</v>
      </c>
      <c r="F89" t="s">
        <v>21</v>
      </c>
      <c r="G89" t="s">
        <v>22</v>
      </c>
      <c r="H89">
        <v>275.60000000000002</v>
      </c>
      <c r="I89">
        <v>254.5</v>
      </c>
      <c r="J89">
        <v>95.5</v>
      </c>
      <c r="K89">
        <v>65.5</v>
      </c>
      <c r="L89">
        <v>29.1</v>
      </c>
      <c r="M89">
        <v>10</v>
      </c>
      <c r="N89">
        <v>0.21428011439271499</v>
      </c>
      <c r="O89">
        <v>0.183517975638744</v>
      </c>
    </row>
    <row r="90" spans="1:15" x14ac:dyDescent="0.3">
      <c r="A90">
        <v>437</v>
      </c>
      <c r="B90">
        <v>1152</v>
      </c>
      <c r="C90">
        <v>351</v>
      </c>
      <c r="D90" t="s">
        <v>23</v>
      </c>
      <c r="E90" t="s">
        <v>20</v>
      </c>
      <c r="F90" t="s">
        <v>17</v>
      </c>
      <c r="G90" t="s">
        <v>26</v>
      </c>
      <c r="H90">
        <v>277.60000000000002</v>
      </c>
      <c r="I90">
        <v>246.5</v>
      </c>
      <c r="J90">
        <v>93.9</v>
      </c>
      <c r="K90">
        <v>67.5</v>
      </c>
      <c r="L90">
        <v>27.5</v>
      </c>
      <c r="M90">
        <v>8</v>
      </c>
      <c r="N90">
        <v>0.15995371251315499</v>
      </c>
      <c r="O90">
        <v>0.30558792597858198</v>
      </c>
    </row>
    <row r="91" spans="1:15" x14ac:dyDescent="0.3">
      <c r="A91">
        <v>438</v>
      </c>
      <c r="B91">
        <v>1152</v>
      </c>
      <c r="C91">
        <v>351</v>
      </c>
      <c r="D91" t="s">
        <v>23</v>
      </c>
      <c r="E91" t="s">
        <v>20</v>
      </c>
      <c r="F91" t="s">
        <v>17</v>
      </c>
      <c r="G91" t="s">
        <v>26</v>
      </c>
      <c r="H91">
        <v>277.60000000000002</v>
      </c>
      <c r="I91">
        <v>246.5</v>
      </c>
      <c r="J91">
        <v>93.9</v>
      </c>
      <c r="K91">
        <v>67.5</v>
      </c>
      <c r="L91">
        <v>27.5</v>
      </c>
      <c r="M91">
        <v>8</v>
      </c>
      <c r="N91">
        <v>0.146569978852714</v>
      </c>
      <c r="O91">
        <v>0.30963352291865998</v>
      </c>
    </row>
    <row r="92" spans="1:15" x14ac:dyDescent="0.3">
      <c r="A92">
        <v>450</v>
      </c>
      <c r="B92">
        <v>1158</v>
      </c>
      <c r="C92">
        <v>261</v>
      </c>
      <c r="D92" t="s">
        <v>23</v>
      </c>
      <c r="E92" t="s">
        <v>20</v>
      </c>
      <c r="F92" t="s">
        <v>21</v>
      </c>
      <c r="G92" t="s">
        <v>24</v>
      </c>
      <c r="H92">
        <v>276.60000000000002</v>
      </c>
      <c r="I92">
        <v>246</v>
      </c>
      <c r="J92">
        <v>96.1</v>
      </c>
      <c r="K92">
        <v>65.5</v>
      </c>
      <c r="L92">
        <v>29.4</v>
      </c>
      <c r="M92">
        <v>12</v>
      </c>
      <c r="N92">
        <v>1.9720379353962699E-2</v>
      </c>
      <c r="O92">
        <v>0.34174077524804303</v>
      </c>
    </row>
    <row r="93" spans="1:15" x14ac:dyDescent="0.3">
      <c r="A93">
        <v>464</v>
      </c>
      <c r="B93">
        <v>1164</v>
      </c>
      <c r="C93">
        <v>228</v>
      </c>
      <c r="D93" t="s">
        <v>19</v>
      </c>
      <c r="E93" t="s">
        <v>16</v>
      </c>
      <c r="F93" t="s">
        <v>21</v>
      </c>
      <c r="G93" t="s">
        <v>25</v>
      </c>
      <c r="H93">
        <v>275.39999999999998</v>
      </c>
      <c r="I93">
        <v>249.5</v>
      </c>
      <c r="J93">
        <v>93.4</v>
      </c>
      <c r="K93">
        <v>64</v>
      </c>
      <c r="L93">
        <v>28.4</v>
      </c>
      <c r="M93">
        <v>13</v>
      </c>
      <c r="N93">
        <v>9.6080405902115501E-2</v>
      </c>
      <c r="O93">
        <v>0.14824630935201599</v>
      </c>
    </row>
    <row r="94" spans="1:15" x14ac:dyDescent="0.3">
      <c r="A94">
        <v>465</v>
      </c>
      <c r="B94">
        <v>1164</v>
      </c>
      <c r="C94">
        <v>228</v>
      </c>
      <c r="D94" t="s">
        <v>19</v>
      </c>
      <c r="E94" t="s">
        <v>16</v>
      </c>
      <c r="F94" t="s">
        <v>21</v>
      </c>
      <c r="G94" t="s">
        <v>25</v>
      </c>
      <c r="H94">
        <v>275.39999999999998</v>
      </c>
      <c r="I94">
        <v>249.5</v>
      </c>
      <c r="J94">
        <v>93.4</v>
      </c>
      <c r="K94">
        <v>64</v>
      </c>
      <c r="L94">
        <v>28.4</v>
      </c>
      <c r="M94">
        <v>13</v>
      </c>
      <c r="N94">
        <v>0.101991384349329</v>
      </c>
      <c r="O94">
        <v>0.15044257360289601</v>
      </c>
    </row>
    <row r="95" spans="1:15" x14ac:dyDescent="0.3">
      <c r="A95">
        <v>474</v>
      </c>
      <c r="B95">
        <v>1169</v>
      </c>
      <c r="C95">
        <v>68</v>
      </c>
      <c r="D95" t="s">
        <v>19</v>
      </c>
      <c r="E95" t="s">
        <v>20</v>
      </c>
      <c r="F95" t="s">
        <v>17</v>
      </c>
      <c r="G95" t="s">
        <v>18</v>
      </c>
      <c r="H95">
        <v>275.60000000000002</v>
      </c>
      <c r="I95">
        <v>254.5</v>
      </c>
      <c r="J95">
        <v>95.5</v>
      </c>
      <c r="K95">
        <v>65.5</v>
      </c>
      <c r="L95">
        <v>29.1</v>
      </c>
      <c r="M95">
        <v>10</v>
      </c>
      <c r="N95">
        <v>0.21497653668313099</v>
      </c>
      <c r="O95">
        <v>0.155490417413856</v>
      </c>
    </row>
    <row r="96" spans="1:15" x14ac:dyDescent="0.3">
      <c r="A96">
        <v>475</v>
      </c>
      <c r="B96">
        <v>1169</v>
      </c>
      <c r="C96">
        <v>68</v>
      </c>
      <c r="D96" t="s">
        <v>19</v>
      </c>
      <c r="E96" t="s">
        <v>20</v>
      </c>
      <c r="F96" t="s">
        <v>17</v>
      </c>
      <c r="G96" t="s">
        <v>18</v>
      </c>
      <c r="H96">
        <v>275.60000000000002</v>
      </c>
      <c r="I96">
        <v>254.5</v>
      </c>
      <c r="J96">
        <v>95.5</v>
      </c>
      <c r="K96">
        <v>65.5</v>
      </c>
      <c r="L96">
        <v>29.1</v>
      </c>
      <c r="M96">
        <v>10</v>
      </c>
      <c r="N96">
        <v>0.21152001748749899</v>
      </c>
      <c r="O96">
        <v>0.17401150522784001</v>
      </c>
    </row>
    <row r="97" spans="1:15" x14ac:dyDescent="0.3">
      <c r="A97">
        <v>493</v>
      </c>
      <c r="B97">
        <v>1176</v>
      </c>
      <c r="C97">
        <v>417</v>
      </c>
      <c r="D97" t="s">
        <v>19</v>
      </c>
      <c r="E97" t="s">
        <v>16</v>
      </c>
      <c r="F97" t="s">
        <v>17</v>
      </c>
      <c r="G97" t="s">
        <v>26</v>
      </c>
      <c r="H97">
        <v>268.60000000000002</v>
      </c>
      <c r="I97">
        <v>234.5</v>
      </c>
      <c r="J97">
        <v>92.8</v>
      </c>
      <c r="K97">
        <v>64</v>
      </c>
      <c r="L97">
        <v>24.3</v>
      </c>
      <c r="M97">
        <v>5</v>
      </c>
      <c r="N97">
        <v>0.23046758033922499</v>
      </c>
      <c r="O97">
        <v>0.15233028656721001</v>
      </c>
    </row>
    <row r="98" spans="1:15" x14ac:dyDescent="0.3">
      <c r="A98">
        <v>494</v>
      </c>
      <c r="B98">
        <v>1176</v>
      </c>
      <c r="C98">
        <v>417</v>
      </c>
      <c r="D98" t="s">
        <v>19</v>
      </c>
      <c r="E98" t="s">
        <v>16</v>
      </c>
      <c r="F98" t="s">
        <v>17</v>
      </c>
      <c r="G98" t="s">
        <v>26</v>
      </c>
      <c r="H98">
        <v>268.60000000000002</v>
      </c>
      <c r="I98">
        <v>234.5</v>
      </c>
      <c r="J98">
        <v>92.8</v>
      </c>
      <c r="K98">
        <v>64</v>
      </c>
      <c r="L98">
        <v>24.3</v>
      </c>
      <c r="M98">
        <v>5</v>
      </c>
      <c r="N98">
        <v>0.20189886666267901</v>
      </c>
      <c r="O98">
        <v>0.13573576245309901</v>
      </c>
    </row>
    <row r="99" spans="1:15" x14ac:dyDescent="0.3">
      <c r="A99">
        <v>495</v>
      </c>
      <c r="B99">
        <v>1176</v>
      </c>
      <c r="C99">
        <v>417</v>
      </c>
      <c r="D99" t="s">
        <v>19</v>
      </c>
      <c r="E99" t="s">
        <v>16</v>
      </c>
      <c r="F99" t="s">
        <v>17</v>
      </c>
      <c r="G99" t="s">
        <v>26</v>
      </c>
      <c r="H99">
        <v>268.60000000000002</v>
      </c>
      <c r="I99">
        <v>234.5</v>
      </c>
      <c r="J99">
        <v>92.8</v>
      </c>
      <c r="K99">
        <v>64</v>
      </c>
      <c r="L99">
        <v>24.3</v>
      </c>
      <c r="M99">
        <v>5</v>
      </c>
      <c r="N99">
        <v>0.19498238954299499</v>
      </c>
      <c r="O99">
        <v>0.14049702617915399</v>
      </c>
    </row>
    <row r="100" spans="1:15" x14ac:dyDescent="0.3">
      <c r="A100">
        <v>496</v>
      </c>
      <c r="B100">
        <v>1176</v>
      </c>
      <c r="C100">
        <v>417</v>
      </c>
      <c r="D100" t="s">
        <v>19</v>
      </c>
      <c r="E100" t="s">
        <v>16</v>
      </c>
      <c r="F100" t="s">
        <v>17</v>
      </c>
      <c r="G100" t="s">
        <v>26</v>
      </c>
      <c r="H100">
        <v>268.60000000000002</v>
      </c>
      <c r="I100">
        <v>234.5</v>
      </c>
      <c r="J100">
        <v>92.8</v>
      </c>
      <c r="K100">
        <v>64</v>
      </c>
      <c r="L100">
        <v>24.3</v>
      </c>
      <c r="M100">
        <v>5</v>
      </c>
      <c r="N100">
        <v>0.19768411512800099</v>
      </c>
      <c r="O100">
        <v>0.14379313178754799</v>
      </c>
    </row>
    <row r="101" spans="1:15" x14ac:dyDescent="0.3">
      <c r="A101">
        <v>497</v>
      </c>
      <c r="B101">
        <v>1176</v>
      </c>
      <c r="C101">
        <v>417</v>
      </c>
      <c r="D101" t="s">
        <v>19</v>
      </c>
      <c r="E101" t="s">
        <v>16</v>
      </c>
      <c r="F101" t="s">
        <v>17</v>
      </c>
      <c r="G101" t="s">
        <v>26</v>
      </c>
      <c r="H101">
        <v>268.60000000000002</v>
      </c>
      <c r="I101">
        <v>234.5</v>
      </c>
      <c r="J101">
        <v>92.8</v>
      </c>
      <c r="K101">
        <v>64</v>
      </c>
      <c r="L101">
        <v>24.3</v>
      </c>
      <c r="M101">
        <v>5</v>
      </c>
      <c r="N101">
        <v>0.23166211257384001</v>
      </c>
      <c r="O101">
        <v>0.14051986090205301</v>
      </c>
    </row>
    <row r="102" spans="1:15" x14ac:dyDescent="0.3">
      <c r="A102">
        <v>499</v>
      </c>
      <c r="B102">
        <v>1178</v>
      </c>
      <c r="C102">
        <v>218</v>
      </c>
      <c r="D102" t="s">
        <v>19</v>
      </c>
      <c r="E102" t="s">
        <v>16</v>
      </c>
      <c r="F102" t="s">
        <v>17</v>
      </c>
      <c r="G102" t="s">
        <v>24</v>
      </c>
      <c r="H102">
        <v>274.5</v>
      </c>
      <c r="I102">
        <v>258</v>
      </c>
      <c r="J102">
        <v>101.5</v>
      </c>
      <c r="K102">
        <v>66.5</v>
      </c>
      <c r="L102">
        <v>27.9</v>
      </c>
      <c r="M102">
        <v>10</v>
      </c>
      <c r="N102">
        <v>0.14565177659282</v>
      </c>
      <c r="O102">
        <v>0.108790740682936</v>
      </c>
    </row>
    <row r="103" spans="1:15" x14ac:dyDescent="0.3">
      <c r="A103">
        <v>501</v>
      </c>
      <c r="B103">
        <v>118</v>
      </c>
      <c r="C103">
        <v>170</v>
      </c>
      <c r="D103" t="s">
        <v>15</v>
      </c>
      <c r="E103" t="s">
        <v>20</v>
      </c>
      <c r="F103" t="s">
        <v>21</v>
      </c>
      <c r="G103" t="s">
        <v>22</v>
      </c>
      <c r="H103">
        <v>277.10000000000002</v>
      </c>
      <c r="I103">
        <v>250</v>
      </c>
      <c r="J103">
        <v>96.8</v>
      </c>
      <c r="K103">
        <v>69</v>
      </c>
      <c r="L103">
        <v>27.6</v>
      </c>
      <c r="M103">
        <v>10</v>
      </c>
      <c r="N103">
        <v>2.0153833915271899E-2</v>
      </c>
      <c r="O103">
        <v>0.14559083701363601</v>
      </c>
    </row>
    <row r="104" spans="1:15" x14ac:dyDescent="0.3">
      <c r="A104">
        <v>502</v>
      </c>
      <c r="B104">
        <v>1180</v>
      </c>
      <c r="C104">
        <v>267</v>
      </c>
      <c r="D104" t="s">
        <v>23</v>
      </c>
      <c r="E104" t="s">
        <v>20</v>
      </c>
      <c r="F104" t="s">
        <v>17</v>
      </c>
      <c r="G104" t="s">
        <v>24</v>
      </c>
      <c r="H104">
        <v>275.39999999999998</v>
      </c>
      <c r="I104">
        <v>244.5</v>
      </c>
      <c r="J104">
        <v>95.4</v>
      </c>
      <c r="K104">
        <v>67</v>
      </c>
      <c r="L104">
        <v>22.2</v>
      </c>
      <c r="M104">
        <v>9.5</v>
      </c>
      <c r="N104">
        <v>0.238307673261586</v>
      </c>
      <c r="O104">
        <v>0.22249004278600701</v>
      </c>
    </row>
    <row r="105" spans="1:15" x14ac:dyDescent="0.3">
      <c r="A105">
        <v>503</v>
      </c>
      <c r="B105">
        <v>1180</v>
      </c>
      <c r="C105">
        <v>267</v>
      </c>
      <c r="D105" t="s">
        <v>23</v>
      </c>
      <c r="E105" t="s">
        <v>20</v>
      </c>
      <c r="F105" t="s">
        <v>17</v>
      </c>
      <c r="G105" t="s">
        <v>24</v>
      </c>
      <c r="H105">
        <v>275.39999999999998</v>
      </c>
      <c r="I105">
        <v>244.5</v>
      </c>
      <c r="J105">
        <v>95.4</v>
      </c>
      <c r="K105">
        <v>67</v>
      </c>
      <c r="L105">
        <v>22.2</v>
      </c>
      <c r="M105">
        <v>9.5</v>
      </c>
      <c r="N105">
        <v>0.256464459876243</v>
      </c>
      <c r="O105">
        <v>0.21018213125372601</v>
      </c>
    </row>
    <row r="106" spans="1:15" x14ac:dyDescent="0.3">
      <c r="A106">
        <v>511</v>
      </c>
      <c r="B106">
        <v>1183</v>
      </c>
      <c r="C106">
        <v>71</v>
      </c>
      <c r="D106" t="s">
        <v>23</v>
      </c>
      <c r="E106" t="s">
        <v>20</v>
      </c>
      <c r="F106" t="s">
        <v>21</v>
      </c>
      <c r="G106" t="s">
        <v>26</v>
      </c>
      <c r="H106">
        <v>281</v>
      </c>
      <c r="I106">
        <v>265.5</v>
      </c>
      <c r="J106">
        <v>100.2</v>
      </c>
      <c r="K106">
        <v>66.5</v>
      </c>
      <c r="L106">
        <v>25.2</v>
      </c>
      <c r="M106">
        <v>8</v>
      </c>
      <c r="N106">
        <v>0.170165269648449</v>
      </c>
      <c r="O106">
        <v>0.15701669187410799</v>
      </c>
    </row>
    <row r="107" spans="1:15" x14ac:dyDescent="0.3">
      <c r="A107">
        <v>512</v>
      </c>
      <c r="B107">
        <v>1183</v>
      </c>
      <c r="C107">
        <v>71</v>
      </c>
      <c r="D107" t="s">
        <v>23</v>
      </c>
      <c r="E107" t="s">
        <v>20</v>
      </c>
      <c r="F107" t="s">
        <v>21</v>
      </c>
      <c r="G107" t="s">
        <v>26</v>
      </c>
      <c r="H107">
        <v>281</v>
      </c>
      <c r="I107">
        <v>265.5</v>
      </c>
      <c r="J107">
        <v>100.2</v>
      </c>
      <c r="K107">
        <v>66.5</v>
      </c>
      <c r="L107">
        <v>25.2</v>
      </c>
      <c r="M107">
        <v>8</v>
      </c>
      <c r="N107">
        <v>0.15949724750704999</v>
      </c>
      <c r="O107">
        <v>0.16430724316430401</v>
      </c>
    </row>
    <row r="108" spans="1:15" x14ac:dyDescent="0.3">
      <c r="A108">
        <v>513</v>
      </c>
      <c r="B108">
        <v>1183</v>
      </c>
      <c r="C108">
        <v>71</v>
      </c>
      <c r="D108" t="s">
        <v>23</v>
      </c>
      <c r="E108" t="s">
        <v>20</v>
      </c>
      <c r="F108" t="s">
        <v>21</v>
      </c>
      <c r="G108" t="s">
        <v>26</v>
      </c>
      <c r="H108">
        <v>281</v>
      </c>
      <c r="I108">
        <v>265.5</v>
      </c>
      <c r="J108">
        <v>100.2</v>
      </c>
      <c r="K108">
        <v>66.5</v>
      </c>
      <c r="L108">
        <v>25.2</v>
      </c>
      <c r="M108">
        <v>8</v>
      </c>
      <c r="N108">
        <v>0.185595773584143</v>
      </c>
      <c r="O108">
        <v>0.15093868782113301</v>
      </c>
    </row>
    <row r="109" spans="1:15" x14ac:dyDescent="0.3">
      <c r="A109">
        <v>514</v>
      </c>
      <c r="B109">
        <v>1183</v>
      </c>
      <c r="C109">
        <v>71</v>
      </c>
      <c r="D109" t="s">
        <v>23</v>
      </c>
      <c r="E109" t="s">
        <v>20</v>
      </c>
      <c r="F109" t="s">
        <v>21</v>
      </c>
      <c r="G109" t="s">
        <v>26</v>
      </c>
      <c r="H109">
        <v>281</v>
      </c>
      <c r="I109">
        <v>265.5</v>
      </c>
      <c r="J109">
        <v>100.2</v>
      </c>
      <c r="K109">
        <v>66.5</v>
      </c>
      <c r="L109">
        <v>25.2</v>
      </c>
      <c r="M109">
        <v>8</v>
      </c>
      <c r="N109">
        <v>0.18844409318723301</v>
      </c>
      <c r="O109">
        <v>0.164875930784085</v>
      </c>
    </row>
    <row r="110" spans="1:15" x14ac:dyDescent="0.3">
      <c r="A110">
        <v>515</v>
      </c>
      <c r="B110">
        <v>1183</v>
      </c>
      <c r="C110">
        <v>71</v>
      </c>
      <c r="D110" t="s">
        <v>23</v>
      </c>
      <c r="E110" t="s">
        <v>20</v>
      </c>
      <c r="F110" t="s">
        <v>21</v>
      </c>
      <c r="G110" t="s">
        <v>26</v>
      </c>
      <c r="H110">
        <v>281</v>
      </c>
      <c r="I110">
        <v>265.5</v>
      </c>
      <c r="J110">
        <v>100.2</v>
      </c>
      <c r="K110">
        <v>66.5</v>
      </c>
      <c r="L110">
        <v>25.2</v>
      </c>
      <c r="M110">
        <v>8</v>
      </c>
      <c r="N110">
        <v>0.18078973733126899</v>
      </c>
      <c r="O110">
        <v>0.164491980557497</v>
      </c>
    </row>
    <row r="111" spans="1:15" x14ac:dyDescent="0.3">
      <c r="A111">
        <v>525</v>
      </c>
      <c r="B111">
        <v>1191</v>
      </c>
      <c r="C111">
        <v>345</v>
      </c>
      <c r="D111" t="s">
        <v>19</v>
      </c>
      <c r="E111" t="s">
        <v>20</v>
      </c>
      <c r="F111" t="s">
        <v>17</v>
      </c>
      <c r="G111" t="s">
        <v>22</v>
      </c>
      <c r="H111">
        <v>277.60000000000002</v>
      </c>
      <c r="I111">
        <v>252.5</v>
      </c>
      <c r="J111">
        <v>98.4</v>
      </c>
      <c r="K111">
        <v>67.5</v>
      </c>
      <c r="L111">
        <v>25.8</v>
      </c>
      <c r="M111">
        <v>13.5</v>
      </c>
      <c r="N111">
        <v>0.13284262980710801</v>
      </c>
      <c r="O111">
        <v>0.105005036941024</v>
      </c>
    </row>
    <row r="112" spans="1:15" x14ac:dyDescent="0.3">
      <c r="A112">
        <v>526</v>
      </c>
      <c r="B112">
        <v>1191</v>
      </c>
      <c r="C112">
        <v>345</v>
      </c>
      <c r="D112" t="s">
        <v>19</v>
      </c>
      <c r="E112" t="s">
        <v>20</v>
      </c>
      <c r="F112" t="s">
        <v>17</v>
      </c>
      <c r="G112" t="s">
        <v>22</v>
      </c>
      <c r="H112">
        <v>277.60000000000002</v>
      </c>
      <c r="I112">
        <v>252.5</v>
      </c>
      <c r="J112">
        <v>98.4</v>
      </c>
      <c r="K112">
        <v>67.5</v>
      </c>
      <c r="L112">
        <v>25.8</v>
      </c>
      <c r="M112">
        <v>13.5</v>
      </c>
      <c r="N112">
        <v>0.110076956577095</v>
      </c>
      <c r="O112">
        <v>0.114085553200588</v>
      </c>
    </row>
    <row r="113" spans="1:15" x14ac:dyDescent="0.3">
      <c r="A113">
        <v>527</v>
      </c>
      <c r="B113">
        <v>1191</v>
      </c>
      <c r="C113">
        <v>345</v>
      </c>
      <c r="D113" t="s">
        <v>19</v>
      </c>
      <c r="E113" t="s">
        <v>20</v>
      </c>
      <c r="F113" t="s">
        <v>17</v>
      </c>
      <c r="G113" t="s">
        <v>22</v>
      </c>
      <c r="H113">
        <v>277.60000000000002</v>
      </c>
      <c r="I113">
        <v>252.5</v>
      </c>
      <c r="J113">
        <v>98.4</v>
      </c>
      <c r="K113">
        <v>67.5</v>
      </c>
      <c r="L113">
        <v>25.8</v>
      </c>
      <c r="M113">
        <v>13.5</v>
      </c>
      <c r="N113">
        <v>0.124873718599383</v>
      </c>
      <c r="O113">
        <v>9.5572665708040905E-2</v>
      </c>
    </row>
    <row r="114" spans="1:15" x14ac:dyDescent="0.3">
      <c r="A114">
        <v>528</v>
      </c>
      <c r="B114">
        <v>1192</v>
      </c>
      <c r="C114">
        <v>228</v>
      </c>
      <c r="D114" t="s">
        <v>19</v>
      </c>
      <c r="E114" t="s">
        <v>16</v>
      </c>
      <c r="F114" t="s">
        <v>17</v>
      </c>
      <c r="G114" t="s">
        <v>18</v>
      </c>
      <c r="H114">
        <v>275.39999999999998</v>
      </c>
      <c r="I114">
        <v>249.5</v>
      </c>
      <c r="J114">
        <v>93.4</v>
      </c>
      <c r="K114">
        <v>64</v>
      </c>
      <c r="L114">
        <v>28.4</v>
      </c>
      <c r="M114">
        <v>13</v>
      </c>
      <c r="N114">
        <v>7.1062147311143797E-2</v>
      </c>
      <c r="O114">
        <v>0.126750373841297</v>
      </c>
    </row>
    <row r="115" spans="1:15" x14ac:dyDescent="0.3">
      <c r="A115">
        <v>529</v>
      </c>
      <c r="B115">
        <v>1193</v>
      </c>
      <c r="C115">
        <v>226</v>
      </c>
      <c r="D115" t="s">
        <v>23</v>
      </c>
      <c r="E115" t="s">
        <v>20</v>
      </c>
      <c r="F115" t="s">
        <v>21</v>
      </c>
      <c r="G115" t="s">
        <v>22</v>
      </c>
      <c r="H115">
        <v>279.10000000000002</v>
      </c>
      <c r="I115">
        <v>257.5</v>
      </c>
      <c r="J115">
        <v>97.9</v>
      </c>
      <c r="K115">
        <v>68</v>
      </c>
      <c r="L115">
        <v>27.6</v>
      </c>
      <c r="M115">
        <v>2.5</v>
      </c>
      <c r="N115">
        <v>0.149593093598378</v>
      </c>
      <c r="O115">
        <v>0.20984676539336999</v>
      </c>
    </row>
    <row r="116" spans="1:15" x14ac:dyDescent="0.3">
      <c r="A116">
        <v>530</v>
      </c>
      <c r="B116">
        <v>1193</v>
      </c>
      <c r="C116">
        <v>226</v>
      </c>
      <c r="D116" t="s">
        <v>23</v>
      </c>
      <c r="E116" t="s">
        <v>20</v>
      </c>
      <c r="F116" t="s">
        <v>21</v>
      </c>
      <c r="G116" t="s">
        <v>22</v>
      </c>
      <c r="H116">
        <v>279.10000000000002</v>
      </c>
      <c r="I116">
        <v>257.5</v>
      </c>
      <c r="J116">
        <v>97.9</v>
      </c>
      <c r="K116">
        <v>68</v>
      </c>
      <c r="L116">
        <v>27.6</v>
      </c>
      <c r="M116">
        <v>2.5</v>
      </c>
      <c r="N116">
        <v>0.161001967748724</v>
      </c>
      <c r="O116">
        <v>0.209842957499106</v>
      </c>
    </row>
    <row r="117" spans="1:15" x14ac:dyDescent="0.3">
      <c r="A117">
        <v>531</v>
      </c>
      <c r="B117">
        <v>1193</v>
      </c>
      <c r="C117">
        <v>226</v>
      </c>
      <c r="D117" t="s">
        <v>23</v>
      </c>
      <c r="E117" t="s">
        <v>20</v>
      </c>
      <c r="F117" t="s">
        <v>21</v>
      </c>
      <c r="G117" t="s">
        <v>22</v>
      </c>
      <c r="H117">
        <v>279.10000000000002</v>
      </c>
      <c r="I117">
        <v>257.5</v>
      </c>
      <c r="J117">
        <v>97.9</v>
      </c>
      <c r="K117">
        <v>68</v>
      </c>
      <c r="L117">
        <v>27.6</v>
      </c>
      <c r="M117">
        <v>2.5</v>
      </c>
      <c r="N117">
        <v>0.135991302324485</v>
      </c>
      <c r="O117">
        <v>0.236264680227321</v>
      </c>
    </row>
    <row r="118" spans="1:15" x14ac:dyDescent="0.3">
      <c r="A118">
        <v>532</v>
      </c>
      <c r="B118">
        <v>1193</v>
      </c>
      <c r="C118">
        <v>226</v>
      </c>
      <c r="D118" t="s">
        <v>23</v>
      </c>
      <c r="E118" t="s">
        <v>20</v>
      </c>
      <c r="F118" t="s">
        <v>21</v>
      </c>
      <c r="G118" t="s">
        <v>22</v>
      </c>
      <c r="H118">
        <v>279.10000000000002</v>
      </c>
      <c r="I118">
        <v>257.5</v>
      </c>
      <c r="J118">
        <v>97.9</v>
      </c>
      <c r="K118">
        <v>68</v>
      </c>
      <c r="L118">
        <v>27.6</v>
      </c>
      <c r="M118">
        <v>2.5</v>
      </c>
      <c r="N118">
        <v>0.167405526824288</v>
      </c>
      <c r="O118">
        <v>0.217478343716034</v>
      </c>
    </row>
    <row r="119" spans="1:15" x14ac:dyDescent="0.3">
      <c r="A119">
        <v>533</v>
      </c>
      <c r="B119">
        <v>1193</v>
      </c>
      <c r="C119">
        <v>226</v>
      </c>
      <c r="D119" t="s">
        <v>23</v>
      </c>
      <c r="E119" t="s">
        <v>20</v>
      </c>
      <c r="F119" t="s">
        <v>21</v>
      </c>
      <c r="G119" t="s">
        <v>22</v>
      </c>
      <c r="H119">
        <v>279.10000000000002</v>
      </c>
      <c r="I119">
        <v>257.5</v>
      </c>
      <c r="J119">
        <v>97.9</v>
      </c>
      <c r="K119">
        <v>68</v>
      </c>
      <c r="L119">
        <v>27.6</v>
      </c>
      <c r="M119">
        <v>2.5</v>
      </c>
      <c r="N119">
        <v>0.150089732419179</v>
      </c>
      <c r="O119">
        <v>0.23941237513817901</v>
      </c>
    </row>
    <row r="120" spans="1:15" x14ac:dyDescent="0.3">
      <c r="A120">
        <v>553</v>
      </c>
      <c r="B120">
        <v>1200</v>
      </c>
      <c r="C120">
        <v>464</v>
      </c>
      <c r="D120" t="s">
        <v>23</v>
      </c>
      <c r="E120" t="s">
        <v>20</v>
      </c>
      <c r="F120" t="s">
        <v>21</v>
      </c>
      <c r="G120" t="s">
        <v>25</v>
      </c>
      <c r="H120">
        <v>280.89999999999998</v>
      </c>
      <c r="I120">
        <v>249</v>
      </c>
      <c r="J120">
        <v>94.7</v>
      </c>
      <c r="K120">
        <v>66</v>
      </c>
      <c r="L120">
        <v>26.1</v>
      </c>
      <c r="M120">
        <v>9</v>
      </c>
      <c r="N120">
        <v>0.16821809790881301</v>
      </c>
      <c r="O120">
        <v>0.13451441436916101</v>
      </c>
    </row>
    <row r="121" spans="1:15" x14ac:dyDescent="0.3">
      <c r="A121">
        <v>576</v>
      </c>
      <c r="B121">
        <v>1208</v>
      </c>
      <c r="C121">
        <v>385</v>
      </c>
      <c r="D121" t="s">
        <v>23</v>
      </c>
      <c r="E121" t="s">
        <v>20</v>
      </c>
      <c r="F121" t="s">
        <v>17</v>
      </c>
      <c r="G121" t="s">
        <v>26</v>
      </c>
      <c r="H121">
        <v>270</v>
      </c>
      <c r="I121">
        <v>256</v>
      </c>
      <c r="J121">
        <v>97.2</v>
      </c>
      <c r="K121">
        <v>65.5</v>
      </c>
      <c r="L121">
        <v>26</v>
      </c>
      <c r="M121">
        <v>8</v>
      </c>
      <c r="N121">
        <v>0.18717263130604</v>
      </c>
      <c r="O121">
        <v>0.35935085854619098</v>
      </c>
    </row>
    <row r="122" spans="1:15" x14ac:dyDescent="0.3">
      <c r="A122">
        <v>577</v>
      </c>
      <c r="B122">
        <v>1208</v>
      </c>
      <c r="C122">
        <v>385</v>
      </c>
      <c r="D122" t="s">
        <v>23</v>
      </c>
      <c r="E122" t="s">
        <v>20</v>
      </c>
      <c r="F122" t="s">
        <v>17</v>
      </c>
      <c r="G122" t="s">
        <v>26</v>
      </c>
      <c r="H122">
        <v>270</v>
      </c>
      <c r="I122">
        <v>256</v>
      </c>
      <c r="J122">
        <v>97.2</v>
      </c>
      <c r="K122">
        <v>65.5</v>
      </c>
      <c r="L122">
        <v>26</v>
      </c>
      <c r="M122">
        <v>8</v>
      </c>
      <c r="N122">
        <v>0.166975151848713</v>
      </c>
      <c r="O122">
        <v>0.36095671629892101</v>
      </c>
    </row>
    <row r="123" spans="1:15" x14ac:dyDescent="0.3">
      <c r="A123">
        <v>584</v>
      </c>
      <c r="B123">
        <v>121</v>
      </c>
      <c r="C123">
        <v>306</v>
      </c>
      <c r="D123" t="s">
        <v>23</v>
      </c>
      <c r="E123" t="s">
        <v>16</v>
      </c>
      <c r="F123" t="s">
        <v>17</v>
      </c>
      <c r="G123" t="s">
        <v>25</v>
      </c>
      <c r="H123">
        <v>274.39999999999998</v>
      </c>
      <c r="I123">
        <v>249</v>
      </c>
      <c r="J123">
        <v>95.3</v>
      </c>
      <c r="K123">
        <v>69.5</v>
      </c>
      <c r="L123">
        <v>27.8</v>
      </c>
      <c r="M123">
        <v>5.5</v>
      </c>
      <c r="N123">
        <v>0.14312520297724901</v>
      </c>
      <c r="O123">
        <v>0.42511135502041503</v>
      </c>
    </row>
    <row r="124" spans="1:15" x14ac:dyDescent="0.3">
      <c r="A124">
        <v>585</v>
      </c>
      <c r="B124">
        <v>121</v>
      </c>
      <c r="C124">
        <v>306</v>
      </c>
      <c r="D124" t="s">
        <v>23</v>
      </c>
      <c r="E124" t="s">
        <v>16</v>
      </c>
      <c r="F124" t="s">
        <v>17</v>
      </c>
      <c r="G124" t="s">
        <v>25</v>
      </c>
      <c r="H124">
        <v>274.39999999999998</v>
      </c>
      <c r="I124">
        <v>249</v>
      </c>
      <c r="J124">
        <v>95.3</v>
      </c>
      <c r="K124">
        <v>69.5</v>
      </c>
      <c r="L124">
        <v>27.8</v>
      </c>
      <c r="M124">
        <v>5.5</v>
      </c>
      <c r="N124">
        <v>0.15376539679390799</v>
      </c>
      <c r="O124">
        <v>0.42413815546256001</v>
      </c>
    </row>
    <row r="125" spans="1:15" x14ac:dyDescent="0.3">
      <c r="A125">
        <v>602</v>
      </c>
      <c r="B125">
        <v>1217</v>
      </c>
      <c r="C125">
        <v>385</v>
      </c>
      <c r="D125" t="s">
        <v>23</v>
      </c>
      <c r="E125" t="s">
        <v>20</v>
      </c>
      <c r="F125" t="s">
        <v>21</v>
      </c>
      <c r="G125" t="s">
        <v>25</v>
      </c>
      <c r="H125">
        <v>270</v>
      </c>
      <c r="I125">
        <v>256</v>
      </c>
      <c r="J125">
        <v>97.2</v>
      </c>
      <c r="K125">
        <v>65.5</v>
      </c>
      <c r="L125">
        <v>26</v>
      </c>
      <c r="M125">
        <v>8</v>
      </c>
      <c r="N125">
        <v>0.18856094667114601</v>
      </c>
      <c r="O125">
        <v>0.38544232764286701</v>
      </c>
    </row>
    <row r="126" spans="1:15" x14ac:dyDescent="0.3">
      <c r="A126">
        <v>603</v>
      </c>
      <c r="B126">
        <v>1217</v>
      </c>
      <c r="C126">
        <v>385</v>
      </c>
      <c r="D126" t="s">
        <v>23</v>
      </c>
      <c r="E126" t="s">
        <v>20</v>
      </c>
      <c r="F126" t="s">
        <v>21</v>
      </c>
      <c r="G126" t="s">
        <v>25</v>
      </c>
      <c r="H126">
        <v>270</v>
      </c>
      <c r="I126">
        <v>256</v>
      </c>
      <c r="J126">
        <v>97.2</v>
      </c>
      <c r="K126">
        <v>65.5</v>
      </c>
      <c r="L126">
        <v>26</v>
      </c>
      <c r="M126">
        <v>8</v>
      </c>
      <c r="N126">
        <v>0.17744654869024501</v>
      </c>
      <c r="O126">
        <v>0.366723429370514</v>
      </c>
    </row>
    <row r="127" spans="1:15" x14ac:dyDescent="0.3">
      <c r="A127">
        <v>604</v>
      </c>
      <c r="B127">
        <v>1217</v>
      </c>
      <c r="C127">
        <v>385</v>
      </c>
      <c r="D127" t="s">
        <v>23</v>
      </c>
      <c r="E127" t="s">
        <v>20</v>
      </c>
      <c r="F127" t="s">
        <v>21</v>
      </c>
      <c r="G127" t="s">
        <v>25</v>
      </c>
      <c r="H127">
        <v>270</v>
      </c>
      <c r="I127">
        <v>256</v>
      </c>
      <c r="J127">
        <v>97.2</v>
      </c>
      <c r="K127">
        <v>65.5</v>
      </c>
      <c r="L127">
        <v>26</v>
      </c>
      <c r="M127">
        <v>8</v>
      </c>
      <c r="N127">
        <v>0.17660910548352299</v>
      </c>
      <c r="O127">
        <v>0.36595978631286302</v>
      </c>
    </row>
    <row r="128" spans="1:15" x14ac:dyDescent="0.3">
      <c r="A128">
        <v>610</v>
      </c>
      <c r="B128">
        <v>1219</v>
      </c>
      <c r="C128">
        <v>261</v>
      </c>
      <c r="D128" t="s">
        <v>23</v>
      </c>
      <c r="E128" t="s">
        <v>20</v>
      </c>
      <c r="F128" t="s">
        <v>17</v>
      </c>
      <c r="G128" t="s">
        <v>24</v>
      </c>
      <c r="H128">
        <v>276.60000000000002</v>
      </c>
      <c r="I128">
        <v>246</v>
      </c>
      <c r="J128">
        <v>96.1</v>
      </c>
      <c r="K128">
        <v>65.5</v>
      </c>
      <c r="L128">
        <v>29.4</v>
      </c>
      <c r="M128">
        <v>12</v>
      </c>
      <c r="N128">
        <v>1.9881561313544901E-2</v>
      </c>
      <c r="O128">
        <v>0.33144258467668197</v>
      </c>
    </row>
    <row r="129" spans="1:15" x14ac:dyDescent="0.3">
      <c r="A129">
        <v>611</v>
      </c>
      <c r="B129">
        <v>1219</v>
      </c>
      <c r="C129">
        <v>261</v>
      </c>
      <c r="D129" t="s">
        <v>23</v>
      </c>
      <c r="E129" t="s">
        <v>20</v>
      </c>
      <c r="F129" t="s">
        <v>17</v>
      </c>
      <c r="G129" t="s">
        <v>24</v>
      </c>
      <c r="H129">
        <v>276.60000000000002</v>
      </c>
      <c r="I129">
        <v>246</v>
      </c>
      <c r="J129">
        <v>96.1</v>
      </c>
      <c r="K129">
        <v>65.5</v>
      </c>
      <c r="L129">
        <v>29.4</v>
      </c>
      <c r="M129">
        <v>12</v>
      </c>
      <c r="N129">
        <v>1.4365356072407499E-2</v>
      </c>
      <c r="O129">
        <v>0.332266048358206</v>
      </c>
    </row>
    <row r="130" spans="1:15" x14ac:dyDescent="0.3">
      <c r="A130">
        <v>617</v>
      </c>
      <c r="B130">
        <v>1221</v>
      </c>
      <c r="C130">
        <v>32</v>
      </c>
      <c r="D130" t="s">
        <v>19</v>
      </c>
      <c r="E130" t="s">
        <v>20</v>
      </c>
      <c r="F130" t="s">
        <v>21</v>
      </c>
      <c r="G130" t="s">
        <v>26</v>
      </c>
      <c r="H130">
        <v>274.8</v>
      </c>
      <c r="I130">
        <v>261</v>
      </c>
      <c r="J130">
        <v>101</v>
      </c>
      <c r="K130">
        <v>66</v>
      </c>
      <c r="L130">
        <v>24.4</v>
      </c>
      <c r="M130">
        <v>8.5</v>
      </c>
      <c r="N130">
        <v>0.13500217827675401</v>
      </c>
      <c r="O130">
        <v>0.13925498412668399</v>
      </c>
    </row>
    <row r="131" spans="1:15" x14ac:dyDescent="0.3">
      <c r="A131">
        <v>618</v>
      </c>
      <c r="B131">
        <v>1221</v>
      </c>
      <c r="C131">
        <v>32</v>
      </c>
      <c r="D131" t="s">
        <v>19</v>
      </c>
      <c r="E131" t="s">
        <v>20</v>
      </c>
      <c r="F131" t="s">
        <v>21</v>
      </c>
      <c r="G131" t="s">
        <v>26</v>
      </c>
      <c r="H131">
        <v>274.8</v>
      </c>
      <c r="I131">
        <v>261</v>
      </c>
      <c r="J131">
        <v>101</v>
      </c>
      <c r="K131">
        <v>66</v>
      </c>
      <c r="L131">
        <v>24.4</v>
      </c>
      <c r="M131">
        <v>8.5</v>
      </c>
      <c r="N131">
        <v>0.120562910761913</v>
      </c>
      <c r="O131">
        <v>0.15061542297723499</v>
      </c>
    </row>
    <row r="132" spans="1:15" x14ac:dyDescent="0.3">
      <c r="A132">
        <v>619</v>
      </c>
      <c r="B132">
        <v>1221</v>
      </c>
      <c r="C132">
        <v>32</v>
      </c>
      <c r="D132" t="s">
        <v>19</v>
      </c>
      <c r="E132" t="s">
        <v>20</v>
      </c>
      <c r="F132" t="s">
        <v>21</v>
      </c>
      <c r="G132" t="s">
        <v>26</v>
      </c>
      <c r="H132">
        <v>274.8</v>
      </c>
      <c r="I132">
        <v>261</v>
      </c>
      <c r="J132">
        <v>101</v>
      </c>
      <c r="K132">
        <v>66</v>
      </c>
      <c r="L132">
        <v>24.4</v>
      </c>
      <c r="M132">
        <v>8.5</v>
      </c>
      <c r="N132">
        <v>0.13781742285415899</v>
      </c>
      <c r="O132">
        <v>0.15883614781810099</v>
      </c>
    </row>
    <row r="133" spans="1:15" x14ac:dyDescent="0.3">
      <c r="A133">
        <v>630</v>
      </c>
      <c r="B133">
        <v>1225</v>
      </c>
      <c r="C133">
        <v>320</v>
      </c>
      <c r="D133" t="s">
        <v>19</v>
      </c>
      <c r="E133" t="s">
        <v>20</v>
      </c>
      <c r="F133" t="s">
        <v>21</v>
      </c>
      <c r="G133" t="s">
        <v>24</v>
      </c>
      <c r="H133">
        <v>279</v>
      </c>
      <c r="I133">
        <v>253.5</v>
      </c>
      <c r="J133">
        <v>97.1</v>
      </c>
      <c r="K133">
        <v>64</v>
      </c>
      <c r="L133">
        <v>24</v>
      </c>
      <c r="M133">
        <v>8</v>
      </c>
      <c r="N133">
        <v>0.15548859840541601</v>
      </c>
      <c r="O133">
        <v>5.3072529725211898E-2</v>
      </c>
    </row>
    <row r="134" spans="1:15" x14ac:dyDescent="0.3">
      <c r="A134">
        <v>631</v>
      </c>
      <c r="B134">
        <v>1225</v>
      </c>
      <c r="C134">
        <v>320</v>
      </c>
      <c r="D134" t="s">
        <v>19</v>
      </c>
      <c r="E134" t="s">
        <v>20</v>
      </c>
      <c r="F134" t="s">
        <v>21</v>
      </c>
      <c r="G134" t="s">
        <v>24</v>
      </c>
      <c r="H134">
        <v>279</v>
      </c>
      <c r="I134">
        <v>253.5</v>
      </c>
      <c r="J134">
        <v>97.1</v>
      </c>
      <c r="K134">
        <v>64</v>
      </c>
      <c r="L134">
        <v>24</v>
      </c>
      <c r="M134">
        <v>8</v>
      </c>
      <c r="N134">
        <v>0.162207268546947</v>
      </c>
      <c r="O134">
        <v>4.7295656536693501E-2</v>
      </c>
    </row>
    <row r="135" spans="1:15" x14ac:dyDescent="0.3">
      <c r="A135">
        <v>647</v>
      </c>
      <c r="B135">
        <v>1233</v>
      </c>
      <c r="C135">
        <v>388</v>
      </c>
      <c r="D135" t="s">
        <v>19</v>
      </c>
      <c r="E135" t="s">
        <v>16</v>
      </c>
      <c r="F135" t="s">
        <v>17</v>
      </c>
      <c r="G135" t="s">
        <v>22</v>
      </c>
      <c r="H135">
        <v>277.10000000000002</v>
      </c>
      <c r="I135">
        <v>244.5</v>
      </c>
      <c r="J135">
        <v>91.9</v>
      </c>
      <c r="K135">
        <v>62.5</v>
      </c>
      <c r="L135">
        <v>25.9</v>
      </c>
      <c r="M135">
        <v>7</v>
      </c>
      <c r="N135">
        <v>0.11236001385677</v>
      </c>
      <c r="O135">
        <v>5.5827069220807199E-2</v>
      </c>
    </row>
    <row r="136" spans="1:15" x14ac:dyDescent="0.3">
      <c r="A136">
        <v>648</v>
      </c>
      <c r="B136">
        <v>1233</v>
      </c>
      <c r="C136">
        <v>388</v>
      </c>
      <c r="D136" t="s">
        <v>19</v>
      </c>
      <c r="E136" t="s">
        <v>16</v>
      </c>
      <c r="F136" t="s">
        <v>17</v>
      </c>
      <c r="G136" t="s">
        <v>22</v>
      </c>
      <c r="H136">
        <v>277.10000000000002</v>
      </c>
      <c r="I136">
        <v>244.5</v>
      </c>
      <c r="J136">
        <v>91.9</v>
      </c>
      <c r="K136">
        <v>62.5</v>
      </c>
      <c r="L136">
        <v>25.9</v>
      </c>
      <c r="M136">
        <v>7</v>
      </c>
      <c r="N136">
        <v>0.106204040396117</v>
      </c>
      <c r="O136">
        <v>4.8911130372286997E-2</v>
      </c>
    </row>
    <row r="137" spans="1:15" x14ac:dyDescent="0.3">
      <c r="A137">
        <v>649</v>
      </c>
      <c r="B137">
        <v>1233</v>
      </c>
      <c r="C137">
        <v>388</v>
      </c>
      <c r="D137" t="s">
        <v>19</v>
      </c>
      <c r="E137" t="s">
        <v>16</v>
      </c>
      <c r="F137" t="s">
        <v>17</v>
      </c>
      <c r="G137" t="s">
        <v>22</v>
      </c>
      <c r="H137">
        <v>277.10000000000002</v>
      </c>
      <c r="I137">
        <v>244.5</v>
      </c>
      <c r="J137">
        <v>91.9</v>
      </c>
      <c r="K137">
        <v>62.5</v>
      </c>
      <c r="L137">
        <v>25.9</v>
      </c>
      <c r="M137">
        <v>7</v>
      </c>
      <c r="N137">
        <v>8.0338479763507498E-2</v>
      </c>
      <c r="O137">
        <v>6.0501776404352198E-2</v>
      </c>
    </row>
    <row r="138" spans="1:15" x14ac:dyDescent="0.3">
      <c r="A138">
        <v>650</v>
      </c>
      <c r="B138">
        <v>1233</v>
      </c>
      <c r="C138">
        <v>388</v>
      </c>
      <c r="D138" t="s">
        <v>19</v>
      </c>
      <c r="E138" t="s">
        <v>16</v>
      </c>
      <c r="F138" t="s">
        <v>17</v>
      </c>
      <c r="G138" t="s">
        <v>22</v>
      </c>
      <c r="H138">
        <v>277.10000000000002</v>
      </c>
      <c r="I138">
        <v>244.5</v>
      </c>
      <c r="J138">
        <v>91.9</v>
      </c>
      <c r="K138">
        <v>62.5</v>
      </c>
      <c r="L138">
        <v>25.9</v>
      </c>
      <c r="M138">
        <v>7</v>
      </c>
      <c r="N138">
        <v>8.5015076445129303E-2</v>
      </c>
      <c r="O138">
        <v>6.0474048841597697E-2</v>
      </c>
    </row>
    <row r="139" spans="1:15" x14ac:dyDescent="0.3">
      <c r="A139">
        <v>651</v>
      </c>
      <c r="B139">
        <v>1233</v>
      </c>
      <c r="C139">
        <v>388</v>
      </c>
      <c r="D139" t="s">
        <v>19</v>
      </c>
      <c r="E139" t="s">
        <v>16</v>
      </c>
      <c r="F139" t="s">
        <v>17</v>
      </c>
      <c r="G139" t="s">
        <v>22</v>
      </c>
      <c r="H139">
        <v>277.10000000000002</v>
      </c>
      <c r="I139">
        <v>244.5</v>
      </c>
      <c r="J139">
        <v>91.9</v>
      </c>
      <c r="K139">
        <v>62.5</v>
      </c>
      <c r="L139">
        <v>25.9</v>
      </c>
      <c r="M139">
        <v>7</v>
      </c>
      <c r="N139">
        <v>0.117332466925304</v>
      </c>
      <c r="O139">
        <v>7.5935166876204094E-2</v>
      </c>
    </row>
    <row r="140" spans="1:15" x14ac:dyDescent="0.3">
      <c r="A140">
        <v>659</v>
      </c>
      <c r="B140">
        <v>1239</v>
      </c>
      <c r="C140">
        <v>325</v>
      </c>
      <c r="D140" t="s">
        <v>19</v>
      </c>
      <c r="E140" t="s">
        <v>16</v>
      </c>
      <c r="F140" t="s">
        <v>21</v>
      </c>
      <c r="G140" t="s">
        <v>18</v>
      </c>
      <c r="H140">
        <v>274</v>
      </c>
      <c r="I140">
        <v>243.5</v>
      </c>
      <c r="J140">
        <v>94.8</v>
      </c>
      <c r="K140">
        <v>65.5</v>
      </c>
      <c r="L140">
        <v>26.1</v>
      </c>
      <c r="M140">
        <v>13</v>
      </c>
      <c r="N140">
        <v>0.25113978746231902</v>
      </c>
      <c r="O140">
        <v>7.9012797402681897E-2</v>
      </c>
    </row>
    <row r="141" spans="1:15" x14ac:dyDescent="0.3">
      <c r="A141">
        <v>660</v>
      </c>
      <c r="B141">
        <v>1239</v>
      </c>
      <c r="C141">
        <v>325</v>
      </c>
      <c r="D141" t="s">
        <v>19</v>
      </c>
      <c r="E141" t="s">
        <v>16</v>
      </c>
      <c r="F141" t="s">
        <v>21</v>
      </c>
      <c r="G141" t="s">
        <v>18</v>
      </c>
      <c r="H141">
        <v>274</v>
      </c>
      <c r="I141">
        <v>243.5</v>
      </c>
      <c r="J141">
        <v>94.8</v>
      </c>
      <c r="K141">
        <v>65.5</v>
      </c>
      <c r="L141">
        <v>26.1</v>
      </c>
      <c r="M141">
        <v>13</v>
      </c>
      <c r="N141">
        <v>0.24094929474976301</v>
      </c>
      <c r="O141">
        <v>9.9808603159787193E-2</v>
      </c>
    </row>
    <row r="142" spans="1:15" x14ac:dyDescent="0.3">
      <c r="A142">
        <v>664</v>
      </c>
      <c r="B142">
        <v>1241</v>
      </c>
      <c r="C142">
        <v>274</v>
      </c>
      <c r="D142" t="s">
        <v>19</v>
      </c>
      <c r="E142" t="s">
        <v>20</v>
      </c>
      <c r="F142" t="s">
        <v>17</v>
      </c>
      <c r="G142" t="s">
        <v>25</v>
      </c>
      <c r="H142">
        <v>270.8</v>
      </c>
      <c r="I142">
        <v>241</v>
      </c>
      <c r="J142">
        <v>93</v>
      </c>
      <c r="K142">
        <v>61.5</v>
      </c>
      <c r="L142">
        <v>24.5</v>
      </c>
      <c r="M142">
        <v>11.5</v>
      </c>
      <c r="N142">
        <v>0.114453722027721</v>
      </c>
      <c r="O142">
        <v>0.20676269756284199</v>
      </c>
    </row>
    <row r="143" spans="1:15" x14ac:dyDescent="0.3">
      <c r="A143">
        <v>667</v>
      </c>
      <c r="B143">
        <v>1242</v>
      </c>
      <c r="C143">
        <v>68</v>
      </c>
      <c r="D143" t="s">
        <v>19</v>
      </c>
      <c r="E143" t="s">
        <v>20</v>
      </c>
      <c r="F143" t="s">
        <v>17</v>
      </c>
      <c r="G143" t="s">
        <v>24</v>
      </c>
      <c r="H143">
        <v>275.60000000000002</v>
      </c>
      <c r="I143">
        <v>254.5</v>
      </c>
      <c r="J143">
        <v>95.5</v>
      </c>
      <c r="K143">
        <v>65.5</v>
      </c>
      <c r="L143">
        <v>29.1</v>
      </c>
      <c r="M143">
        <v>10</v>
      </c>
      <c r="N143">
        <v>0.20579768806806301</v>
      </c>
      <c r="O143">
        <v>0.18695506651016799</v>
      </c>
    </row>
    <row r="144" spans="1:15" x14ac:dyDescent="0.3">
      <c r="A144">
        <v>668</v>
      </c>
      <c r="B144">
        <v>1242</v>
      </c>
      <c r="C144">
        <v>68</v>
      </c>
      <c r="D144" t="s">
        <v>19</v>
      </c>
      <c r="E144" t="s">
        <v>20</v>
      </c>
      <c r="F144" t="s">
        <v>17</v>
      </c>
      <c r="G144" t="s">
        <v>24</v>
      </c>
      <c r="H144">
        <v>275.60000000000002</v>
      </c>
      <c r="I144">
        <v>254.5</v>
      </c>
      <c r="J144">
        <v>95.5</v>
      </c>
      <c r="K144">
        <v>65.5</v>
      </c>
      <c r="L144">
        <v>29.1</v>
      </c>
      <c r="M144">
        <v>10</v>
      </c>
      <c r="N144">
        <v>0.22237430356647001</v>
      </c>
      <c r="O144">
        <v>0.15710494034724601</v>
      </c>
    </row>
    <row r="145" spans="1:15" x14ac:dyDescent="0.3">
      <c r="A145">
        <v>669</v>
      </c>
      <c r="B145">
        <v>1242</v>
      </c>
      <c r="C145">
        <v>68</v>
      </c>
      <c r="D145" t="s">
        <v>19</v>
      </c>
      <c r="E145" t="s">
        <v>20</v>
      </c>
      <c r="F145" t="s">
        <v>17</v>
      </c>
      <c r="G145" t="s">
        <v>24</v>
      </c>
      <c r="H145">
        <v>275.60000000000002</v>
      </c>
      <c r="I145">
        <v>254.5</v>
      </c>
      <c r="J145">
        <v>95.5</v>
      </c>
      <c r="K145">
        <v>65.5</v>
      </c>
      <c r="L145">
        <v>29.1</v>
      </c>
      <c r="M145">
        <v>10</v>
      </c>
      <c r="N145">
        <v>0.19871994510247701</v>
      </c>
      <c r="O145">
        <v>0.18494582212747401</v>
      </c>
    </row>
    <row r="146" spans="1:15" x14ac:dyDescent="0.3">
      <c r="A146">
        <v>679</v>
      </c>
      <c r="B146">
        <v>1246</v>
      </c>
      <c r="C146">
        <v>367</v>
      </c>
      <c r="D146" t="s">
        <v>19</v>
      </c>
      <c r="E146" t="s">
        <v>20</v>
      </c>
      <c r="F146" t="s">
        <v>17</v>
      </c>
      <c r="G146" t="s">
        <v>22</v>
      </c>
      <c r="H146">
        <v>272.10000000000002</v>
      </c>
      <c r="I146">
        <v>232</v>
      </c>
      <c r="J146">
        <v>91</v>
      </c>
      <c r="K146">
        <v>65.5</v>
      </c>
      <c r="L146">
        <v>23.9</v>
      </c>
      <c r="M146">
        <v>7.5</v>
      </c>
      <c r="N146">
        <v>0.13426662931452599</v>
      </c>
      <c r="O146">
        <v>0.107633222815001</v>
      </c>
    </row>
    <row r="147" spans="1:15" x14ac:dyDescent="0.3">
      <c r="A147">
        <v>680</v>
      </c>
      <c r="B147">
        <v>1246</v>
      </c>
      <c r="C147">
        <v>367</v>
      </c>
      <c r="D147" t="s">
        <v>19</v>
      </c>
      <c r="E147" t="s">
        <v>20</v>
      </c>
      <c r="F147" t="s">
        <v>17</v>
      </c>
      <c r="G147" t="s">
        <v>22</v>
      </c>
      <c r="H147">
        <v>272.10000000000002</v>
      </c>
      <c r="I147">
        <v>232</v>
      </c>
      <c r="J147">
        <v>91</v>
      </c>
      <c r="K147">
        <v>65.5</v>
      </c>
      <c r="L147">
        <v>23.9</v>
      </c>
      <c r="M147">
        <v>7.5</v>
      </c>
      <c r="N147">
        <v>0.126817402525917</v>
      </c>
      <c r="O147">
        <v>7.7763423365854401E-2</v>
      </c>
    </row>
    <row r="148" spans="1:15" x14ac:dyDescent="0.3">
      <c r="A148">
        <v>681</v>
      </c>
      <c r="B148">
        <v>1246</v>
      </c>
      <c r="C148">
        <v>367</v>
      </c>
      <c r="D148" t="s">
        <v>19</v>
      </c>
      <c r="E148" t="s">
        <v>20</v>
      </c>
      <c r="F148" t="s">
        <v>17</v>
      </c>
      <c r="G148" t="s">
        <v>22</v>
      </c>
      <c r="H148">
        <v>272.10000000000002</v>
      </c>
      <c r="I148">
        <v>232</v>
      </c>
      <c r="J148">
        <v>91</v>
      </c>
      <c r="K148">
        <v>65.5</v>
      </c>
      <c r="L148">
        <v>23.9</v>
      </c>
      <c r="M148">
        <v>7.5</v>
      </c>
      <c r="N148">
        <v>0.13321260008344701</v>
      </c>
      <c r="O148">
        <v>9.4634660505503496E-2</v>
      </c>
    </row>
    <row r="149" spans="1:15" x14ac:dyDescent="0.3">
      <c r="A149">
        <v>694</v>
      </c>
      <c r="B149">
        <v>1251</v>
      </c>
      <c r="C149">
        <v>12</v>
      </c>
      <c r="D149" t="s">
        <v>19</v>
      </c>
      <c r="E149" t="s">
        <v>16</v>
      </c>
      <c r="F149" t="s">
        <v>21</v>
      </c>
      <c r="G149" t="s">
        <v>18</v>
      </c>
      <c r="H149">
        <v>280.39999999999998</v>
      </c>
      <c r="I149">
        <v>260</v>
      </c>
      <c r="J149">
        <v>102.4</v>
      </c>
      <c r="K149">
        <v>69.5</v>
      </c>
      <c r="L149">
        <v>28.2</v>
      </c>
      <c r="M149">
        <v>9</v>
      </c>
      <c r="N149">
        <v>0.134053176181229</v>
      </c>
      <c r="O149">
        <v>0.117609785403165</v>
      </c>
    </row>
    <row r="150" spans="1:15" x14ac:dyDescent="0.3">
      <c r="A150">
        <v>695</v>
      </c>
      <c r="B150">
        <v>1251</v>
      </c>
      <c r="C150">
        <v>12</v>
      </c>
      <c r="D150" t="s">
        <v>19</v>
      </c>
      <c r="E150" t="s">
        <v>16</v>
      </c>
      <c r="F150" t="s">
        <v>21</v>
      </c>
      <c r="G150" t="s">
        <v>18</v>
      </c>
      <c r="H150">
        <v>280.39999999999998</v>
      </c>
      <c r="I150">
        <v>260</v>
      </c>
      <c r="J150">
        <v>102.4</v>
      </c>
      <c r="K150">
        <v>69.5</v>
      </c>
      <c r="L150">
        <v>28.2</v>
      </c>
      <c r="M150">
        <v>9</v>
      </c>
      <c r="N150">
        <v>0.15279979509827399</v>
      </c>
      <c r="O150">
        <v>0.14466771167790299</v>
      </c>
    </row>
    <row r="151" spans="1:15" x14ac:dyDescent="0.3">
      <c r="A151">
        <v>696</v>
      </c>
      <c r="B151">
        <v>1251</v>
      </c>
      <c r="C151">
        <v>12</v>
      </c>
      <c r="D151" t="s">
        <v>19</v>
      </c>
      <c r="E151" t="s">
        <v>16</v>
      </c>
      <c r="F151" t="s">
        <v>21</v>
      </c>
      <c r="G151" t="s">
        <v>18</v>
      </c>
      <c r="H151">
        <v>280.39999999999998</v>
      </c>
      <c r="I151">
        <v>260</v>
      </c>
      <c r="J151">
        <v>102.4</v>
      </c>
      <c r="K151">
        <v>69.5</v>
      </c>
      <c r="L151">
        <v>28.2</v>
      </c>
      <c r="M151">
        <v>9</v>
      </c>
      <c r="N151">
        <v>0.16567825397924901</v>
      </c>
      <c r="O151">
        <v>0.13011063747805199</v>
      </c>
    </row>
    <row r="152" spans="1:15" x14ac:dyDescent="0.3">
      <c r="A152">
        <v>697</v>
      </c>
      <c r="B152">
        <v>1251</v>
      </c>
      <c r="C152">
        <v>12</v>
      </c>
      <c r="D152" t="s">
        <v>19</v>
      </c>
      <c r="E152" t="s">
        <v>16</v>
      </c>
      <c r="F152" t="s">
        <v>21</v>
      </c>
      <c r="G152" t="s">
        <v>18</v>
      </c>
      <c r="H152">
        <v>280.39999999999998</v>
      </c>
      <c r="I152">
        <v>260</v>
      </c>
      <c r="J152">
        <v>102.4</v>
      </c>
      <c r="K152">
        <v>69.5</v>
      </c>
      <c r="L152">
        <v>28.2</v>
      </c>
      <c r="M152">
        <v>9</v>
      </c>
      <c r="N152">
        <v>0.15963632264919</v>
      </c>
      <c r="O152">
        <v>0.10585295237290999</v>
      </c>
    </row>
    <row r="153" spans="1:15" x14ac:dyDescent="0.3">
      <c r="A153">
        <v>698</v>
      </c>
      <c r="B153">
        <v>1251</v>
      </c>
      <c r="C153">
        <v>12</v>
      </c>
      <c r="D153" t="s">
        <v>19</v>
      </c>
      <c r="E153" t="s">
        <v>16</v>
      </c>
      <c r="F153" t="s">
        <v>21</v>
      </c>
      <c r="G153" t="s">
        <v>18</v>
      </c>
      <c r="H153">
        <v>280.39999999999998</v>
      </c>
      <c r="I153">
        <v>260</v>
      </c>
      <c r="J153">
        <v>102.4</v>
      </c>
      <c r="K153">
        <v>69.5</v>
      </c>
      <c r="L153">
        <v>28.2</v>
      </c>
      <c r="M153">
        <v>9</v>
      </c>
      <c r="N153">
        <v>0.15183555356018399</v>
      </c>
      <c r="O153">
        <v>0.11531891316475799</v>
      </c>
    </row>
    <row r="154" spans="1:15" x14ac:dyDescent="0.3">
      <c r="A154">
        <v>702</v>
      </c>
      <c r="B154">
        <v>1253</v>
      </c>
      <c r="C154">
        <v>351</v>
      </c>
      <c r="D154" t="s">
        <v>23</v>
      </c>
      <c r="E154" t="s">
        <v>20</v>
      </c>
      <c r="F154" t="s">
        <v>17</v>
      </c>
      <c r="G154" t="s">
        <v>25</v>
      </c>
      <c r="H154">
        <v>277.60000000000002</v>
      </c>
      <c r="I154">
        <v>246.5</v>
      </c>
      <c r="J154">
        <v>93.9</v>
      </c>
      <c r="K154">
        <v>67.5</v>
      </c>
      <c r="L154">
        <v>27.5</v>
      </c>
      <c r="M154">
        <v>8</v>
      </c>
      <c r="N154">
        <v>0.159636909978738</v>
      </c>
      <c r="O154">
        <v>0.30069118466973299</v>
      </c>
    </row>
    <row r="155" spans="1:15" x14ac:dyDescent="0.3">
      <c r="A155">
        <v>707</v>
      </c>
      <c r="B155">
        <v>1256</v>
      </c>
      <c r="C155">
        <v>71</v>
      </c>
      <c r="D155" t="s">
        <v>23</v>
      </c>
      <c r="E155" t="s">
        <v>20</v>
      </c>
      <c r="F155" t="s">
        <v>17</v>
      </c>
      <c r="G155" t="s">
        <v>22</v>
      </c>
      <c r="H155">
        <v>281</v>
      </c>
      <c r="I155">
        <v>265.5</v>
      </c>
      <c r="J155">
        <v>100.2</v>
      </c>
      <c r="K155">
        <v>66.5</v>
      </c>
      <c r="L155">
        <v>25.2</v>
      </c>
      <c r="M155">
        <v>8</v>
      </c>
      <c r="N155">
        <v>0.18150481566943</v>
      </c>
      <c r="O155">
        <v>0.13673025338639699</v>
      </c>
    </row>
    <row r="156" spans="1:15" x14ac:dyDescent="0.3">
      <c r="A156">
        <v>708</v>
      </c>
      <c r="B156">
        <v>1256</v>
      </c>
      <c r="C156">
        <v>71</v>
      </c>
      <c r="D156" t="s">
        <v>23</v>
      </c>
      <c r="E156" t="s">
        <v>20</v>
      </c>
      <c r="F156" t="s">
        <v>17</v>
      </c>
      <c r="G156" t="s">
        <v>22</v>
      </c>
      <c r="H156">
        <v>281</v>
      </c>
      <c r="I156">
        <v>265.5</v>
      </c>
      <c r="J156">
        <v>100.2</v>
      </c>
      <c r="K156">
        <v>66.5</v>
      </c>
      <c r="L156">
        <v>25.2</v>
      </c>
      <c r="M156">
        <v>8</v>
      </c>
      <c r="N156">
        <v>0.15571555112326901</v>
      </c>
      <c r="O156">
        <v>0.15468004821593101</v>
      </c>
    </row>
    <row r="157" spans="1:15" x14ac:dyDescent="0.3">
      <c r="A157">
        <v>713</v>
      </c>
      <c r="B157">
        <v>1260</v>
      </c>
      <c r="C157">
        <v>340</v>
      </c>
      <c r="D157" t="s">
        <v>23</v>
      </c>
      <c r="E157" t="s">
        <v>20</v>
      </c>
      <c r="F157" t="s">
        <v>17</v>
      </c>
      <c r="G157" t="s">
        <v>25</v>
      </c>
      <c r="H157">
        <v>274.60000000000002</v>
      </c>
      <c r="I157">
        <v>261.5</v>
      </c>
      <c r="J157">
        <v>96.7</v>
      </c>
      <c r="K157">
        <v>62</v>
      </c>
      <c r="L157">
        <v>28.9</v>
      </c>
      <c r="M157">
        <v>10.5</v>
      </c>
      <c r="N157">
        <v>5.8505257070759598E-2</v>
      </c>
      <c r="O157">
        <v>0.37773562705236102</v>
      </c>
    </row>
    <row r="158" spans="1:15" x14ac:dyDescent="0.3">
      <c r="A158">
        <v>715</v>
      </c>
      <c r="B158">
        <v>1260</v>
      </c>
      <c r="C158">
        <v>340</v>
      </c>
      <c r="D158" t="s">
        <v>23</v>
      </c>
      <c r="E158" t="s">
        <v>20</v>
      </c>
      <c r="F158" t="s">
        <v>17</v>
      </c>
      <c r="G158" t="s">
        <v>25</v>
      </c>
      <c r="H158">
        <v>274.60000000000002</v>
      </c>
      <c r="I158">
        <v>261.5</v>
      </c>
      <c r="J158">
        <v>96.7</v>
      </c>
      <c r="K158">
        <v>62</v>
      </c>
      <c r="L158">
        <v>28.9</v>
      </c>
      <c r="M158">
        <v>10.5</v>
      </c>
      <c r="N158">
        <v>4.02948509591338E-2</v>
      </c>
      <c r="O158">
        <v>0.36507635184308901</v>
      </c>
    </row>
    <row r="159" spans="1:15" x14ac:dyDescent="0.3">
      <c r="A159">
        <v>716</v>
      </c>
      <c r="B159">
        <v>1261</v>
      </c>
      <c r="C159">
        <v>26</v>
      </c>
      <c r="D159" t="s">
        <v>23</v>
      </c>
      <c r="E159" t="s">
        <v>20</v>
      </c>
      <c r="F159" t="s">
        <v>17</v>
      </c>
      <c r="G159" t="s">
        <v>25</v>
      </c>
      <c r="H159">
        <v>270.5</v>
      </c>
      <c r="I159">
        <v>243.5</v>
      </c>
      <c r="J159">
        <v>95.9</v>
      </c>
      <c r="K159">
        <v>66</v>
      </c>
      <c r="L159">
        <v>26.9</v>
      </c>
      <c r="M159">
        <v>6</v>
      </c>
      <c r="N159">
        <v>0.172726401908295</v>
      </c>
      <c r="O159">
        <v>0.37591916178708601</v>
      </c>
    </row>
    <row r="160" spans="1:15" x14ac:dyDescent="0.3">
      <c r="A160">
        <v>717</v>
      </c>
      <c r="B160">
        <v>1261</v>
      </c>
      <c r="C160">
        <v>26</v>
      </c>
      <c r="D160" t="s">
        <v>23</v>
      </c>
      <c r="E160" t="s">
        <v>20</v>
      </c>
      <c r="F160" t="s">
        <v>17</v>
      </c>
      <c r="G160" t="s">
        <v>25</v>
      </c>
      <c r="H160">
        <v>270.5</v>
      </c>
      <c r="I160">
        <v>243.5</v>
      </c>
      <c r="J160">
        <v>95.9</v>
      </c>
      <c r="K160">
        <v>66</v>
      </c>
      <c r="L160">
        <v>26.9</v>
      </c>
      <c r="M160">
        <v>6</v>
      </c>
      <c r="N160">
        <v>0.182617470719837</v>
      </c>
      <c r="O160">
        <v>0.373337715264496</v>
      </c>
    </row>
    <row r="161" spans="1:15" x14ac:dyDescent="0.3">
      <c r="A161">
        <v>744</v>
      </c>
      <c r="B161">
        <v>1273</v>
      </c>
      <c r="C161">
        <v>455</v>
      </c>
      <c r="D161" t="s">
        <v>19</v>
      </c>
      <c r="E161" t="s">
        <v>20</v>
      </c>
      <c r="F161" t="s">
        <v>17</v>
      </c>
      <c r="G161" t="s">
        <v>24</v>
      </c>
      <c r="H161">
        <v>278.5</v>
      </c>
      <c r="I161">
        <v>252.5</v>
      </c>
      <c r="J161">
        <v>92.8</v>
      </c>
      <c r="K161">
        <v>69</v>
      </c>
      <c r="L161">
        <v>25.6</v>
      </c>
      <c r="M161">
        <v>9</v>
      </c>
      <c r="N161">
        <v>0.20500829013279401</v>
      </c>
      <c r="O161">
        <v>5.3043151722251901E-2</v>
      </c>
    </row>
    <row r="162" spans="1:15" x14ac:dyDescent="0.3">
      <c r="A162">
        <v>759</v>
      </c>
      <c r="B162">
        <v>128</v>
      </c>
      <c r="C162">
        <v>450</v>
      </c>
      <c r="D162" t="s">
        <v>19</v>
      </c>
      <c r="E162" t="s">
        <v>20</v>
      </c>
      <c r="F162" t="s">
        <v>21</v>
      </c>
      <c r="G162" t="s">
        <v>18</v>
      </c>
      <c r="H162">
        <v>277.39999999999998</v>
      </c>
      <c r="I162">
        <v>240</v>
      </c>
      <c r="J162">
        <v>88.5</v>
      </c>
      <c r="K162">
        <v>65.5</v>
      </c>
      <c r="L162">
        <v>30.2</v>
      </c>
      <c r="M162">
        <v>5</v>
      </c>
      <c r="N162">
        <v>0.12553305258355599</v>
      </c>
      <c r="O162">
        <v>0.188642827228547</v>
      </c>
    </row>
    <row r="163" spans="1:15" x14ac:dyDescent="0.3">
      <c r="A163">
        <v>760</v>
      </c>
      <c r="B163">
        <v>128</v>
      </c>
      <c r="C163">
        <v>450</v>
      </c>
      <c r="D163" t="s">
        <v>19</v>
      </c>
      <c r="E163" t="s">
        <v>20</v>
      </c>
      <c r="F163" t="s">
        <v>21</v>
      </c>
      <c r="G163" t="s">
        <v>18</v>
      </c>
      <c r="H163">
        <v>277.39999999999998</v>
      </c>
      <c r="I163">
        <v>240</v>
      </c>
      <c r="J163">
        <v>88.5</v>
      </c>
      <c r="K163">
        <v>65.5</v>
      </c>
      <c r="L163">
        <v>30.2</v>
      </c>
      <c r="M163">
        <v>5</v>
      </c>
      <c r="N163">
        <v>0.12420460087626201</v>
      </c>
      <c r="O163">
        <v>0.223614024036773</v>
      </c>
    </row>
    <row r="164" spans="1:15" x14ac:dyDescent="0.3">
      <c r="A164">
        <v>761</v>
      </c>
      <c r="B164">
        <v>128</v>
      </c>
      <c r="C164">
        <v>450</v>
      </c>
      <c r="D164" t="s">
        <v>19</v>
      </c>
      <c r="E164" t="s">
        <v>20</v>
      </c>
      <c r="F164" t="s">
        <v>21</v>
      </c>
      <c r="G164" t="s">
        <v>18</v>
      </c>
      <c r="H164">
        <v>277.39999999999998</v>
      </c>
      <c r="I164">
        <v>240</v>
      </c>
      <c r="J164">
        <v>88.5</v>
      </c>
      <c r="K164">
        <v>65.5</v>
      </c>
      <c r="L164">
        <v>30.2</v>
      </c>
      <c r="M164">
        <v>5</v>
      </c>
      <c r="N164">
        <v>0.121999706508416</v>
      </c>
      <c r="O164">
        <v>0.21130292788104099</v>
      </c>
    </row>
    <row r="165" spans="1:15" x14ac:dyDescent="0.3">
      <c r="A165">
        <v>773</v>
      </c>
      <c r="B165">
        <v>1283</v>
      </c>
      <c r="C165">
        <v>450</v>
      </c>
      <c r="D165" t="s">
        <v>19</v>
      </c>
      <c r="E165" t="s">
        <v>20</v>
      </c>
      <c r="F165" t="s">
        <v>17</v>
      </c>
      <c r="G165" t="s">
        <v>22</v>
      </c>
      <c r="H165">
        <v>277.39999999999998</v>
      </c>
      <c r="I165">
        <v>240</v>
      </c>
      <c r="J165">
        <v>88.5</v>
      </c>
      <c r="K165">
        <v>65.5</v>
      </c>
      <c r="L165">
        <v>30.2</v>
      </c>
      <c r="M165">
        <v>5</v>
      </c>
      <c r="N165">
        <v>9.6156783788350297E-2</v>
      </c>
      <c r="O165">
        <v>0.178795481078591</v>
      </c>
    </row>
    <row r="166" spans="1:15" x14ac:dyDescent="0.3">
      <c r="A166">
        <v>774</v>
      </c>
      <c r="B166">
        <v>1283</v>
      </c>
      <c r="C166">
        <v>450</v>
      </c>
      <c r="D166" t="s">
        <v>19</v>
      </c>
      <c r="E166" t="s">
        <v>20</v>
      </c>
      <c r="F166" t="s">
        <v>17</v>
      </c>
      <c r="G166" t="s">
        <v>22</v>
      </c>
      <c r="H166">
        <v>277.39999999999998</v>
      </c>
      <c r="I166">
        <v>240</v>
      </c>
      <c r="J166">
        <v>88.5</v>
      </c>
      <c r="K166">
        <v>65.5</v>
      </c>
      <c r="L166">
        <v>30.2</v>
      </c>
      <c r="M166">
        <v>5</v>
      </c>
      <c r="N166">
        <v>0.12234412918801101</v>
      </c>
      <c r="O166">
        <v>0.21051103658315801</v>
      </c>
    </row>
    <row r="167" spans="1:15" x14ac:dyDescent="0.3">
      <c r="A167">
        <v>790</v>
      </c>
      <c r="B167">
        <v>1288</v>
      </c>
      <c r="C167">
        <v>98</v>
      </c>
      <c r="D167" t="s">
        <v>23</v>
      </c>
      <c r="E167" t="s">
        <v>20</v>
      </c>
      <c r="F167" t="s">
        <v>17</v>
      </c>
      <c r="G167" t="s">
        <v>26</v>
      </c>
      <c r="H167">
        <v>276.60000000000002</v>
      </c>
      <c r="I167">
        <v>257.5</v>
      </c>
      <c r="J167">
        <v>95.2</v>
      </c>
      <c r="K167">
        <v>67.5</v>
      </c>
      <c r="L167">
        <v>24.1</v>
      </c>
      <c r="M167">
        <v>9.5</v>
      </c>
      <c r="N167">
        <v>0.177660625528583</v>
      </c>
      <c r="O167">
        <v>0.38944853447635103</v>
      </c>
    </row>
    <row r="168" spans="1:15" x14ac:dyDescent="0.3">
      <c r="A168">
        <v>800</v>
      </c>
      <c r="B168">
        <v>1292</v>
      </c>
      <c r="C168">
        <v>497</v>
      </c>
      <c r="D168" t="s">
        <v>23</v>
      </c>
      <c r="E168" t="s">
        <v>20</v>
      </c>
      <c r="F168" t="s">
        <v>17</v>
      </c>
      <c r="G168" t="s">
        <v>22</v>
      </c>
      <c r="H168">
        <v>269.7</v>
      </c>
      <c r="I168">
        <v>245</v>
      </c>
      <c r="J168">
        <v>94</v>
      </c>
      <c r="K168">
        <v>67</v>
      </c>
      <c r="L168">
        <v>24.2</v>
      </c>
      <c r="M168">
        <v>9</v>
      </c>
      <c r="N168">
        <v>0.212908421180733</v>
      </c>
      <c r="O168">
        <v>0.37454617638354598</v>
      </c>
    </row>
    <row r="169" spans="1:15" x14ac:dyDescent="0.3">
      <c r="A169">
        <v>801</v>
      </c>
      <c r="B169">
        <v>1292</v>
      </c>
      <c r="C169">
        <v>497</v>
      </c>
      <c r="D169" t="s">
        <v>23</v>
      </c>
      <c r="E169" t="s">
        <v>20</v>
      </c>
      <c r="F169" t="s">
        <v>17</v>
      </c>
      <c r="G169" t="s">
        <v>22</v>
      </c>
      <c r="H169">
        <v>269.7</v>
      </c>
      <c r="I169">
        <v>245</v>
      </c>
      <c r="J169">
        <v>94</v>
      </c>
      <c r="K169">
        <v>67</v>
      </c>
      <c r="L169">
        <v>24.2</v>
      </c>
      <c r="M169">
        <v>9</v>
      </c>
      <c r="N169">
        <v>0.22904204772874601</v>
      </c>
      <c r="O169">
        <v>0.38173972401504602</v>
      </c>
    </row>
    <row r="170" spans="1:15" x14ac:dyDescent="0.3">
      <c r="A170">
        <v>802</v>
      </c>
      <c r="B170">
        <v>1292</v>
      </c>
      <c r="C170">
        <v>497</v>
      </c>
      <c r="D170" t="s">
        <v>23</v>
      </c>
      <c r="E170" t="s">
        <v>20</v>
      </c>
      <c r="F170" t="s">
        <v>17</v>
      </c>
      <c r="G170" t="s">
        <v>22</v>
      </c>
      <c r="H170">
        <v>269.7</v>
      </c>
      <c r="I170">
        <v>245</v>
      </c>
      <c r="J170">
        <v>94</v>
      </c>
      <c r="K170">
        <v>67</v>
      </c>
      <c r="L170">
        <v>24.2</v>
      </c>
      <c r="M170">
        <v>9</v>
      </c>
      <c r="N170">
        <v>0.19779250697244199</v>
      </c>
      <c r="O170">
        <v>0.359897924293136</v>
      </c>
    </row>
    <row r="171" spans="1:15" x14ac:dyDescent="0.3">
      <c r="A171">
        <v>814</v>
      </c>
      <c r="B171">
        <v>1298</v>
      </c>
      <c r="C171">
        <v>368</v>
      </c>
      <c r="D171" t="s">
        <v>19</v>
      </c>
      <c r="E171" t="s">
        <v>16</v>
      </c>
      <c r="F171" t="s">
        <v>17</v>
      </c>
      <c r="G171" t="s">
        <v>22</v>
      </c>
      <c r="H171">
        <v>273.3</v>
      </c>
      <c r="I171">
        <v>249</v>
      </c>
      <c r="J171">
        <v>98.9</v>
      </c>
      <c r="K171">
        <v>68.5</v>
      </c>
      <c r="L171">
        <v>23.8</v>
      </c>
      <c r="M171">
        <v>9</v>
      </c>
      <c r="N171">
        <v>0.140450342627048</v>
      </c>
      <c r="O171">
        <v>4.1588092331957198E-2</v>
      </c>
    </row>
    <row r="172" spans="1:15" x14ac:dyDescent="0.3">
      <c r="A172">
        <v>815</v>
      </c>
      <c r="B172">
        <v>1298</v>
      </c>
      <c r="C172">
        <v>368</v>
      </c>
      <c r="D172" t="s">
        <v>19</v>
      </c>
      <c r="E172" t="s">
        <v>16</v>
      </c>
      <c r="F172" t="s">
        <v>17</v>
      </c>
      <c r="G172" t="s">
        <v>22</v>
      </c>
      <c r="H172">
        <v>273.3</v>
      </c>
      <c r="I172">
        <v>249</v>
      </c>
      <c r="J172">
        <v>98.9</v>
      </c>
      <c r="K172">
        <v>68.5</v>
      </c>
      <c r="L172">
        <v>23.8</v>
      </c>
      <c r="M172">
        <v>9</v>
      </c>
      <c r="N172">
        <v>0.147547913475915</v>
      </c>
      <c r="O172">
        <v>5.2380268102262498E-2</v>
      </c>
    </row>
    <row r="173" spans="1:15" x14ac:dyDescent="0.3">
      <c r="A173">
        <v>821</v>
      </c>
      <c r="B173">
        <v>13</v>
      </c>
      <c r="C173">
        <v>12</v>
      </c>
      <c r="D173" t="s">
        <v>19</v>
      </c>
      <c r="E173" t="s">
        <v>16</v>
      </c>
      <c r="F173" t="s">
        <v>17</v>
      </c>
      <c r="G173" t="s">
        <v>22</v>
      </c>
      <c r="H173">
        <v>280.39999999999998</v>
      </c>
      <c r="I173">
        <v>260</v>
      </c>
      <c r="J173">
        <v>102.4</v>
      </c>
      <c r="K173">
        <v>69.5</v>
      </c>
      <c r="L173">
        <v>28.2</v>
      </c>
      <c r="M173">
        <v>9</v>
      </c>
      <c r="N173">
        <v>0.14936160594026099</v>
      </c>
      <c r="O173">
        <v>0.12978445070526001</v>
      </c>
    </row>
    <row r="174" spans="1:15" x14ac:dyDescent="0.3">
      <c r="A174">
        <v>822</v>
      </c>
      <c r="B174">
        <v>13</v>
      </c>
      <c r="C174">
        <v>12</v>
      </c>
      <c r="D174" t="s">
        <v>19</v>
      </c>
      <c r="E174" t="s">
        <v>16</v>
      </c>
      <c r="F174" t="s">
        <v>17</v>
      </c>
      <c r="G174" t="s">
        <v>22</v>
      </c>
      <c r="H174">
        <v>280.39999999999998</v>
      </c>
      <c r="I174">
        <v>260</v>
      </c>
      <c r="J174">
        <v>102.4</v>
      </c>
      <c r="K174">
        <v>69.5</v>
      </c>
      <c r="L174">
        <v>28.2</v>
      </c>
      <c r="M174">
        <v>9</v>
      </c>
      <c r="N174">
        <v>0.12759284085716099</v>
      </c>
      <c r="O174">
        <v>9.7951816528665706E-2</v>
      </c>
    </row>
    <row r="175" spans="1:15" x14ac:dyDescent="0.3">
      <c r="A175">
        <v>823</v>
      </c>
      <c r="B175">
        <v>13</v>
      </c>
      <c r="C175">
        <v>12</v>
      </c>
      <c r="D175" t="s">
        <v>19</v>
      </c>
      <c r="E175" t="s">
        <v>16</v>
      </c>
      <c r="F175" t="s">
        <v>17</v>
      </c>
      <c r="G175" t="s">
        <v>22</v>
      </c>
      <c r="H175">
        <v>280.39999999999998</v>
      </c>
      <c r="I175">
        <v>260</v>
      </c>
      <c r="J175">
        <v>102.4</v>
      </c>
      <c r="K175">
        <v>69.5</v>
      </c>
      <c r="L175">
        <v>28.2</v>
      </c>
      <c r="M175">
        <v>9</v>
      </c>
      <c r="N175">
        <v>0.14854016149559601</v>
      </c>
      <c r="O175">
        <v>0.10364636043591299</v>
      </c>
    </row>
    <row r="176" spans="1:15" x14ac:dyDescent="0.3">
      <c r="A176">
        <v>824</v>
      </c>
      <c r="B176">
        <v>13</v>
      </c>
      <c r="C176">
        <v>12</v>
      </c>
      <c r="D176" t="s">
        <v>19</v>
      </c>
      <c r="E176" t="s">
        <v>16</v>
      </c>
      <c r="F176" t="s">
        <v>17</v>
      </c>
      <c r="G176" t="s">
        <v>22</v>
      </c>
      <c r="H176">
        <v>280.39999999999998</v>
      </c>
      <c r="I176">
        <v>260</v>
      </c>
      <c r="J176">
        <v>102.4</v>
      </c>
      <c r="K176">
        <v>69.5</v>
      </c>
      <c r="L176">
        <v>28.2</v>
      </c>
      <c r="M176">
        <v>9</v>
      </c>
      <c r="N176">
        <v>0.13865559651232401</v>
      </c>
      <c r="O176">
        <v>0.103569626640198</v>
      </c>
    </row>
    <row r="177" spans="1:15" x14ac:dyDescent="0.3">
      <c r="A177">
        <v>828</v>
      </c>
      <c r="B177">
        <v>1300</v>
      </c>
      <c r="C177">
        <v>255</v>
      </c>
      <c r="D177" t="s">
        <v>19</v>
      </c>
      <c r="E177" t="s">
        <v>16</v>
      </c>
      <c r="F177" t="s">
        <v>17</v>
      </c>
      <c r="G177" t="s">
        <v>26</v>
      </c>
      <c r="H177">
        <v>278.2</v>
      </c>
      <c r="I177">
        <v>254.5</v>
      </c>
      <c r="J177">
        <v>94.5</v>
      </c>
      <c r="K177">
        <v>67</v>
      </c>
      <c r="L177">
        <v>27.9</v>
      </c>
      <c r="M177">
        <v>11.5</v>
      </c>
      <c r="N177">
        <v>0.28074472329358802</v>
      </c>
      <c r="O177">
        <v>9.7468937526838495E-2</v>
      </c>
    </row>
    <row r="178" spans="1:15" x14ac:dyDescent="0.3">
      <c r="A178">
        <v>848</v>
      </c>
      <c r="B178">
        <v>1305</v>
      </c>
      <c r="C178">
        <v>99</v>
      </c>
      <c r="D178" t="s">
        <v>19</v>
      </c>
      <c r="E178" t="s">
        <v>20</v>
      </c>
      <c r="F178" t="s">
        <v>21</v>
      </c>
      <c r="G178" t="s">
        <v>25</v>
      </c>
      <c r="H178">
        <v>277</v>
      </c>
      <c r="I178">
        <v>257</v>
      </c>
      <c r="J178">
        <v>99.7</v>
      </c>
      <c r="K178">
        <v>69</v>
      </c>
      <c r="L178">
        <v>26.4</v>
      </c>
      <c r="M178">
        <v>7.5</v>
      </c>
      <c r="N178">
        <v>0.11360148129688299</v>
      </c>
      <c r="O178">
        <v>4.6152911753123603E-2</v>
      </c>
    </row>
    <row r="179" spans="1:15" x14ac:dyDescent="0.3">
      <c r="A179">
        <v>849</v>
      </c>
      <c r="B179">
        <v>1305</v>
      </c>
      <c r="C179">
        <v>99</v>
      </c>
      <c r="D179" t="s">
        <v>19</v>
      </c>
      <c r="E179" t="s">
        <v>20</v>
      </c>
      <c r="F179" t="s">
        <v>21</v>
      </c>
      <c r="G179" t="s">
        <v>25</v>
      </c>
      <c r="H179">
        <v>277</v>
      </c>
      <c r="I179">
        <v>257</v>
      </c>
      <c r="J179">
        <v>99.7</v>
      </c>
      <c r="K179">
        <v>69</v>
      </c>
      <c r="L179">
        <v>26.4</v>
      </c>
      <c r="M179">
        <v>7.5</v>
      </c>
      <c r="N179">
        <v>9.8982877752374396E-2</v>
      </c>
      <c r="O179">
        <v>4.9814414763857298E-2</v>
      </c>
    </row>
    <row r="180" spans="1:15" x14ac:dyDescent="0.3">
      <c r="A180">
        <v>850</v>
      </c>
      <c r="B180">
        <v>1305</v>
      </c>
      <c r="C180">
        <v>99</v>
      </c>
      <c r="D180" t="s">
        <v>19</v>
      </c>
      <c r="E180" t="s">
        <v>20</v>
      </c>
      <c r="F180" t="s">
        <v>21</v>
      </c>
      <c r="G180" t="s">
        <v>25</v>
      </c>
      <c r="H180">
        <v>277</v>
      </c>
      <c r="I180">
        <v>257</v>
      </c>
      <c r="J180">
        <v>99.7</v>
      </c>
      <c r="K180">
        <v>69</v>
      </c>
      <c r="L180">
        <v>26.4</v>
      </c>
      <c r="M180">
        <v>7.5</v>
      </c>
      <c r="N180">
        <v>0.120941892603509</v>
      </c>
      <c r="O180">
        <v>3.5981705090421499E-2</v>
      </c>
    </row>
    <row r="181" spans="1:15" x14ac:dyDescent="0.3">
      <c r="A181">
        <v>859</v>
      </c>
      <c r="B181">
        <v>131</v>
      </c>
      <c r="C181">
        <v>413</v>
      </c>
      <c r="D181" t="s">
        <v>19</v>
      </c>
      <c r="E181" t="s">
        <v>20</v>
      </c>
      <c r="F181" t="s">
        <v>17</v>
      </c>
      <c r="G181" t="s">
        <v>25</v>
      </c>
      <c r="H181">
        <v>279</v>
      </c>
      <c r="I181">
        <v>247.5</v>
      </c>
      <c r="J181">
        <v>93.5</v>
      </c>
      <c r="K181">
        <v>66</v>
      </c>
      <c r="L181">
        <v>25.5</v>
      </c>
      <c r="M181">
        <v>10</v>
      </c>
      <c r="N181">
        <v>0.22106684350161401</v>
      </c>
      <c r="O181">
        <v>6.0965754414998401E-2</v>
      </c>
    </row>
    <row r="182" spans="1:15" x14ac:dyDescent="0.3">
      <c r="A182">
        <v>860</v>
      </c>
      <c r="B182">
        <v>131</v>
      </c>
      <c r="C182">
        <v>413</v>
      </c>
      <c r="D182" t="s">
        <v>19</v>
      </c>
      <c r="E182" t="s">
        <v>20</v>
      </c>
      <c r="F182" t="s">
        <v>17</v>
      </c>
      <c r="G182" t="s">
        <v>25</v>
      </c>
      <c r="H182">
        <v>279</v>
      </c>
      <c r="I182">
        <v>247.5</v>
      </c>
      <c r="J182">
        <v>93.5</v>
      </c>
      <c r="K182">
        <v>66</v>
      </c>
      <c r="L182">
        <v>25.5</v>
      </c>
      <c r="M182">
        <v>10</v>
      </c>
      <c r="N182">
        <v>0.23402794016192499</v>
      </c>
      <c r="O182">
        <v>6.6753241551685702E-2</v>
      </c>
    </row>
    <row r="183" spans="1:15" x14ac:dyDescent="0.3">
      <c r="A183">
        <v>861</v>
      </c>
      <c r="B183">
        <v>131</v>
      </c>
      <c r="C183">
        <v>413</v>
      </c>
      <c r="D183" t="s">
        <v>19</v>
      </c>
      <c r="E183" t="s">
        <v>20</v>
      </c>
      <c r="F183" t="s">
        <v>17</v>
      </c>
      <c r="G183" t="s">
        <v>25</v>
      </c>
      <c r="H183">
        <v>279</v>
      </c>
      <c r="I183">
        <v>247.5</v>
      </c>
      <c r="J183">
        <v>93.5</v>
      </c>
      <c r="K183">
        <v>66</v>
      </c>
      <c r="L183">
        <v>25.5</v>
      </c>
      <c r="M183">
        <v>10</v>
      </c>
      <c r="N183">
        <v>0.21630564817880901</v>
      </c>
      <c r="O183">
        <v>7.7748028556007306E-2</v>
      </c>
    </row>
    <row r="184" spans="1:15" x14ac:dyDescent="0.3">
      <c r="A184">
        <v>862</v>
      </c>
      <c r="B184">
        <v>131</v>
      </c>
      <c r="C184">
        <v>413</v>
      </c>
      <c r="D184" t="s">
        <v>19</v>
      </c>
      <c r="E184" t="s">
        <v>20</v>
      </c>
      <c r="F184" t="s">
        <v>17</v>
      </c>
      <c r="G184" t="s">
        <v>25</v>
      </c>
      <c r="H184">
        <v>279</v>
      </c>
      <c r="I184">
        <v>247.5</v>
      </c>
      <c r="J184">
        <v>93.5</v>
      </c>
      <c r="K184">
        <v>66</v>
      </c>
      <c r="L184">
        <v>25.5</v>
      </c>
      <c r="M184">
        <v>10</v>
      </c>
      <c r="N184">
        <v>0.21133944920317299</v>
      </c>
      <c r="O184">
        <v>6.1060853674091302E-2</v>
      </c>
    </row>
    <row r="185" spans="1:15" x14ac:dyDescent="0.3">
      <c r="A185">
        <v>863</v>
      </c>
      <c r="B185">
        <v>131</v>
      </c>
      <c r="C185">
        <v>413</v>
      </c>
      <c r="D185" t="s">
        <v>19</v>
      </c>
      <c r="E185" t="s">
        <v>20</v>
      </c>
      <c r="F185" t="s">
        <v>17</v>
      </c>
      <c r="G185" t="s">
        <v>25</v>
      </c>
      <c r="H185">
        <v>279</v>
      </c>
      <c r="I185">
        <v>247.5</v>
      </c>
      <c r="J185">
        <v>93.5</v>
      </c>
      <c r="K185">
        <v>66</v>
      </c>
      <c r="L185">
        <v>25.5</v>
      </c>
      <c r="M185">
        <v>10</v>
      </c>
      <c r="N185">
        <v>0.20384906603154801</v>
      </c>
      <c r="O185">
        <v>5.5068113884073497E-2</v>
      </c>
    </row>
    <row r="186" spans="1:15" x14ac:dyDescent="0.3">
      <c r="A186">
        <v>867</v>
      </c>
      <c r="B186">
        <v>1311</v>
      </c>
      <c r="C186">
        <v>461</v>
      </c>
      <c r="D186" t="s">
        <v>23</v>
      </c>
      <c r="E186" t="s">
        <v>16</v>
      </c>
      <c r="F186" t="s">
        <v>17</v>
      </c>
      <c r="G186" t="s">
        <v>22</v>
      </c>
      <c r="H186">
        <v>276.60000000000002</v>
      </c>
      <c r="I186">
        <v>260.5</v>
      </c>
      <c r="J186">
        <v>98.2</v>
      </c>
      <c r="K186">
        <v>68</v>
      </c>
      <c r="L186">
        <v>26.5</v>
      </c>
      <c r="M186">
        <v>6</v>
      </c>
      <c r="N186">
        <v>0.20137067402752001</v>
      </c>
      <c r="O186">
        <v>0.269921614283964</v>
      </c>
    </row>
    <row r="187" spans="1:15" x14ac:dyDescent="0.3">
      <c r="A187">
        <v>868</v>
      </c>
      <c r="B187">
        <v>1311</v>
      </c>
      <c r="C187">
        <v>461</v>
      </c>
      <c r="D187" t="s">
        <v>23</v>
      </c>
      <c r="E187" t="s">
        <v>16</v>
      </c>
      <c r="F187" t="s">
        <v>17</v>
      </c>
      <c r="G187" t="s">
        <v>22</v>
      </c>
      <c r="H187">
        <v>276.60000000000002</v>
      </c>
      <c r="I187">
        <v>260.5</v>
      </c>
      <c r="J187">
        <v>98.2</v>
      </c>
      <c r="K187">
        <v>68</v>
      </c>
      <c r="L187">
        <v>26.5</v>
      </c>
      <c r="M187">
        <v>6</v>
      </c>
      <c r="N187">
        <v>0.19503085648605001</v>
      </c>
      <c r="O187">
        <v>0.249888214825467</v>
      </c>
    </row>
    <row r="188" spans="1:15" x14ac:dyDescent="0.3">
      <c r="A188">
        <v>882</v>
      </c>
      <c r="B188">
        <v>1318</v>
      </c>
      <c r="C188">
        <v>102</v>
      </c>
      <c r="D188" t="s">
        <v>19</v>
      </c>
      <c r="E188" t="s">
        <v>20</v>
      </c>
      <c r="F188" t="s">
        <v>21</v>
      </c>
      <c r="G188" t="s">
        <v>26</v>
      </c>
      <c r="H188">
        <v>273.60000000000002</v>
      </c>
      <c r="I188">
        <v>246</v>
      </c>
      <c r="J188">
        <v>93.6</v>
      </c>
      <c r="K188">
        <v>64.5</v>
      </c>
      <c r="L188">
        <v>25.6</v>
      </c>
      <c r="M188">
        <v>1.5</v>
      </c>
      <c r="N188">
        <v>0.17427873775953001</v>
      </c>
      <c r="O188">
        <v>0.19786676612269699</v>
      </c>
    </row>
    <row r="189" spans="1:15" x14ac:dyDescent="0.3">
      <c r="A189">
        <v>883</v>
      </c>
      <c r="B189">
        <v>1318</v>
      </c>
      <c r="C189">
        <v>102</v>
      </c>
      <c r="D189" t="s">
        <v>19</v>
      </c>
      <c r="E189" t="s">
        <v>20</v>
      </c>
      <c r="F189" t="s">
        <v>21</v>
      </c>
      <c r="G189" t="s">
        <v>26</v>
      </c>
      <c r="H189">
        <v>273.60000000000002</v>
      </c>
      <c r="I189">
        <v>246</v>
      </c>
      <c r="J189">
        <v>93.6</v>
      </c>
      <c r="K189">
        <v>64.5</v>
      </c>
      <c r="L189">
        <v>25.6</v>
      </c>
      <c r="M189">
        <v>1.5</v>
      </c>
      <c r="N189">
        <v>0.16294133509353301</v>
      </c>
      <c r="O189">
        <v>0.18109903211563799</v>
      </c>
    </row>
    <row r="190" spans="1:15" x14ac:dyDescent="0.3">
      <c r="A190">
        <v>895</v>
      </c>
      <c r="B190">
        <v>1321</v>
      </c>
      <c r="C190">
        <v>238</v>
      </c>
      <c r="D190" t="s">
        <v>19</v>
      </c>
      <c r="E190" t="s">
        <v>16</v>
      </c>
      <c r="F190" t="s">
        <v>21</v>
      </c>
      <c r="G190" t="s">
        <v>18</v>
      </c>
      <c r="H190">
        <v>273.3</v>
      </c>
      <c r="I190">
        <v>246</v>
      </c>
      <c r="J190">
        <v>92.6</v>
      </c>
      <c r="K190">
        <v>63.5</v>
      </c>
      <c r="L190">
        <v>25.5</v>
      </c>
      <c r="M190">
        <v>9.5</v>
      </c>
      <c r="N190">
        <v>0.12745102702792499</v>
      </c>
      <c r="O190">
        <v>0.17602246490485901</v>
      </c>
    </row>
    <row r="191" spans="1:15" x14ac:dyDescent="0.3">
      <c r="A191">
        <v>896</v>
      </c>
      <c r="B191">
        <v>1321</v>
      </c>
      <c r="C191">
        <v>238</v>
      </c>
      <c r="D191" t="s">
        <v>19</v>
      </c>
      <c r="E191" t="s">
        <v>16</v>
      </c>
      <c r="F191" t="s">
        <v>21</v>
      </c>
      <c r="G191" t="s">
        <v>18</v>
      </c>
      <c r="H191">
        <v>273.3</v>
      </c>
      <c r="I191">
        <v>246</v>
      </c>
      <c r="J191">
        <v>92.6</v>
      </c>
      <c r="K191">
        <v>63.5</v>
      </c>
      <c r="L191">
        <v>25.5</v>
      </c>
      <c r="M191">
        <v>9.5</v>
      </c>
      <c r="N191">
        <v>0.129743734822172</v>
      </c>
      <c r="O191">
        <v>0.14350079021385201</v>
      </c>
    </row>
    <row r="192" spans="1:15" x14ac:dyDescent="0.3">
      <c r="A192">
        <v>897</v>
      </c>
      <c r="B192">
        <v>1321</v>
      </c>
      <c r="C192">
        <v>238</v>
      </c>
      <c r="D192" t="s">
        <v>19</v>
      </c>
      <c r="E192" t="s">
        <v>16</v>
      </c>
      <c r="F192" t="s">
        <v>21</v>
      </c>
      <c r="G192" t="s">
        <v>18</v>
      </c>
      <c r="H192">
        <v>273.3</v>
      </c>
      <c r="I192">
        <v>246</v>
      </c>
      <c r="J192">
        <v>92.6</v>
      </c>
      <c r="K192">
        <v>63.5</v>
      </c>
      <c r="L192">
        <v>25.5</v>
      </c>
      <c r="M192">
        <v>9.5</v>
      </c>
      <c r="N192">
        <v>0.125099941300502</v>
      </c>
      <c r="O192">
        <v>0.15694335206073401</v>
      </c>
    </row>
    <row r="193" spans="1:15" x14ac:dyDescent="0.3">
      <c r="A193">
        <v>909</v>
      </c>
      <c r="B193">
        <v>1328</v>
      </c>
      <c r="C193">
        <v>385</v>
      </c>
      <c r="D193" t="s">
        <v>23</v>
      </c>
      <c r="E193" t="s">
        <v>20</v>
      </c>
      <c r="F193" t="s">
        <v>17</v>
      </c>
      <c r="G193" t="s">
        <v>26</v>
      </c>
      <c r="H193">
        <v>270</v>
      </c>
      <c r="I193">
        <v>256</v>
      </c>
      <c r="J193">
        <v>97.2</v>
      </c>
      <c r="K193">
        <v>65.5</v>
      </c>
      <c r="L193">
        <v>26</v>
      </c>
      <c r="M193">
        <v>8</v>
      </c>
      <c r="N193">
        <v>0.18519135896848701</v>
      </c>
      <c r="O193">
        <v>0.39338963143186201</v>
      </c>
    </row>
    <row r="194" spans="1:15" x14ac:dyDescent="0.3">
      <c r="A194">
        <v>910</v>
      </c>
      <c r="B194">
        <v>1328</v>
      </c>
      <c r="C194">
        <v>385</v>
      </c>
      <c r="D194" t="s">
        <v>23</v>
      </c>
      <c r="E194" t="s">
        <v>20</v>
      </c>
      <c r="F194" t="s">
        <v>17</v>
      </c>
      <c r="G194" t="s">
        <v>26</v>
      </c>
      <c r="H194">
        <v>270</v>
      </c>
      <c r="I194">
        <v>256</v>
      </c>
      <c r="J194">
        <v>97.2</v>
      </c>
      <c r="K194">
        <v>65.5</v>
      </c>
      <c r="L194">
        <v>26</v>
      </c>
      <c r="M194">
        <v>8</v>
      </c>
      <c r="N194">
        <v>0.19765166361821601</v>
      </c>
      <c r="O194">
        <v>0.37901360858494099</v>
      </c>
    </row>
    <row r="195" spans="1:15" x14ac:dyDescent="0.3">
      <c r="A195">
        <v>911</v>
      </c>
      <c r="B195">
        <v>1328</v>
      </c>
      <c r="C195">
        <v>385</v>
      </c>
      <c r="D195" t="s">
        <v>23</v>
      </c>
      <c r="E195" t="s">
        <v>20</v>
      </c>
      <c r="F195" t="s">
        <v>17</v>
      </c>
      <c r="G195" t="s">
        <v>26</v>
      </c>
      <c r="H195">
        <v>270</v>
      </c>
      <c r="I195">
        <v>256</v>
      </c>
      <c r="J195">
        <v>97.2</v>
      </c>
      <c r="K195">
        <v>65.5</v>
      </c>
      <c r="L195">
        <v>26</v>
      </c>
      <c r="M195">
        <v>8</v>
      </c>
      <c r="N195">
        <v>0.176318145240873</v>
      </c>
      <c r="O195">
        <v>0.39222007001383502</v>
      </c>
    </row>
    <row r="196" spans="1:15" x14ac:dyDescent="0.3">
      <c r="A196">
        <v>912</v>
      </c>
      <c r="B196">
        <v>1328</v>
      </c>
      <c r="C196">
        <v>385</v>
      </c>
      <c r="D196" t="s">
        <v>23</v>
      </c>
      <c r="E196" t="s">
        <v>20</v>
      </c>
      <c r="F196" t="s">
        <v>17</v>
      </c>
      <c r="G196" t="s">
        <v>26</v>
      </c>
      <c r="H196">
        <v>270</v>
      </c>
      <c r="I196">
        <v>256</v>
      </c>
      <c r="J196">
        <v>97.2</v>
      </c>
      <c r="K196">
        <v>65.5</v>
      </c>
      <c r="L196">
        <v>26</v>
      </c>
      <c r="M196">
        <v>8</v>
      </c>
      <c r="N196">
        <v>0.198373117370017</v>
      </c>
      <c r="O196">
        <v>0.38801088984899101</v>
      </c>
    </row>
    <row r="197" spans="1:15" x14ac:dyDescent="0.3">
      <c r="A197">
        <v>922</v>
      </c>
      <c r="B197">
        <v>1330</v>
      </c>
      <c r="C197">
        <v>314</v>
      </c>
      <c r="D197" t="s">
        <v>19</v>
      </c>
      <c r="E197" t="s">
        <v>20</v>
      </c>
      <c r="F197" t="s">
        <v>17</v>
      </c>
      <c r="G197" t="s">
        <v>18</v>
      </c>
      <c r="H197">
        <v>273.5</v>
      </c>
      <c r="I197">
        <v>251.5</v>
      </c>
      <c r="J197">
        <v>97.5</v>
      </c>
      <c r="K197">
        <v>65</v>
      </c>
      <c r="L197">
        <v>25.5</v>
      </c>
      <c r="M197">
        <v>13</v>
      </c>
      <c r="N197">
        <v>0.21593089240828101</v>
      </c>
      <c r="O197">
        <v>9.5474084492656694E-2</v>
      </c>
    </row>
    <row r="198" spans="1:15" x14ac:dyDescent="0.3">
      <c r="A198">
        <v>923</v>
      </c>
      <c r="B198">
        <v>1330</v>
      </c>
      <c r="C198">
        <v>314</v>
      </c>
      <c r="D198" t="s">
        <v>19</v>
      </c>
      <c r="E198" t="s">
        <v>20</v>
      </c>
      <c r="F198" t="s">
        <v>17</v>
      </c>
      <c r="G198" t="s">
        <v>18</v>
      </c>
      <c r="H198">
        <v>273.5</v>
      </c>
      <c r="I198">
        <v>251.5</v>
      </c>
      <c r="J198">
        <v>97.5</v>
      </c>
      <c r="K198">
        <v>65</v>
      </c>
      <c r="L198">
        <v>25.5</v>
      </c>
      <c r="M198">
        <v>13</v>
      </c>
      <c r="N198">
        <v>0.23703834663589801</v>
      </c>
      <c r="O198">
        <v>7.4765079455659494E-2</v>
      </c>
    </row>
    <row r="199" spans="1:15" x14ac:dyDescent="0.3">
      <c r="A199">
        <v>924</v>
      </c>
      <c r="B199">
        <v>1330</v>
      </c>
      <c r="C199">
        <v>314</v>
      </c>
      <c r="D199" t="s">
        <v>19</v>
      </c>
      <c r="E199" t="s">
        <v>20</v>
      </c>
      <c r="F199" t="s">
        <v>17</v>
      </c>
      <c r="G199" t="s">
        <v>18</v>
      </c>
      <c r="H199">
        <v>273.5</v>
      </c>
      <c r="I199">
        <v>251.5</v>
      </c>
      <c r="J199">
        <v>97.5</v>
      </c>
      <c r="K199">
        <v>65</v>
      </c>
      <c r="L199">
        <v>25.5</v>
      </c>
      <c r="M199">
        <v>13</v>
      </c>
      <c r="N199">
        <v>0.22727762519408801</v>
      </c>
      <c r="O199">
        <v>8.8070137514775104E-2</v>
      </c>
    </row>
    <row r="200" spans="1:15" x14ac:dyDescent="0.3">
      <c r="A200">
        <v>925</v>
      </c>
      <c r="B200">
        <v>1330</v>
      </c>
      <c r="C200">
        <v>314</v>
      </c>
      <c r="D200" t="s">
        <v>19</v>
      </c>
      <c r="E200" t="s">
        <v>20</v>
      </c>
      <c r="F200" t="s">
        <v>17</v>
      </c>
      <c r="G200" t="s">
        <v>18</v>
      </c>
      <c r="H200">
        <v>273.5</v>
      </c>
      <c r="I200">
        <v>251.5</v>
      </c>
      <c r="J200">
        <v>97.5</v>
      </c>
      <c r="K200">
        <v>65</v>
      </c>
      <c r="L200">
        <v>25.5</v>
      </c>
      <c r="M200">
        <v>13</v>
      </c>
      <c r="N200">
        <v>0.24335998267152401</v>
      </c>
      <c r="O200">
        <v>8.6846271706468303E-2</v>
      </c>
    </row>
    <row r="201" spans="1:15" x14ac:dyDescent="0.3">
      <c r="A201">
        <v>926</v>
      </c>
      <c r="B201">
        <v>1331</v>
      </c>
      <c r="C201">
        <v>197</v>
      </c>
      <c r="D201" t="s">
        <v>19</v>
      </c>
      <c r="E201" t="s">
        <v>20</v>
      </c>
      <c r="F201" t="s">
        <v>21</v>
      </c>
      <c r="G201" t="s">
        <v>24</v>
      </c>
      <c r="H201">
        <v>280.10000000000002</v>
      </c>
      <c r="I201">
        <v>249.5</v>
      </c>
      <c r="J201">
        <v>95.8</v>
      </c>
      <c r="K201">
        <v>69.5</v>
      </c>
      <c r="L201">
        <v>26.6</v>
      </c>
      <c r="M201">
        <v>6.5</v>
      </c>
      <c r="N201">
        <v>0.17173600631164301</v>
      </c>
      <c r="O201">
        <v>3.41547106268821E-2</v>
      </c>
    </row>
    <row r="202" spans="1:15" x14ac:dyDescent="0.3">
      <c r="A202">
        <v>927</v>
      </c>
      <c r="B202">
        <v>1331</v>
      </c>
      <c r="C202">
        <v>197</v>
      </c>
      <c r="D202" t="s">
        <v>19</v>
      </c>
      <c r="E202" t="s">
        <v>20</v>
      </c>
      <c r="F202" t="s">
        <v>21</v>
      </c>
      <c r="G202" t="s">
        <v>24</v>
      </c>
      <c r="H202">
        <v>280.10000000000002</v>
      </c>
      <c r="I202">
        <v>249.5</v>
      </c>
      <c r="J202">
        <v>95.8</v>
      </c>
      <c r="K202">
        <v>69.5</v>
      </c>
      <c r="L202">
        <v>26.6</v>
      </c>
      <c r="M202">
        <v>6.5</v>
      </c>
      <c r="N202">
        <v>0.182989635905762</v>
      </c>
      <c r="O202">
        <v>4.9762369687530297E-2</v>
      </c>
    </row>
    <row r="203" spans="1:15" x14ac:dyDescent="0.3">
      <c r="A203">
        <v>928</v>
      </c>
      <c r="B203">
        <v>1331</v>
      </c>
      <c r="C203">
        <v>197</v>
      </c>
      <c r="D203" t="s">
        <v>19</v>
      </c>
      <c r="E203" t="s">
        <v>20</v>
      </c>
      <c r="F203" t="s">
        <v>21</v>
      </c>
      <c r="G203" t="s">
        <v>24</v>
      </c>
      <c r="H203">
        <v>280.10000000000002</v>
      </c>
      <c r="I203">
        <v>249.5</v>
      </c>
      <c r="J203">
        <v>95.8</v>
      </c>
      <c r="K203">
        <v>69.5</v>
      </c>
      <c r="L203">
        <v>26.6</v>
      </c>
      <c r="M203">
        <v>6.5</v>
      </c>
      <c r="N203">
        <v>0.18771248795581399</v>
      </c>
      <c r="O203">
        <v>2.43026457542369E-2</v>
      </c>
    </row>
    <row r="204" spans="1:15" x14ac:dyDescent="0.3">
      <c r="A204">
        <v>929</v>
      </c>
      <c r="B204">
        <v>1331</v>
      </c>
      <c r="C204">
        <v>197</v>
      </c>
      <c r="D204" t="s">
        <v>19</v>
      </c>
      <c r="E204" t="s">
        <v>20</v>
      </c>
      <c r="F204" t="s">
        <v>21</v>
      </c>
      <c r="G204" t="s">
        <v>24</v>
      </c>
      <c r="H204">
        <v>280.10000000000002</v>
      </c>
      <c r="I204">
        <v>249.5</v>
      </c>
      <c r="J204">
        <v>95.8</v>
      </c>
      <c r="K204">
        <v>69.5</v>
      </c>
      <c r="L204">
        <v>26.6</v>
      </c>
      <c r="M204">
        <v>6.5</v>
      </c>
      <c r="N204">
        <v>0.16959906741463401</v>
      </c>
      <c r="O204">
        <v>5.7914207595516999E-2</v>
      </c>
    </row>
    <row r="205" spans="1:15" x14ac:dyDescent="0.3">
      <c r="A205">
        <v>952</v>
      </c>
      <c r="B205">
        <v>1339</v>
      </c>
      <c r="C205">
        <v>218</v>
      </c>
      <c r="D205" t="s">
        <v>19</v>
      </c>
      <c r="E205" t="s">
        <v>16</v>
      </c>
      <c r="F205" t="s">
        <v>21</v>
      </c>
      <c r="G205" t="s">
        <v>26</v>
      </c>
      <c r="H205">
        <v>274.5</v>
      </c>
      <c r="I205">
        <v>258</v>
      </c>
      <c r="J205">
        <v>101.5</v>
      </c>
      <c r="K205">
        <v>66.5</v>
      </c>
      <c r="L205">
        <v>27.9</v>
      </c>
      <c r="M205">
        <v>10</v>
      </c>
      <c r="N205">
        <v>0.116203631157311</v>
      </c>
      <c r="O205">
        <v>8.26878303577257E-2</v>
      </c>
    </row>
    <row r="206" spans="1:15" x14ac:dyDescent="0.3">
      <c r="A206">
        <v>953</v>
      </c>
      <c r="B206">
        <v>1339</v>
      </c>
      <c r="C206">
        <v>218</v>
      </c>
      <c r="D206" t="s">
        <v>19</v>
      </c>
      <c r="E206" t="s">
        <v>16</v>
      </c>
      <c r="F206" t="s">
        <v>21</v>
      </c>
      <c r="G206" t="s">
        <v>26</v>
      </c>
      <c r="H206">
        <v>274.5</v>
      </c>
      <c r="I206">
        <v>258</v>
      </c>
      <c r="J206">
        <v>101.5</v>
      </c>
      <c r="K206">
        <v>66.5</v>
      </c>
      <c r="L206">
        <v>27.9</v>
      </c>
      <c r="M206">
        <v>10</v>
      </c>
      <c r="N206">
        <v>0.14520501776331801</v>
      </c>
      <c r="O206">
        <v>0.102251526870342</v>
      </c>
    </row>
    <row r="207" spans="1:15" x14ac:dyDescent="0.3">
      <c r="A207">
        <v>954</v>
      </c>
      <c r="B207">
        <v>1339</v>
      </c>
      <c r="C207">
        <v>218</v>
      </c>
      <c r="D207" t="s">
        <v>19</v>
      </c>
      <c r="E207" t="s">
        <v>16</v>
      </c>
      <c r="F207" t="s">
        <v>21</v>
      </c>
      <c r="G207" t="s">
        <v>26</v>
      </c>
      <c r="H207">
        <v>274.5</v>
      </c>
      <c r="I207">
        <v>258</v>
      </c>
      <c r="J207">
        <v>101.5</v>
      </c>
      <c r="K207">
        <v>66.5</v>
      </c>
      <c r="L207">
        <v>27.9</v>
      </c>
      <c r="M207">
        <v>10</v>
      </c>
      <c r="N207">
        <v>0.12660580881722899</v>
      </c>
      <c r="O207">
        <v>9.9290307154594803E-2</v>
      </c>
    </row>
    <row r="208" spans="1:15" x14ac:dyDescent="0.3">
      <c r="A208">
        <v>961</v>
      </c>
      <c r="B208">
        <v>1341</v>
      </c>
      <c r="C208">
        <v>95</v>
      </c>
      <c r="D208" t="s">
        <v>23</v>
      </c>
      <c r="E208" t="s">
        <v>20</v>
      </c>
      <c r="F208" t="s">
        <v>21</v>
      </c>
      <c r="G208" t="s">
        <v>22</v>
      </c>
      <c r="H208">
        <v>276.60000000000002</v>
      </c>
      <c r="I208">
        <v>250.5</v>
      </c>
      <c r="J208">
        <v>100</v>
      </c>
      <c r="K208">
        <v>67</v>
      </c>
      <c r="L208">
        <v>28.2</v>
      </c>
      <c r="M208">
        <v>6.5</v>
      </c>
      <c r="N208">
        <v>0.10031167672121701</v>
      </c>
      <c r="O208">
        <v>0.33935098756957899</v>
      </c>
    </row>
    <row r="209" spans="1:15" x14ac:dyDescent="0.3">
      <c r="A209">
        <v>962</v>
      </c>
      <c r="B209">
        <v>1341</v>
      </c>
      <c r="C209">
        <v>95</v>
      </c>
      <c r="D209" t="s">
        <v>23</v>
      </c>
      <c r="E209" t="s">
        <v>20</v>
      </c>
      <c r="F209" t="s">
        <v>21</v>
      </c>
      <c r="G209" t="s">
        <v>22</v>
      </c>
      <c r="H209">
        <v>276.60000000000002</v>
      </c>
      <c r="I209">
        <v>250.5</v>
      </c>
      <c r="J209">
        <v>100</v>
      </c>
      <c r="K209">
        <v>67</v>
      </c>
      <c r="L209">
        <v>28.2</v>
      </c>
      <c r="M209">
        <v>6.5</v>
      </c>
      <c r="N209">
        <v>0.10389054348570299</v>
      </c>
      <c r="O209">
        <v>0.32487496802564703</v>
      </c>
    </row>
    <row r="210" spans="1:15" x14ac:dyDescent="0.3">
      <c r="A210">
        <v>963</v>
      </c>
      <c r="B210">
        <v>1341</v>
      </c>
      <c r="C210">
        <v>95</v>
      </c>
      <c r="D210" t="s">
        <v>23</v>
      </c>
      <c r="E210" t="s">
        <v>20</v>
      </c>
      <c r="F210" t="s">
        <v>21</v>
      </c>
      <c r="G210" t="s">
        <v>22</v>
      </c>
      <c r="H210">
        <v>276.60000000000002</v>
      </c>
      <c r="I210">
        <v>250.5</v>
      </c>
      <c r="J210">
        <v>100</v>
      </c>
      <c r="K210">
        <v>67</v>
      </c>
      <c r="L210">
        <v>28.2</v>
      </c>
      <c r="M210">
        <v>6.5</v>
      </c>
      <c r="N210">
        <v>0.11918947525273101</v>
      </c>
      <c r="O210">
        <v>0.347348071514403</v>
      </c>
    </row>
    <row r="211" spans="1:15" x14ac:dyDescent="0.3">
      <c r="A211">
        <v>972</v>
      </c>
      <c r="B211">
        <v>1346</v>
      </c>
      <c r="C211">
        <v>387</v>
      </c>
      <c r="D211" t="s">
        <v>19</v>
      </c>
      <c r="E211" t="s">
        <v>16</v>
      </c>
      <c r="F211" t="s">
        <v>21</v>
      </c>
      <c r="G211" t="s">
        <v>18</v>
      </c>
      <c r="H211">
        <v>275.2</v>
      </c>
      <c r="I211">
        <v>249.5</v>
      </c>
      <c r="J211">
        <v>96.8</v>
      </c>
      <c r="K211">
        <v>66</v>
      </c>
      <c r="L211">
        <v>25.3</v>
      </c>
      <c r="M211">
        <v>8.5</v>
      </c>
      <c r="N211">
        <v>8.5218030464766004E-2</v>
      </c>
      <c r="O211">
        <v>6.5368966564355993E-2</v>
      </c>
    </row>
    <row r="212" spans="1:15" x14ac:dyDescent="0.3">
      <c r="A212">
        <v>973</v>
      </c>
      <c r="B212">
        <v>1346</v>
      </c>
      <c r="C212">
        <v>387</v>
      </c>
      <c r="D212" t="s">
        <v>19</v>
      </c>
      <c r="E212" t="s">
        <v>16</v>
      </c>
      <c r="F212" t="s">
        <v>21</v>
      </c>
      <c r="G212" t="s">
        <v>18</v>
      </c>
      <c r="H212">
        <v>275.2</v>
      </c>
      <c r="I212">
        <v>249.5</v>
      </c>
      <c r="J212">
        <v>96.8</v>
      </c>
      <c r="K212">
        <v>66</v>
      </c>
      <c r="L212">
        <v>25.3</v>
      </c>
      <c r="M212">
        <v>8.5</v>
      </c>
      <c r="N212">
        <v>8.1329959781609895E-2</v>
      </c>
      <c r="O212">
        <v>9.7304218328993802E-2</v>
      </c>
    </row>
    <row r="213" spans="1:15" x14ac:dyDescent="0.3">
      <c r="A213">
        <v>974</v>
      </c>
      <c r="B213">
        <v>1346</v>
      </c>
      <c r="C213">
        <v>387</v>
      </c>
      <c r="D213" t="s">
        <v>19</v>
      </c>
      <c r="E213" t="s">
        <v>16</v>
      </c>
      <c r="F213" t="s">
        <v>21</v>
      </c>
      <c r="G213" t="s">
        <v>18</v>
      </c>
      <c r="H213">
        <v>275.2</v>
      </c>
      <c r="I213">
        <v>249.5</v>
      </c>
      <c r="J213">
        <v>96.8</v>
      </c>
      <c r="K213">
        <v>66</v>
      </c>
      <c r="L213">
        <v>25.3</v>
      </c>
      <c r="M213">
        <v>8.5</v>
      </c>
      <c r="N213">
        <v>7.1411626658945904E-2</v>
      </c>
      <c r="O213">
        <v>7.6500795089330303E-2</v>
      </c>
    </row>
    <row r="214" spans="1:15" x14ac:dyDescent="0.3">
      <c r="A214">
        <v>975</v>
      </c>
      <c r="B214">
        <v>1346</v>
      </c>
      <c r="C214">
        <v>387</v>
      </c>
      <c r="D214" t="s">
        <v>19</v>
      </c>
      <c r="E214" t="s">
        <v>16</v>
      </c>
      <c r="F214" t="s">
        <v>21</v>
      </c>
      <c r="G214" t="s">
        <v>18</v>
      </c>
      <c r="H214">
        <v>275.2</v>
      </c>
      <c r="I214">
        <v>249.5</v>
      </c>
      <c r="J214">
        <v>96.8</v>
      </c>
      <c r="K214">
        <v>66</v>
      </c>
      <c r="L214">
        <v>25.3</v>
      </c>
      <c r="M214">
        <v>8.5</v>
      </c>
      <c r="N214">
        <v>7.4120378762913497E-2</v>
      </c>
      <c r="O214">
        <v>8.3761587903857695E-2</v>
      </c>
    </row>
    <row r="215" spans="1:15" x14ac:dyDescent="0.3">
      <c r="A215">
        <v>984</v>
      </c>
      <c r="B215">
        <v>135</v>
      </c>
      <c r="C215">
        <v>161</v>
      </c>
      <c r="D215" t="s">
        <v>15</v>
      </c>
      <c r="E215" t="s">
        <v>20</v>
      </c>
      <c r="F215" t="s">
        <v>21</v>
      </c>
      <c r="G215" t="s">
        <v>18</v>
      </c>
      <c r="H215">
        <v>274.8</v>
      </c>
      <c r="I215">
        <v>251.5</v>
      </c>
      <c r="J215">
        <v>97.3</v>
      </c>
      <c r="K215">
        <v>68.5</v>
      </c>
      <c r="L215">
        <v>27.2</v>
      </c>
      <c r="M215">
        <v>10.5</v>
      </c>
      <c r="N215">
        <v>5.2851962109044803E-2</v>
      </c>
      <c r="O215">
        <v>0.123805573025564</v>
      </c>
    </row>
    <row r="216" spans="1:15" x14ac:dyDescent="0.3">
      <c r="A216">
        <v>985</v>
      </c>
      <c r="B216">
        <v>135</v>
      </c>
      <c r="C216">
        <v>161</v>
      </c>
      <c r="D216" t="s">
        <v>15</v>
      </c>
      <c r="E216" t="s">
        <v>20</v>
      </c>
      <c r="F216" t="s">
        <v>21</v>
      </c>
      <c r="G216" t="s">
        <v>18</v>
      </c>
      <c r="H216">
        <v>274.8</v>
      </c>
      <c r="I216">
        <v>251.5</v>
      </c>
      <c r="J216">
        <v>97.3</v>
      </c>
      <c r="K216">
        <v>68.5</v>
      </c>
      <c r="L216">
        <v>27.2</v>
      </c>
      <c r="M216">
        <v>10.5</v>
      </c>
      <c r="N216">
        <v>4.9279014450408803E-2</v>
      </c>
      <c r="O216">
        <v>0.12933525034884299</v>
      </c>
    </row>
    <row r="217" spans="1:15" x14ac:dyDescent="0.3">
      <c r="A217">
        <v>986</v>
      </c>
      <c r="B217">
        <v>135</v>
      </c>
      <c r="C217">
        <v>161</v>
      </c>
      <c r="D217" t="s">
        <v>15</v>
      </c>
      <c r="E217" t="s">
        <v>20</v>
      </c>
      <c r="F217" t="s">
        <v>21</v>
      </c>
      <c r="G217" t="s">
        <v>18</v>
      </c>
      <c r="H217">
        <v>274.8</v>
      </c>
      <c r="I217">
        <v>251.5</v>
      </c>
      <c r="J217">
        <v>97.3</v>
      </c>
      <c r="K217">
        <v>68.5</v>
      </c>
      <c r="L217">
        <v>27.2</v>
      </c>
      <c r="M217">
        <v>10.5</v>
      </c>
      <c r="N217">
        <v>5.3870274809577998E-2</v>
      </c>
      <c r="O217">
        <v>9.1900761226920494E-2</v>
      </c>
    </row>
    <row r="218" spans="1:15" x14ac:dyDescent="0.3">
      <c r="A218">
        <v>990</v>
      </c>
      <c r="B218">
        <v>1353</v>
      </c>
      <c r="C218">
        <v>350</v>
      </c>
      <c r="D218" t="s">
        <v>23</v>
      </c>
      <c r="E218" t="s">
        <v>16</v>
      </c>
      <c r="F218" t="s">
        <v>17</v>
      </c>
      <c r="G218" t="s">
        <v>25</v>
      </c>
      <c r="H218">
        <v>271.60000000000002</v>
      </c>
      <c r="I218">
        <v>240.5</v>
      </c>
      <c r="J218">
        <v>93.3</v>
      </c>
      <c r="K218">
        <v>65</v>
      </c>
      <c r="L218">
        <v>23.4</v>
      </c>
      <c r="M218">
        <v>7.5</v>
      </c>
      <c r="N218">
        <v>0.24652438835843399</v>
      </c>
      <c r="O218">
        <v>0.40471178060738999</v>
      </c>
    </row>
    <row r="219" spans="1:15" x14ac:dyDescent="0.3">
      <c r="A219">
        <v>991</v>
      </c>
      <c r="B219">
        <v>1354</v>
      </c>
      <c r="C219">
        <v>440</v>
      </c>
      <c r="D219" t="s">
        <v>15</v>
      </c>
      <c r="E219" t="s">
        <v>16</v>
      </c>
      <c r="F219" t="s">
        <v>21</v>
      </c>
      <c r="G219" t="s">
        <v>22</v>
      </c>
      <c r="H219">
        <v>276.89999999999998</v>
      </c>
      <c r="I219">
        <v>254</v>
      </c>
      <c r="J219">
        <v>95.2</v>
      </c>
      <c r="K219">
        <v>65</v>
      </c>
      <c r="L219">
        <v>29.8</v>
      </c>
      <c r="M219">
        <v>10.5</v>
      </c>
      <c r="N219">
        <v>2.22930623325946E-2</v>
      </c>
      <c r="O219">
        <v>0.13626110902986599</v>
      </c>
    </row>
    <row r="220" spans="1:15" x14ac:dyDescent="0.3">
      <c r="A220">
        <v>992</v>
      </c>
      <c r="B220">
        <v>1354</v>
      </c>
      <c r="C220">
        <v>440</v>
      </c>
      <c r="D220" t="s">
        <v>15</v>
      </c>
      <c r="E220" t="s">
        <v>16</v>
      </c>
      <c r="F220" t="s">
        <v>21</v>
      </c>
      <c r="G220" t="s">
        <v>22</v>
      </c>
      <c r="H220">
        <v>276.89999999999998</v>
      </c>
      <c r="I220">
        <v>254</v>
      </c>
      <c r="J220">
        <v>95.2</v>
      </c>
      <c r="K220">
        <v>65</v>
      </c>
      <c r="L220">
        <v>29.8</v>
      </c>
      <c r="M220">
        <v>10.5</v>
      </c>
      <c r="N220">
        <v>5.20859316797634E-2</v>
      </c>
      <c r="O220">
        <v>0.16929450348637601</v>
      </c>
    </row>
    <row r="221" spans="1:15" x14ac:dyDescent="0.3">
      <c r="A221">
        <v>993</v>
      </c>
      <c r="B221">
        <v>1354</v>
      </c>
      <c r="C221">
        <v>440</v>
      </c>
      <c r="D221" t="s">
        <v>15</v>
      </c>
      <c r="E221" t="s">
        <v>16</v>
      </c>
      <c r="F221" t="s">
        <v>21</v>
      </c>
      <c r="G221" t="s">
        <v>22</v>
      </c>
      <c r="H221">
        <v>276.89999999999998</v>
      </c>
      <c r="I221">
        <v>254</v>
      </c>
      <c r="J221">
        <v>95.2</v>
      </c>
      <c r="K221">
        <v>65</v>
      </c>
      <c r="L221">
        <v>29.8</v>
      </c>
      <c r="M221">
        <v>10.5</v>
      </c>
      <c r="N221">
        <v>5.1436526314820298E-2</v>
      </c>
      <c r="O221">
        <v>0.159486432344951</v>
      </c>
    </row>
    <row r="222" spans="1:15" x14ac:dyDescent="0.3">
      <c r="A222">
        <v>994</v>
      </c>
      <c r="B222">
        <v>1354</v>
      </c>
      <c r="C222">
        <v>440</v>
      </c>
      <c r="D222" t="s">
        <v>15</v>
      </c>
      <c r="E222" t="s">
        <v>16</v>
      </c>
      <c r="F222" t="s">
        <v>21</v>
      </c>
      <c r="G222" t="s">
        <v>22</v>
      </c>
      <c r="H222">
        <v>276.89999999999998</v>
      </c>
      <c r="I222">
        <v>254</v>
      </c>
      <c r="J222">
        <v>95.2</v>
      </c>
      <c r="K222">
        <v>65</v>
      </c>
      <c r="L222">
        <v>29.8</v>
      </c>
      <c r="M222">
        <v>10.5</v>
      </c>
      <c r="N222">
        <v>3.94174864131338E-2</v>
      </c>
      <c r="O222">
        <v>0.14850060001047299</v>
      </c>
    </row>
    <row r="223" spans="1:15" x14ac:dyDescent="0.3">
      <c r="A223">
        <v>1001</v>
      </c>
      <c r="B223">
        <v>1358</v>
      </c>
      <c r="C223">
        <v>251</v>
      </c>
      <c r="D223" t="s">
        <v>23</v>
      </c>
      <c r="E223" t="s">
        <v>20</v>
      </c>
      <c r="F223" t="s">
        <v>17</v>
      </c>
      <c r="G223" t="s">
        <v>24</v>
      </c>
      <c r="H223">
        <v>277.2</v>
      </c>
      <c r="I223">
        <v>261</v>
      </c>
      <c r="J223">
        <v>99.3</v>
      </c>
      <c r="K223">
        <v>69.5</v>
      </c>
      <c r="L223">
        <v>23.6</v>
      </c>
      <c r="M223">
        <v>13</v>
      </c>
      <c r="N223">
        <v>0.19388241161425901</v>
      </c>
      <c r="O223">
        <v>0.48726759976984102</v>
      </c>
    </row>
    <row r="224" spans="1:15" x14ac:dyDescent="0.3">
      <c r="A224">
        <v>1007</v>
      </c>
      <c r="B224">
        <v>1360</v>
      </c>
      <c r="C224">
        <v>388</v>
      </c>
      <c r="D224" t="s">
        <v>19</v>
      </c>
      <c r="E224" t="s">
        <v>16</v>
      </c>
      <c r="F224" t="s">
        <v>21</v>
      </c>
      <c r="G224" t="s">
        <v>26</v>
      </c>
      <c r="H224">
        <v>277.10000000000002</v>
      </c>
      <c r="I224">
        <v>244.5</v>
      </c>
      <c r="J224">
        <v>91.9</v>
      </c>
      <c r="K224">
        <v>62.5</v>
      </c>
      <c r="L224">
        <v>25.9</v>
      </c>
      <c r="M224">
        <v>7</v>
      </c>
      <c r="N224">
        <v>9.38330110555924E-2</v>
      </c>
      <c r="O224">
        <v>9.1477296682263204E-2</v>
      </c>
    </row>
    <row r="225" spans="1:15" x14ac:dyDescent="0.3">
      <c r="A225">
        <v>1018</v>
      </c>
      <c r="B225">
        <v>1368</v>
      </c>
      <c r="C225">
        <v>125</v>
      </c>
      <c r="D225" t="s">
        <v>23</v>
      </c>
      <c r="E225" t="s">
        <v>20</v>
      </c>
      <c r="F225" t="s">
        <v>17</v>
      </c>
      <c r="G225" t="s">
        <v>24</v>
      </c>
      <c r="H225">
        <v>274.39999999999998</v>
      </c>
      <c r="I225">
        <v>240</v>
      </c>
      <c r="J225">
        <v>94.3</v>
      </c>
      <c r="K225">
        <v>68</v>
      </c>
      <c r="L225">
        <v>23.6</v>
      </c>
      <c r="M225">
        <v>11.5</v>
      </c>
      <c r="N225">
        <v>0.21742516481448601</v>
      </c>
      <c r="O225">
        <v>0.4110087248589</v>
      </c>
    </row>
    <row r="226" spans="1:15" x14ac:dyDescent="0.3">
      <c r="A226">
        <v>1019</v>
      </c>
      <c r="B226">
        <v>1369</v>
      </c>
      <c r="C226">
        <v>388</v>
      </c>
      <c r="D226" t="s">
        <v>19</v>
      </c>
      <c r="E226" t="s">
        <v>16</v>
      </c>
      <c r="F226" t="s">
        <v>21</v>
      </c>
      <c r="G226" t="s">
        <v>22</v>
      </c>
      <c r="H226">
        <v>277.10000000000002</v>
      </c>
      <c r="I226">
        <v>244.5</v>
      </c>
      <c r="J226">
        <v>91.9</v>
      </c>
      <c r="K226">
        <v>62.5</v>
      </c>
      <c r="L226">
        <v>25.9</v>
      </c>
      <c r="M226">
        <v>7</v>
      </c>
      <c r="N226">
        <v>0.120360178984556</v>
      </c>
      <c r="O226">
        <v>8.71888731806678E-2</v>
      </c>
    </row>
    <row r="227" spans="1:15" x14ac:dyDescent="0.3">
      <c r="A227">
        <v>1020</v>
      </c>
      <c r="B227">
        <v>1369</v>
      </c>
      <c r="C227">
        <v>388</v>
      </c>
      <c r="D227" t="s">
        <v>19</v>
      </c>
      <c r="E227" t="s">
        <v>16</v>
      </c>
      <c r="F227" t="s">
        <v>21</v>
      </c>
      <c r="G227" t="s">
        <v>22</v>
      </c>
      <c r="H227">
        <v>277.10000000000002</v>
      </c>
      <c r="I227">
        <v>244.5</v>
      </c>
      <c r="J227">
        <v>91.9</v>
      </c>
      <c r="K227">
        <v>62.5</v>
      </c>
      <c r="L227">
        <v>25.9</v>
      </c>
      <c r="M227">
        <v>7</v>
      </c>
      <c r="N227">
        <v>0.106807057183343</v>
      </c>
      <c r="O227">
        <v>9.5008699440646702E-2</v>
      </c>
    </row>
    <row r="228" spans="1:15" x14ac:dyDescent="0.3">
      <c r="A228">
        <v>1021</v>
      </c>
      <c r="B228">
        <v>1369</v>
      </c>
      <c r="C228">
        <v>388</v>
      </c>
      <c r="D228" t="s">
        <v>19</v>
      </c>
      <c r="E228" t="s">
        <v>16</v>
      </c>
      <c r="F228" t="s">
        <v>21</v>
      </c>
      <c r="G228" t="s">
        <v>22</v>
      </c>
      <c r="H228">
        <v>277.10000000000002</v>
      </c>
      <c r="I228">
        <v>244.5</v>
      </c>
      <c r="J228">
        <v>91.9</v>
      </c>
      <c r="K228">
        <v>62.5</v>
      </c>
      <c r="L228">
        <v>25.9</v>
      </c>
      <c r="M228">
        <v>7</v>
      </c>
      <c r="N228">
        <v>0.10857040303323499</v>
      </c>
      <c r="O228">
        <v>7.8808268963325795E-2</v>
      </c>
    </row>
    <row r="229" spans="1:15" x14ac:dyDescent="0.3">
      <c r="A229">
        <v>1022</v>
      </c>
      <c r="B229">
        <v>137</v>
      </c>
      <c r="C229">
        <v>32</v>
      </c>
      <c r="D229" t="s">
        <v>19</v>
      </c>
      <c r="E229" t="s">
        <v>20</v>
      </c>
      <c r="F229" t="s">
        <v>17</v>
      </c>
      <c r="G229" t="s">
        <v>22</v>
      </c>
      <c r="H229">
        <v>274.8</v>
      </c>
      <c r="I229">
        <v>261</v>
      </c>
      <c r="J229">
        <v>101</v>
      </c>
      <c r="K229">
        <v>66</v>
      </c>
      <c r="L229">
        <v>24.4</v>
      </c>
      <c r="M229">
        <v>8.5</v>
      </c>
      <c r="N229">
        <v>0.11983222485967999</v>
      </c>
      <c r="O229">
        <v>0.15310678314369799</v>
      </c>
    </row>
    <row r="230" spans="1:15" x14ac:dyDescent="0.3">
      <c r="A230">
        <v>1023</v>
      </c>
      <c r="B230">
        <v>137</v>
      </c>
      <c r="C230">
        <v>32</v>
      </c>
      <c r="D230" t="s">
        <v>19</v>
      </c>
      <c r="E230" t="s">
        <v>20</v>
      </c>
      <c r="F230" t="s">
        <v>17</v>
      </c>
      <c r="G230" t="s">
        <v>22</v>
      </c>
      <c r="H230">
        <v>274.8</v>
      </c>
      <c r="I230">
        <v>261</v>
      </c>
      <c r="J230">
        <v>101</v>
      </c>
      <c r="K230">
        <v>66</v>
      </c>
      <c r="L230">
        <v>24.4</v>
      </c>
      <c r="M230">
        <v>8.5</v>
      </c>
      <c r="N230">
        <v>0.13602072529099599</v>
      </c>
      <c r="O230">
        <v>0.13231380428291201</v>
      </c>
    </row>
    <row r="231" spans="1:15" x14ac:dyDescent="0.3">
      <c r="A231">
        <v>1024</v>
      </c>
      <c r="B231">
        <v>137</v>
      </c>
      <c r="C231">
        <v>32</v>
      </c>
      <c r="D231" t="s">
        <v>19</v>
      </c>
      <c r="E231" t="s">
        <v>20</v>
      </c>
      <c r="F231" t="s">
        <v>17</v>
      </c>
      <c r="G231" t="s">
        <v>22</v>
      </c>
      <c r="H231">
        <v>274.8</v>
      </c>
      <c r="I231">
        <v>261</v>
      </c>
      <c r="J231">
        <v>101</v>
      </c>
      <c r="K231">
        <v>66</v>
      </c>
      <c r="L231">
        <v>24.4</v>
      </c>
      <c r="M231">
        <v>8.5</v>
      </c>
      <c r="N231">
        <v>9.9677825947140794E-2</v>
      </c>
      <c r="O231">
        <v>0.12671004088347099</v>
      </c>
    </row>
    <row r="232" spans="1:15" x14ac:dyDescent="0.3">
      <c r="A232">
        <v>1025</v>
      </c>
      <c r="B232">
        <v>137</v>
      </c>
      <c r="C232">
        <v>32</v>
      </c>
      <c r="D232" t="s">
        <v>19</v>
      </c>
      <c r="E232" t="s">
        <v>20</v>
      </c>
      <c r="F232" t="s">
        <v>17</v>
      </c>
      <c r="G232" t="s">
        <v>22</v>
      </c>
      <c r="H232">
        <v>274.8</v>
      </c>
      <c r="I232">
        <v>261</v>
      </c>
      <c r="J232">
        <v>101</v>
      </c>
      <c r="K232">
        <v>66</v>
      </c>
      <c r="L232">
        <v>24.4</v>
      </c>
      <c r="M232">
        <v>8.5</v>
      </c>
      <c r="N232">
        <v>0.108006103235778</v>
      </c>
      <c r="O232">
        <v>0.152729537416395</v>
      </c>
    </row>
    <row r="233" spans="1:15" x14ac:dyDescent="0.3">
      <c r="A233">
        <v>1031</v>
      </c>
      <c r="B233">
        <v>1373</v>
      </c>
      <c r="C233">
        <v>125</v>
      </c>
      <c r="D233" t="s">
        <v>23</v>
      </c>
      <c r="E233" t="s">
        <v>20</v>
      </c>
      <c r="F233" t="s">
        <v>17</v>
      </c>
      <c r="G233" t="s">
        <v>26</v>
      </c>
      <c r="H233">
        <v>274.39999999999998</v>
      </c>
      <c r="I233">
        <v>240</v>
      </c>
      <c r="J233">
        <v>94.3</v>
      </c>
      <c r="K233">
        <v>68</v>
      </c>
      <c r="L233">
        <v>23.6</v>
      </c>
      <c r="M233">
        <v>11.5</v>
      </c>
      <c r="N233">
        <v>0.19906321731036</v>
      </c>
      <c r="O233">
        <v>0.42172735111475501</v>
      </c>
    </row>
    <row r="234" spans="1:15" x14ac:dyDescent="0.3">
      <c r="A234">
        <v>1032</v>
      </c>
      <c r="B234">
        <v>1373</v>
      </c>
      <c r="C234">
        <v>125</v>
      </c>
      <c r="D234" t="s">
        <v>23</v>
      </c>
      <c r="E234" t="s">
        <v>20</v>
      </c>
      <c r="F234" t="s">
        <v>17</v>
      </c>
      <c r="G234" t="s">
        <v>26</v>
      </c>
      <c r="H234">
        <v>274.39999999999998</v>
      </c>
      <c r="I234">
        <v>240</v>
      </c>
      <c r="J234">
        <v>94.3</v>
      </c>
      <c r="K234">
        <v>68</v>
      </c>
      <c r="L234">
        <v>23.6</v>
      </c>
      <c r="M234">
        <v>11.5</v>
      </c>
      <c r="N234">
        <v>0.20672232571222099</v>
      </c>
      <c r="O234">
        <v>0.40644220556805599</v>
      </c>
    </row>
    <row r="235" spans="1:15" x14ac:dyDescent="0.3">
      <c r="A235">
        <v>1039</v>
      </c>
      <c r="B235">
        <v>1376</v>
      </c>
      <c r="C235">
        <v>27</v>
      </c>
      <c r="D235" t="s">
        <v>19</v>
      </c>
      <c r="E235" t="s">
        <v>20</v>
      </c>
      <c r="F235" t="s">
        <v>21</v>
      </c>
      <c r="G235" t="s">
        <v>25</v>
      </c>
      <c r="H235">
        <v>276.60000000000002</v>
      </c>
      <c r="I235">
        <v>251.5</v>
      </c>
      <c r="J235">
        <v>95.3</v>
      </c>
      <c r="K235">
        <v>67.5</v>
      </c>
      <c r="L235">
        <v>29.7</v>
      </c>
      <c r="M235">
        <v>2</v>
      </c>
      <c r="N235">
        <v>0.147220955540773</v>
      </c>
      <c r="O235">
        <v>0.126883727869532</v>
      </c>
    </row>
    <row r="236" spans="1:15" x14ac:dyDescent="0.3">
      <c r="A236">
        <v>1040</v>
      </c>
      <c r="B236">
        <v>1376</v>
      </c>
      <c r="C236">
        <v>27</v>
      </c>
      <c r="D236" t="s">
        <v>19</v>
      </c>
      <c r="E236" t="s">
        <v>20</v>
      </c>
      <c r="F236" t="s">
        <v>21</v>
      </c>
      <c r="G236" t="s">
        <v>25</v>
      </c>
      <c r="H236">
        <v>276.60000000000002</v>
      </c>
      <c r="I236">
        <v>251.5</v>
      </c>
      <c r="J236">
        <v>95.3</v>
      </c>
      <c r="K236">
        <v>67.5</v>
      </c>
      <c r="L236">
        <v>29.7</v>
      </c>
      <c r="M236">
        <v>2</v>
      </c>
      <c r="N236">
        <v>0.137325343454756</v>
      </c>
      <c r="O236">
        <v>0.14668087612441</v>
      </c>
    </row>
    <row r="237" spans="1:15" x14ac:dyDescent="0.3">
      <c r="A237">
        <v>1049</v>
      </c>
      <c r="B237">
        <v>1379</v>
      </c>
      <c r="C237">
        <v>28</v>
      </c>
      <c r="D237" t="s">
        <v>19</v>
      </c>
      <c r="E237" t="s">
        <v>20</v>
      </c>
      <c r="F237" t="s">
        <v>21</v>
      </c>
      <c r="G237" t="s">
        <v>25</v>
      </c>
      <c r="H237">
        <v>274.39999999999998</v>
      </c>
      <c r="I237">
        <v>243.5</v>
      </c>
      <c r="J237">
        <v>94.3</v>
      </c>
      <c r="K237">
        <v>65.5</v>
      </c>
      <c r="L237">
        <v>28</v>
      </c>
      <c r="M237">
        <v>5.5</v>
      </c>
      <c r="N237">
        <v>0.301093537123369</v>
      </c>
      <c r="O237">
        <v>9.2667546001325499E-2</v>
      </c>
    </row>
    <row r="238" spans="1:15" x14ac:dyDescent="0.3">
      <c r="A238">
        <v>1061</v>
      </c>
      <c r="B238">
        <v>1383</v>
      </c>
      <c r="C238">
        <v>325</v>
      </c>
      <c r="D238" t="s">
        <v>19</v>
      </c>
      <c r="E238" t="s">
        <v>16</v>
      </c>
      <c r="F238" t="s">
        <v>17</v>
      </c>
      <c r="G238" t="s">
        <v>18</v>
      </c>
      <c r="H238">
        <v>274</v>
      </c>
      <c r="I238">
        <v>243.5</v>
      </c>
      <c r="J238">
        <v>94.8</v>
      </c>
      <c r="K238">
        <v>65.5</v>
      </c>
      <c r="L238">
        <v>26.1</v>
      </c>
      <c r="M238">
        <v>13</v>
      </c>
      <c r="N238">
        <v>0.211219693421549</v>
      </c>
      <c r="O238">
        <v>6.7730667970222105E-2</v>
      </c>
    </row>
    <row r="239" spans="1:15" x14ac:dyDescent="0.3">
      <c r="A239">
        <v>1062</v>
      </c>
      <c r="B239">
        <v>1383</v>
      </c>
      <c r="C239">
        <v>325</v>
      </c>
      <c r="D239" t="s">
        <v>19</v>
      </c>
      <c r="E239" t="s">
        <v>16</v>
      </c>
      <c r="F239" t="s">
        <v>17</v>
      </c>
      <c r="G239" t="s">
        <v>18</v>
      </c>
      <c r="H239">
        <v>274</v>
      </c>
      <c r="I239">
        <v>243.5</v>
      </c>
      <c r="J239">
        <v>94.8</v>
      </c>
      <c r="K239">
        <v>65.5</v>
      </c>
      <c r="L239">
        <v>26.1</v>
      </c>
      <c r="M239">
        <v>13</v>
      </c>
      <c r="N239">
        <v>0.216248743059865</v>
      </c>
      <c r="O239">
        <v>6.7306833816870304E-2</v>
      </c>
    </row>
    <row r="240" spans="1:15" x14ac:dyDescent="0.3">
      <c r="A240">
        <v>1063</v>
      </c>
      <c r="B240">
        <v>1383</v>
      </c>
      <c r="C240">
        <v>325</v>
      </c>
      <c r="D240" t="s">
        <v>19</v>
      </c>
      <c r="E240" t="s">
        <v>16</v>
      </c>
      <c r="F240" t="s">
        <v>17</v>
      </c>
      <c r="G240" t="s">
        <v>18</v>
      </c>
      <c r="H240">
        <v>274</v>
      </c>
      <c r="I240">
        <v>243.5</v>
      </c>
      <c r="J240">
        <v>94.8</v>
      </c>
      <c r="K240">
        <v>65.5</v>
      </c>
      <c r="L240">
        <v>26.1</v>
      </c>
      <c r="M240">
        <v>13</v>
      </c>
      <c r="N240">
        <v>0.23350679273042399</v>
      </c>
      <c r="O240">
        <v>0.104115657564332</v>
      </c>
    </row>
    <row r="241" spans="1:15" x14ac:dyDescent="0.3">
      <c r="A241">
        <v>1079</v>
      </c>
      <c r="B241">
        <v>139</v>
      </c>
      <c r="C241">
        <v>405</v>
      </c>
      <c r="D241" t="s">
        <v>19</v>
      </c>
      <c r="E241" t="s">
        <v>16</v>
      </c>
      <c r="F241" t="s">
        <v>17</v>
      </c>
      <c r="G241" t="s">
        <v>26</v>
      </c>
      <c r="H241">
        <v>277.60000000000002</v>
      </c>
      <c r="I241">
        <v>250</v>
      </c>
      <c r="J241">
        <v>93.4</v>
      </c>
      <c r="K241">
        <v>67.5</v>
      </c>
      <c r="L241">
        <v>29.4</v>
      </c>
      <c r="M241">
        <v>6</v>
      </c>
      <c r="N241">
        <v>0.28715464022916898</v>
      </c>
      <c r="O241">
        <v>8.9820162751386295E-2</v>
      </c>
    </row>
    <row r="242" spans="1:15" x14ac:dyDescent="0.3">
      <c r="A242">
        <v>1091</v>
      </c>
      <c r="B242">
        <v>1394</v>
      </c>
      <c r="C242">
        <v>28</v>
      </c>
      <c r="D242" t="s">
        <v>19</v>
      </c>
      <c r="E242" t="s">
        <v>20</v>
      </c>
      <c r="F242" t="s">
        <v>21</v>
      </c>
      <c r="G242" t="s">
        <v>25</v>
      </c>
      <c r="H242">
        <v>274.39999999999998</v>
      </c>
      <c r="I242">
        <v>243.5</v>
      </c>
      <c r="J242">
        <v>94.3</v>
      </c>
      <c r="K242">
        <v>65.5</v>
      </c>
      <c r="L242">
        <v>28</v>
      </c>
      <c r="M242">
        <v>5.5</v>
      </c>
      <c r="N242">
        <v>0.30172962325902802</v>
      </c>
      <c r="O242">
        <v>8.3812634784999396E-2</v>
      </c>
    </row>
    <row r="243" spans="1:15" x14ac:dyDescent="0.3">
      <c r="A243">
        <v>1110</v>
      </c>
      <c r="B243">
        <v>140</v>
      </c>
      <c r="C243">
        <v>385</v>
      </c>
      <c r="D243" t="s">
        <v>23</v>
      </c>
      <c r="E243" t="s">
        <v>20</v>
      </c>
      <c r="F243" t="s">
        <v>21</v>
      </c>
      <c r="G243" t="s">
        <v>18</v>
      </c>
      <c r="H243">
        <v>270</v>
      </c>
      <c r="I243">
        <v>256</v>
      </c>
      <c r="J243">
        <v>97.2</v>
      </c>
      <c r="K243">
        <v>65.5</v>
      </c>
      <c r="L243">
        <v>26</v>
      </c>
      <c r="M243">
        <v>8</v>
      </c>
      <c r="N243">
        <v>0.19750490266677001</v>
      </c>
      <c r="O243">
        <v>0.382854277399024</v>
      </c>
    </row>
    <row r="244" spans="1:15" x14ac:dyDescent="0.3">
      <c r="A244">
        <v>1111</v>
      </c>
      <c r="B244">
        <v>140</v>
      </c>
      <c r="C244">
        <v>385</v>
      </c>
      <c r="D244" t="s">
        <v>23</v>
      </c>
      <c r="E244" t="s">
        <v>20</v>
      </c>
      <c r="F244" t="s">
        <v>21</v>
      </c>
      <c r="G244" t="s">
        <v>18</v>
      </c>
      <c r="H244">
        <v>270</v>
      </c>
      <c r="I244">
        <v>256</v>
      </c>
      <c r="J244">
        <v>97.2</v>
      </c>
      <c r="K244">
        <v>65.5</v>
      </c>
      <c r="L244">
        <v>26</v>
      </c>
      <c r="M244">
        <v>8</v>
      </c>
      <c r="N244">
        <v>0.18129026658255501</v>
      </c>
      <c r="O244">
        <v>0.37080427807652699</v>
      </c>
    </row>
    <row r="245" spans="1:15" x14ac:dyDescent="0.3">
      <c r="A245">
        <v>1112</v>
      </c>
      <c r="B245">
        <v>140</v>
      </c>
      <c r="C245">
        <v>385</v>
      </c>
      <c r="D245" t="s">
        <v>23</v>
      </c>
      <c r="E245" t="s">
        <v>20</v>
      </c>
      <c r="F245" t="s">
        <v>21</v>
      </c>
      <c r="G245" t="s">
        <v>18</v>
      </c>
      <c r="H245">
        <v>270</v>
      </c>
      <c r="I245">
        <v>256</v>
      </c>
      <c r="J245">
        <v>97.2</v>
      </c>
      <c r="K245">
        <v>65.5</v>
      </c>
      <c r="L245">
        <v>26</v>
      </c>
      <c r="M245">
        <v>8</v>
      </c>
      <c r="N245">
        <v>0.190257602475146</v>
      </c>
      <c r="O245">
        <v>0.397446328210806</v>
      </c>
    </row>
    <row r="246" spans="1:15" x14ac:dyDescent="0.3">
      <c r="A246">
        <v>1113</v>
      </c>
      <c r="B246">
        <v>140</v>
      </c>
      <c r="C246">
        <v>385</v>
      </c>
      <c r="D246" t="s">
        <v>23</v>
      </c>
      <c r="E246" t="s">
        <v>20</v>
      </c>
      <c r="F246" t="s">
        <v>21</v>
      </c>
      <c r="G246" t="s">
        <v>18</v>
      </c>
      <c r="H246">
        <v>270</v>
      </c>
      <c r="I246">
        <v>256</v>
      </c>
      <c r="J246">
        <v>97.2</v>
      </c>
      <c r="K246">
        <v>65.5</v>
      </c>
      <c r="L246">
        <v>26</v>
      </c>
      <c r="M246">
        <v>8</v>
      </c>
      <c r="N246">
        <v>0.17996716969700399</v>
      </c>
      <c r="O246">
        <v>0.376750702349408</v>
      </c>
    </row>
    <row r="247" spans="1:15" x14ac:dyDescent="0.3">
      <c r="A247">
        <v>1114</v>
      </c>
      <c r="B247">
        <v>1400</v>
      </c>
      <c r="C247">
        <v>480</v>
      </c>
      <c r="D247" t="s">
        <v>19</v>
      </c>
      <c r="E247" t="s">
        <v>20</v>
      </c>
      <c r="F247" t="s">
        <v>17</v>
      </c>
      <c r="G247" t="s">
        <v>22</v>
      </c>
      <c r="H247">
        <v>275.8</v>
      </c>
      <c r="I247">
        <v>244</v>
      </c>
      <c r="J247">
        <v>94.4</v>
      </c>
      <c r="K247">
        <v>67.5</v>
      </c>
      <c r="L247">
        <v>24.4</v>
      </c>
      <c r="M247">
        <v>6</v>
      </c>
      <c r="N247">
        <v>0.14680669816973799</v>
      </c>
      <c r="O247">
        <v>0.20963079265764301</v>
      </c>
    </row>
    <row r="248" spans="1:15" x14ac:dyDescent="0.3">
      <c r="A248">
        <v>1117</v>
      </c>
      <c r="B248">
        <v>1402</v>
      </c>
      <c r="C248">
        <v>122</v>
      </c>
      <c r="D248" t="s">
        <v>23</v>
      </c>
      <c r="E248" t="s">
        <v>20</v>
      </c>
      <c r="F248" t="s">
        <v>17</v>
      </c>
      <c r="G248" t="s">
        <v>22</v>
      </c>
      <c r="H248">
        <v>276.60000000000002</v>
      </c>
      <c r="I248">
        <v>246.5</v>
      </c>
      <c r="J248">
        <v>96.7</v>
      </c>
      <c r="K248">
        <v>65.5</v>
      </c>
      <c r="L248">
        <v>30.9</v>
      </c>
      <c r="M248">
        <v>8.5</v>
      </c>
      <c r="N248">
        <v>7.5492902616501004E-2</v>
      </c>
      <c r="O248">
        <v>0.297514227485351</v>
      </c>
    </row>
    <row r="249" spans="1:15" x14ac:dyDescent="0.3">
      <c r="A249">
        <v>1118</v>
      </c>
      <c r="B249">
        <v>1402</v>
      </c>
      <c r="C249">
        <v>122</v>
      </c>
      <c r="D249" t="s">
        <v>23</v>
      </c>
      <c r="E249" t="s">
        <v>20</v>
      </c>
      <c r="F249" t="s">
        <v>17</v>
      </c>
      <c r="G249" t="s">
        <v>22</v>
      </c>
      <c r="H249">
        <v>276.60000000000002</v>
      </c>
      <c r="I249">
        <v>246.5</v>
      </c>
      <c r="J249">
        <v>96.7</v>
      </c>
      <c r="K249">
        <v>65.5</v>
      </c>
      <c r="L249">
        <v>30.9</v>
      </c>
      <c r="M249">
        <v>8.5</v>
      </c>
      <c r="N249">
        <v>6.6203422577312696E-2</v>
      </c>
      <c r="O249">
        <v>0.315402071337963</v>
      </c>
    </row>
    <row r="250" spans="1:15" x14ac:dyDescent="0.3">
      <c r="A250">
        <v>1119</v>
      </c>
      <c r="B250">
        <v>1402</v>
      </c>
      <c r="C250">
        <v>122</v>
      </c>
      <c r="D250" t="s">
        <v>23</v>
      </c>
      <c r="E250" t="s">
        <v>20</v>
      </c>
      <c r="F250" t="s">
        <v>17</v>
      </c>
      <c r="G250" t="s">
        <v>22</v>
      </c>
      <c r="H250">
        <v>276.60000000000002</v>
      </c>
      <c r="I250">
        <v>246.5</v>
      </c>
      <c r="J250">
        <v>96.7</v>
      </c>
      <c r="K250">
        <v>65.5</v>
      </c>
      <c r="L250">
        <v>30.9</v>
      </c>
      <c r="M250">
        <v>8.5</v>
      </c>
      <c r="N250">
        <v>5.8633344519824999E-2</v>
      </c>
      <c r="O250">
        <v>0.31516779606017697</v>
      </c>
    </row>
    <row r="251" spans="1:15" x14ac:dyDescent="0.3">
      <c r="A251">
        <v>1120</v>
      </c>
      <c r="B251">
        <v>1402</v>
      </c>
      <c r="C251">
        <v>122</v>
      </c>
      <c r="D251" t="s">
        <v>23</v>
      </c>
      <c r="E251" t="s">
        <v>20</v>
      </c>
      <c r="F251" t="s">
        <v>17</v>
      </c>
      <c r="G251" t="s">
        <v>22</v>
      </c>
      <c r="H251">
        <v>276.60000000000002</v>
      </c>
      <c r="I251">
        <v>246.5</v>
      </c>
      <c r="J251">
        <v>96.7</v>
      </c>
      <c r="K251">
        <v>65.5</v>
      </c>
      <c r="L251">
        <v>30.9</v>
      </c>
      <c r="M251">
        <v>8.5</v>
      </c>
      <c r="N251">
        <v>4.84255859667478E-2</v>
      </c>
      <c r="O251">
        <v>0.30763244613920998</v>
      </c>
    </row>
    <row r="252" spans="1:15" x14ac:dyDescent="0.3">
      <c r="A252">
        <v>1127</v>
      </c>
      <c r="B252">
        <v>1405</v>
      </c>
      <c r="C252">
        <v>340</v>
      </c>
      <c r="D252" t="s">
        <v>23</v>
      </c>
      <c r="E252" t="s">
        <v>20</v>
      </c>
      <c r="F252" t="s">
        <v>17</v>
      </c>
      <c r="G252" t="s">
        <v>25</v>
      </c>
      <c r="H252">
        <v>274.60000000000002</v>
      </c>
      <c r="I252">
        <v>261.5</v>
      </c>
      <c r="J252">
        <v>96.7</v>
      </c>
      <c r="K252">
        <v>62</v>
      </c>
      <c r="L252">
        <v>28.9</v>
      </c>
      <c r="M252">
        <v>10.5</v>
      </c>
      <c r="N252">
        <v>3.0981286114242799E-2</v>
      </c>
      <c r="O252">
        <v>0.36903143570625002</v>
      </c>
    </row>
    <row r="253" spans="1:15" x14ac:dyDescent="0.3">
      <c r="A253">
        <v>1128</v>
      </c>
      <c r="B253">
        <v>1406</v>
      </c>
      <c r="C253">
        <v>400</v>
      </c>
      <c r="D253" t="s">
        <v>19</v>
      </c>
      <c r="E253" t="s">
        <v>20</v>
      </c>
      <c r="F253" t="s">
        <v>17</v>
      </c>
      <c r="G253" t="s">
        <v>24</v>
      </c>
      <c r="H253">
        <v>274.10000000000002</v>
      </c>
      <c r="I253">
        <v>253</v>
      </c>
      <c r="J253">
        <v>96.6</v>
      </c>
      <c r="K253">
        <v>66.5</v>
      </c>
      <c r="L253">
        <v>25.5</v>
      </c>
      <c r="M253">
        <v>12</v>
      </c>
      <c r="N253">
        <v>3.8996822508151202E-2</v>
      </c>
      <c r="O253">
        <v>8.3771421022574705E-2</v>
      </c>
    </row>
    <row r="254" spans="1:15" x14ac:dyDescent="0.3">
      <c r="A254">
        <v>1129</v>
      </c>
      <c r="B254">
        <v>1407</v>
      </c>
      <c r="C254">
        <v>279</v>
      </c>
      <c r="D254" t="s">
        <v>23</v>
      </c>
      <c r="E254" t="s">
        <v>16</v>
      </c>
      <c r="F254" t="s">
        <v>21</v>
      </c>
      <c r="G254" t="s">
        <v>18</v>
      </c>
      <c r="H254">
        <v>273.8</v>
      </c>
      <c r="I254">
        <v>248.5</v>
      </c>
      <c r="J254">
        <v>97.9</v>
      </c>
      <c r="K254">
        <v>65.5</v>
      </c>
      <c r="L254">
        <v>24.9</v>
      </c>
      <c r="M254">
        <v>4</v>
      </c>
      <c r="N254">
        <v>0.25531863681129402</v>
      </c>
      <c r="O254">
        <v>0.37849558272428202</v>
      </c>
    </row>
    <row r="255" spans="1:15" x14ac:dyDescent="0.3">
      <c r="A255">
        <v>1147</v>
      </c>
      <c r="B255">
        <v>1412</v>
      </c>
      <c r="C255">
        <v>355</v>
      </c>
      <c r="D255" t="s">
        <v>23</v>
      </c>
      <c r="E255" t="s">
        <v>20</v>
      </c>
      <c r="F255" t="s">
        <v>17</v>
      </c>
      <c r="G255" t="s">
        <v>25</v>
      </c>
      <c r="H255">
        <v>277.7</v>
      </c>
      <c r="I255">
        <v>250</v>
      </c>
      <c r="J255">
        <v>99.3</v>
      </c>
      <c r="K255">
        <v>65</v>
      </c>
      <c r="L255">
        <v>25.4</v>
      </c>
      <c r="M255">
        <v>11.5</v>
      </c>
      <c r="N255">
        <v>0.131421879948458</v>
      </c>
      <c r="O255">
        <v>0.31420858957094699</v>
      </c>
    </row>
    <row r="256" spans="1:15" x14ac:dyDescent="0.3">
      <c r="A256">
        <v>1164</v>
      </c>
      <c r="B256">
        <v>1420</v>
      </c>
      <c r="C256">
        <v>62</v>
      </c>
      <c r="D256" t="s">
        <v>19</v>
      </c>
      <c r="E256" t="s">
        <v>20</v>
      </c>
      <c r="F256" t="s">
        <v>17</v>
      </c>
      <c r="G256" t="s">
        <v>25</v>
      </c>
      <c r="H256">
        <v>274.5</v>
      </c>
      <c r="I256">
        <v>256.5</v>
      </c>
      <c r="J256">
        <v>98.4</v>
      </c>
      <c r="K256">
        <v>71.5</v>
      </c>
      <c r="L256">
        <v>29.3</v>
      </c>
      <c r="M256">
        <v>6</v>
      </c>
      <c r="N256">
        <v>0.25199997657162099</v>
      </c>
      <c r="O256">
        <v>0.138431325329155</v>
      </c>
    </row>
    <row r="257" spans="1:15" x14ac:dyDescent="0.3">
      <c r="A257">
        <v>1169</v>
      </c>
      <c r="B257">
        <v>1423</v>
      </c>
      <c r="C257">
        <v>332</v>
      </c>
      <c r="D257" t="s">
        <v>15</v>
      </c>
      <c r="E257" t="s">
        <v>16</v>
      </c>
      <c r="F257" t="s">
        <v>17</v>
      </c>
      <c r="G257" t="s">
        <v>22</v>
      </c>
      <c r="H257">
        <v>276.8</v>
      </c>
      <c r="I257">
        <v>249.5</v>
      </c>
      <c r="J257">
        <v>91.1</v>
      </c>
      <c r="K257">
        <v>65.5</v>
      </c>
      <c r="L257">
        <v>24.7</v>
      </c>
      <c r="M257">
        <v>8.5</v>
      </c>
      <c r="N257">
        <v>0.118446714791652</v>
      </c>
      <c r="O257">
        <v>9.9429295237213805E-2</v>
      </c>
    </row>
    <row r="258" spans="1:15" x14ac:dyDescent="0.3">
      <c r="A258">
        <v>1200</v>
      </c>
      <c r="B258">
        <v>1436</v>
      </c>
      <c r="C258">
        <v>346</v>
      </c>
      <c r="D258" t="s">
        <v>19</v>
      </c>
      <c r="E258" t="s">
        <v>20</v>
      </c>
      <c r="F258" t="s">
        <v>17</v>
      </c>
      <c r="G258" t="s">
        <v>22</v>
      </c>
      <c r="H258">
        <v>271.60000000000002</v>
      </c>
      <c r="I258">
        <v>238</v>
      </c>
      <c r="J258">
        <v>91.3</v>
      </c>
      <c r="K258">
        <v>63</v>
      </c>
      <c r="L258">
        <v>24.7</v>
      </c>
      <c r="M258">
        <v>8</v>
      </c>
      <c r="N258">
        <v>0.156069524394571</v>
      </c>
      <c r="O258">
        <v>5.0451435618557904E-3</v>
      </c>
    </row>
    <row r="259" spans="1:15" x14ac:dyDescent="0.3">
      <c r="A259">
        <v>1206</v>
      </c>
      <c r="B259">
        <v>144</v>
      </c>
      <c r="C259">
        <v>177</v>
      </c>
      <c r="D259" t="s">
        <v>15</v>
      </c>
      <c r="E259" t="s">
        <v>20</v>
      </c>
      <c r="F259" t="s">
        <v>17</v>
      </c>
      <c r="G259" t="s">
        <v>22</v>
      </c>
      <c r="H259">
        <v>277</v>
      </c>
      <c r="I259">
        <v>242.5</v>
      </c>
      <c r="J259">
        <v>94.7</v>
      </c>
      <c r="K259">
        <v>64.5</v>
      </c>
      <c r="L259">
        <v>26.5</v>
      </c>
      <c r="M259">
        <v>12.5</v>
      </c>
      <c r="N259">
        <v>3.0211916100007001E-2</v>
      </c>
      <c r="O259">
        <v>0.16288060704871499</v>
      </c>
    </row>
    <row r="260" spans="1:15" x14ac:dyDescent="0.3">
      <c r="A260">
        <v>1213</v>
      </c>
      <c r="B260">
        <v>1442</v>
      </c>
      <c r="C260">
        <v>298</v>
      </c>
      <c r="D260" t="s">
        <v>19</v>
      </c>
      <c r="E260" t="s">
        <v>20</v>
      </c>
      <c r="F260" t="s">
        <v>21</v>
      </c>
      <c r="G260" t="s">
        <v>22</v>
      </c>
      <c r="H260">
        <v>275.60000000000002</v>
      </c>
      <c r="I260">
        <v>251</v>
      </c>
      <c r="J260">
        <v>95.1</v>
      </c>
      <c r="K260">
        <v>66.5</v>
      </c>
      <c r="L260">
        <v>25.3</v>
      </c>
      <c r="M260">
        <v>10.5</v>
      </c>
      <c r="N260">
        <v>0.30913611710295003</v>
      </c>
      <c r="O260">
        <v>7.2636210070388701E-2</v>
      </c>
    </row>
    <row r="261" spans="1:15" x14ac:dyDescent="0.3">
      <c r="A261">
        <v>1214</v>
      </c>
      <c r="B261">
        <v>1442</v>
      </c>
      <c r="C261">
        <v>298</v>
      </c>
      <c r="D261" t="s">
        <v>19</v>
      </c>
      <c r="E261" t="s">
        <v>20</v>
      </c>
      <c r="F261" t="s">
        <v>21</v>
      </c>
      <c r="G261" t="s">
        <v>22</v>
      </c>
      <c r="H261">
        <v>275.60000000000002</v>
      </c>
      <c r="I261">
        <v>251</v>
      </c>
      <c r="J261">
        <v>95.1</v>
      </c>
      <c r="K261">
        <v>66.5</v>
      </c>
      <c r="L261">
        <v>25.3</v>
      </c>
      <c r="M261">
        <v>10.5</v>
      </c>
      <c r="N261">
        <v>0.294273743136165</v>
      </c>
      <c r="O261">
        <v>4.5289802595953298E-2</v>
      </c>
    </row>
    <row r="262" spans="1:15" x14ac:dyDescent="0.3">
      <c r="A262">
        <v>1216</v>
      </c>
      <c r="B262">
        <v>1443</v>
      </c>
      <c r="C262">
        <v>483</v>
      </c>
      <c r="D262" t="s">
        <v>23</v>
      </c>
      <c r="E262" t="s">
        <v>20</v>
      </c>
      <c r="F262" t="s">
        <v>17</v>
      </c>
      <c r="G262" t="s">
        <v>25</v>
      </c>
      <c r="H262">
        <v>271.89999999999998</v>
      </c>
      <c r="I262">
        <v>246</v>
      </c>
      <c r="J262">
        <v>94.4</v>
      </c>
      <c r="K262">
        <v>60.5</v>
      </c>
      <c r="L262">
        <v>27.6</v>
      </c>
      <c r="M262">
        <v>13.5</v>
      </c>
      <c r="N262">
        <v>0.124823777823865</v>
      </c>
      <c r="O262">
        <v>0.19404521206585601</v>
      </c>
    </row>
    <row r="263" spans="1:15" x14ac:dyDescent="0.3">
      <c r="A263">
        <v>1233</v>
      </c>
      <c r="B263">
        <v>1449</v>
      </c>
      <c r="C263">
        <v>246</v>
      </c>
      <c r="D263" t="s">
        <v>23</v>
      </c>
      <c r="E263" t="s">
        <v>16</v>
      </c>
      <c r="F263" t="s">
        <v>21</v>
      </c>
      <c r="G263" t="s">
        <v>25</v>
      </c>
      <c r="H263">
        <v>278.2</v>
      </c>
      <c r="I263">
        <v>257</v>
      </c>
      <c r="J263">
        <v>97.9</v>
      </c>
      <c r="K263">
        <v>67</v>
      </c>
      <c r="L263">
        <v>24.3</v>
      </c>
      <c r="M263">
        <v>12.5</v>
      </c>
      <c r="N263">
        <v>0.16259752213986101</v>
      </c>
      <c r="O263">
        <v>0.40382768687360099</v>
      </c>
    </row>
    <row r="264" spans="1:15" x14ac:dyDescent="0.3">
      <c r="A264">
        <v>1234</v>
      </c>
      <c r="B264">
        <v>1449</v>
      </c>
      <c r="C264">
        <v>246</v>
      </c>
      <c r="D264" t="s">
        <v>23</v>
      </c>
      <c r="E264" t="s">
        <v>16</v>
      </c>
      <c r="F264" t="s">
        <v>21</v>
      </c>
      <c r="G264" t="s">
        <v>25</v>
      </c>
      <c r="H264">
        <v>278.2</v>
      </c>
      <c r="I264">
        <v>257</v>
      </c>
      <c r="J264">
        <v>97.9</v>
      </c>
      <c r="K264">
        <v>67</v>
      </c>
      <c r="L264">
        <v>24.3</v>
      </c>
      <c r="M264">
        <v>12.5</v>
      </c>
      <c r="N264">
        <v>0.186300971060646</v>
      </c>
      <c r="O264">
        <v>0.40215672883076597</v>
      </c>
    </row>
    <row r="265" spans="1:15" x14ac:dyDescent="0.3">
      <c r="A265">
        <v>1247</v>
      </c>
      <c r="B265">
        <v>1454</v>
      </c>
      <c r="C265">
        <v>360</v>
      </c>
      <c r="D265" t="s">
        <v>19</v>
      </c>
      <c r="E265" t="s">
        <v>20</v>
      </c>
      <c r="F265" t="s">
        <v>21</v>
      </c>
      <c r="G265" t="s">
        <v>25</v>
      </c>
      <c r="H265">
        <v>281.5</v>
      </c>
      <c r="I265">
        <v>261.5</v>
      </c>
      <c r="J265">
        <v>98.4</v>
      </c>
      <c r="K265">
        <v>64.5</v>
      </c>
      <c r="L265">
        <v>27.7</v>
      </c>
      <c r="M265">
        <v>8</v>
      </c>
      <c r="N265">
        <v>0.305687469886468</v>
      </c>
      <c r="O265">
        <v>9.0034218010324907E-2</v>
      </c>
    </row>
    <row r="266" spans="1:15" x14ac:dyDescent="0.3">
      <c r="A266">
        <v>1254</v>
      </c>
      <c r="B266">
        <v>1457</v>
      </c>
      <c r="C266">
        <v>399</v>
      </c>
      <c r="D266" t="s">
        <v>19</v>
      </c>
      <c r="E266" t="s">
        <v>16</v>
      </c>
      <c r="F266" t="s">
        <v>21</v>
      </c>
      <c r="G266" t="s">
        <v>25</v>
      </c>
      <c r="H266">
        <v>273.89999999999998</v>
      </c>
      <c r="I266">
        <v>253</v>
      </c>
      <c r="J266">
        <v>99.6</v>
      </c>
      <c r="K266">
        <v>66</v>
      </c>
      <c r="L266">
        <v>25.8</v>
      </c>
      <c r="M266">
        <v>9.5</v>
      </c>
      <c r="N266">
        <v>0.23894699943033801</v>
      </c>
      <c r="O266">
        <v>7.0646422126540098E-2</v>
      </c>
    </row>
    <row r="267" spans="1:15" x14ac:dyDescent="0.3">
      <c r="A267">
        <v>1255</v>
      </c>
      <c r="B267">
        <v>1457</v>
      </c>
      <c r="C267">
        <v>399</v>
      </c>
      <c r="D267" t="s">
        <v>19</v>
      </c>
      <c r="E267" t="s">
        <v>16</v>
      </c>
      <c r="F267" t="s">
        <v>21</v>
      </c>
      <c r="G267" t="s">
        <v>25</v>
      </c>
      <c r="H267">
        <v>273.89999999999998</v>
      </c>
      <c r="I267">
        <v>253</v>
      </c>
      <c r="J267">
        <v>99.6</v>
      </c>
      <c r="K267">
        <v>66</v>
      </c>
      <c r="L267">
        <v>25.8</v>
      </c>
      <c r="M267">
        <v>9.5</v>
      </c>
      <c r="N267">
        <v>0.24720748457633501</v>
      </c>
      <c r="O267">
        <v>7.4244298466039194E-2</v>
      </c>
    </row>
    <row r="268" spans="1:15" x14ac:dyDescent="0.3">
      <c r="A268">
        <v>1256</v>
      </c>
      <c r="B268">
        <v>1457</v>
      </c>
      <c r="C268">
        <v>399</v>
      </c>
      <c r="D268" t="s">
        <v>19</v>
      </c>
      <c r="E268" t="s">
        <v>16</v>
      </c>
      <c r="F268" t="s">
        <v>21</v>
      </c>
      <c r="G268" t="s">
        <v>25</v>
      </c>
      <c r="H268">
        <v>273.89999999999998</v>
      </c>
      <c r="I268">
        <v>253</v>
      </c>
      <c r="J268">
        <v>99.6</v>
      </c>
      <c r="K268">
        <v>66</v>
      </c>
      <c r="L268">
        <v>25.8</v>
      </c>
      <c r="M268">
        <v>9.5</v>
      </c>
      <c r="N268">
        <v>0.24831655312992701</v>
      </c>
      <c r="O268">
        <v>5.4738162629328999E-2</v>
      </c>
    </row>
    <row r="269" spans="1:15" x14ac:dyDescent="0.3">
      <c r="A269">
        <v>1276</v>
      </c>
      <c r="B269">
        <v>1466</v>
      </c>
      <c r="C269">
        <v>350</v>
      </c>
      <c r="D269" t="s">
        <v>23</v>
      </c>
      <c r="E269" t="s">
        <v>16</v>
      </c>
      <c r="F269" t="s">
        <v>17</v>
      </c>
      <c r="G269" t="s">
        <v>18</v>
      </c>
      <c r="H269">
        <v>271.60000000000002</v>
      </c>
      <c r="I269">
        <v>240.5</v>
      </c>
      <c r="J269">
        <v>93.3</v>
      </c>
      <c r="K269">
        <v>65</v>
      </c>
      <c r="L269">
        <v>23.4</v>
      </c>
      <c r="M269">
        <v>7.5</v>
      </c>
      <c r="N269">
        <v>0.24996255122644201</v>
      </c>
      <c r="O269">
        <v>0.366691878362222</v>
      </c>
    </row>
    <row r="270" spans="1:15" x14ac:dyDescent="0.3">
      <c r="A270">
        <v>1277</v>
      </c>
      <c r="B270">
        <v>1466</v>
      </c>
      <c r="C270">
        <v>350</v>
      </c>
      <c r="D270" t="s">
        <v>23</v>
      </c>
      <c r="E270" t="s">
        <v>16</v>
      </c>
      <c r="F270" t="s">
        <v>17</v>
      </c>
      <c r="G270" t="s">
        <v>18</v>
      </c>
      <c r="H270">
        <v>271.60000000000002</v>
      </c>
      <c r="I270">
        <v>240.5</v>
      </c>
      <c r="J270">
        <v>93.3</v>
      </c>
      <c r="K270">
        <v>65</v>
      </c>
      <c r="L270">
        <v>23.4</v>
      </c>
      <c r="M270">
        <v>7.5</v>
      </c>
      <c r="N270">
        <v>0.26350915783100598</v>
      </c>
      <c r="O270">
        <v>0.38376299760156901</v>
      </c>
    </row>
    <row r="271" spans="1:15" x14ac:dyDescent="0.3">
      <c r="A271">
        <v>1278</v>
      </c>
      <c r="B271">
        <v>1466</v>
      </c>
      <c r="C271">
        <v>350</v>
      </c>
      <c r="D271" t="s">
        <v>23</v>
      </c>
      <c r="E271" t="s">
        <v>16</v>
      </c>
      <c r="F271" t="s">
        <v>17</v>
      </c>
      <c r="G271" t="s">
        <v>18</v>
      </c>
      <c r="H271">
        <v>271.60000000000002</v>
      </c>
      <c r="I271">
        <v>240.5</v>
      </c>
      <c r="J271">
        <v>93.3</v>
      </c>
      <c r="K271">
        <v>65</v>
      </c>
      <c r="L271">
        <v>23.4</v>
      </c>
      <c r="M271">
        <v>7.5</v>
      </c>
      <c r="N271">
        <v>0.26057516335898701</v>
      </c>
      <c r="O271">
        <v>0.38854963483665</v>
      </c>
    </row>
    <row r="272" spans="1:15" x14ac:dyDescent="0.3">
      <c r="A272">
        <v>1279</v>
      </c>
      <c r="B272">
        <v>1466</v>
      </c>
      <c r="C272">
        <v>350</v>
      </c>
      <c r="D272" t="s">
        <v>23</v>
      </c>
      <c r="E272" t="s">
        <v>16</v>
      </c>
      <c r="F272" t="s">
        <v>17</v>
      </c>
      <c r="G272" t="s">
        <v>18</v>
      </c>
      <c r="H272">
        <v>271.60000000000002</v>
      </c>
      <c r="I272">
        <v>240.5</v>
      </c>
      <c r="J272">
        <v>93.3</v>
      </c>
      <c r="K272">
        <v>65</v>
      </c>
      <c r="L272">
        <v>23.4</v>
      </c>
      <c r="M272">
        <v>7.5</v>
      </c>
      <c r="N272">
        <v>0.266985461571837</v>
      </c>
      <c r="O272">
        <v>0.40240175772331799</v>
      </c>
    </row>
    <row r="273" spans="1:15" x14ac:dyDescent="0.3">
      <c r="A273">
        <v>1288</v>
      </c>
      <c r="B273">
        <v>147</v>
      </c>
      <c r="C273">
        <v>388</v>
      </c>
      <c r="D273" t="s">
        <v>19</v>
      </c>
      <c r="E273" t="s">
        <v>16</v>
      </c>
      <c r="F273" t="s">
        <v>21</v>
      </c>
      <c r="G273" t="s">
        <v>25</v>
      </c>
      <c r="H273">
        <v>277.10000000000002</v>
      </c>
      <c r="I273">
        <v>244.5</v>
      </c>
      <c r="J273">
        <v>91.9</v>
      </c>
      <c r="K273">
        <v>62.5</v>
      </c>
      <c r="L273">
        <v>25.9</v>
      </c>
      <c r="M273">
        <v>7</v>
      </c>
      <c r="N273">
        <v>9.5764238319950304E-2</v>
      </c>
      <c r="O273">
        <v>8.4823226822472494E-2</v>
      </c>
    </row>
    <row r="274" spans="1:15" x14ac:dyDescent="0.3">
      <c r="A274">
        <v>1309</v>
      </c>
      <c r="B274">
        <v>1479</v>
      </c>
      <c r="C274">
        <v>247</v>
      </c>
      <c r="D274" t="s">
        <v>15</v>
      </c>
      <c r="E274" t="s">
        <v>20</v>
      </c>
      <c r="F274" t="s">
        <v>17</v>
      </c>
      <c r="G274" t="s">
        <v>22</v>
      </c>
      <c r="H274">
        <v>275.3</v>
      </c>
      <c r="I274">
        <v>259.5</v>
      </c>
      <c r="J274">
        <v>96.7</v>
      </c>
      <c r="K274">
        <v>69.5</v>
      </c>
      <c r="L274">
        <v>26.1</v>
      </c>
      <c r="M274">
        <v>10.5</v>
      </c>
      <c r="N274">
        <v>5.9421359760036402E-2</v>
      </c>
      <c r="O274">
        <v>0.158793254300612</v>
      </c>
    </row>
    <row r="275" spans="1:15" x14ac:dyDescent="0.3">
      <c r="A275">
        <v>1310</v>
      </c>
      <c r="B275">
        <v>1479</v>
      </c>
      <c r="C275">
        <v>247</v>
      </c>
      <c r="D275" t="s">
        <v>15</v>
      </c>
      <c r="E275" t="s">
        <v>20</v>
      </c>
      <c r="F275" t="s">
        <v>17</v>
      </c>
      <c r="G275" t="s">
        <v>22</v>
      </c>
      <c r="H275">
        <v>275.3</v>
      </c>
      <c r="I275">
        <v>259.5</v>
      </c>
      <c r="J275">
        <v>96.7</v>
      </c>
      <c r="K275">
        <v>69.5</v>
      </c>
      <c r="L275">
        <v>26.1</v>
      </c>
      <c r="M275">
        <v>10.5</v>
      </c>
      <c r="N275">
        <v>5.6378467404944399E-2</v>
      </c>
      <c r="O275">
        <v>0.144341819159202</v>
      </c>
    </row>
    <row r="276" spans="1:15" x14ac:dyDescent="0.3">
      <c r="A276">
        <v>1311</v>
      </c>
      <c r="B276">
        <v>1479</v>
      </c>
      <c r="C276">
        <v>247</v>
      </c>
      <c r="D276" t="s">
        <v>15</v>
      </c>
      <c r="E276" t="s">
        <v>20</v>
      </c>
      <c r="F276" t="s">
        <v>17</v>
      </c>
      <c r="G276" t="s">
        <v>22</v>
      </c>
      <c r="H276">
        <v>275.3</v>
      </c>
      <c r="I276">
        <v>259.5</v>
      </c>
      <c r="J276">
        <v>96.7</v>
      </c>
      <c r="K276">
        <v>69.5</v>
      </c>
      <c r="L276">
        <v>26.1</v>
      </c>
      <c r="M276">
        <v>10.5</v>
      </c>
      <c r="N276">
        <v>3.9359471717342498E-2</v>
      </c>
      <c r="O276">
        <v>0.162894785905769</v>
      </c>
    </row>
    <row r="277" spans="1:15" x14ac:dyDescent="0.3">
      <c r="A277">
        <v>1317</v>
      </c>
      <c r="B277">
        <v>1480</v>
      </c>
      <c r="C277">
        <v>68</v>
      </c>
      <c r="D277" t="s">
        <v>19</v>
      </c>
      <c r="E277" t="s">
        <v>20</v>
      </c>
      <c r="F277" t="s">
        <v>17</v>
      </c>
      <c r="G277" t="s">
        <v>18</v>
      </c>
      <c r="H277">
        <v>275.60000000000002</v>
      </c>
      <c r="I277">
        <v>254.5</v>
      </c>
      <c r="J277">
        <v>95.5</v>
      </c>
      <c r="K277">
        <v>65.5</v>
      </c>
      <c r="L277">
        <v>29.1</v>
      </c>
      <c r="M277">
        <v>10</v>
      </c>
      <c r="N277">
        <v>0.183228806784138</v>
      </c>
      <c r="O277">
        <v>0.181530692910636</v>
      </c>
    </row>
    <row r="278" spans="1:15" x14ac:dyDescent="0.3">
      <c r="A278">
        <v>1318</v>
      </c>
      <c r="B278">
        <v>1480</v>
      </c>
      <c r="C278">
        <v>68</v>
      </c>
      <c r="D278" t="s">
        <v>19</v>
      </c>
      <c r="E278" t="s">
        <v>20</v>
      </c>
      <c r="F278" t="s">
        <v>17</v>
      </c>
      <c r="G278" t="s">
        <v>18</v>
      </c>
      <c r="H278">
        <v>275.60000000000002</v>
      </c>
      <c r="I278">
        <v>254.5</v>
      </c>
      <c r="J278">
        <v>95.5</v>
      </c>
      <c r="K278">
        <v>65.5</v>
      </c>
      <c r="L278">
        <v>29.1</v>
      </c>
      <c r="M278">
        <v>10</v>
      </c>
      <c r="N278">
        <v>0.18608016123738799</v>
      </c>
      <c r="O278">
        <v>0.16154582264265699</v>
      </c>
    </row>
    <row r="279" spans="1:15" x14ac:dyDescent="0.3">
      <c r="A279">
        <v>1319</v>
      </c>
      <c r="B279">
        <v>1480</v>
      </c>
      <c r="C279">
        <v>68</v>
      </c>
      <c r="D279" t="s">
        <v>19</v>
      </c>
      <c r="E279" t="s">
        <v>20</v>
      </c>
      <c r="F279" t="s">
        <v>17</v>
      </c>
      <c r="G279" t="s">
        <v>18</v>
      </c>
      <c r="H279">
        <v>275.60000000000002</v>
      </c>
      <c r="I279">
        <v>254.5</v>
      </c>
      <c r="J279">
        <v>95.5</v>
      </c>
      <c r="K279">
        <v>65.5</v>
      </c>
      <c r="L279">
        <v>29.1</v>
      </c>
      <c r="M279">
        <v>10</v>
      </c>
      <c r="N279">
        <v>0.184758495370861</v>
      </c>
      <c r="O279">
        <v>0.17284093589262001</v>
      </c>
    </row>
    <row r="280" spans="1:15" x14ac:dyDescent="0.3">
      <c r="A280">
        <v>1330</v>
      </c>
      <c r="B280">
        <v>1487</v>
      </c>
      <c r="C280">
        <v>335</v>
      </c>
      <c r="D280" t="s">
        <v>19</v>
      </c>
      <c r="E280" t="s">
        <v>20</v>
      </c>
      <c r="F280" t="s">
        <v>21</v>
      </c>
      <c r="G280" t="s">
        <v>22</v>
      </c>
      <c r="H280">
        <v>278.5</v>
      </c>
      <c r="I280">
        <v>240.5</v>
      </c>
      <c r="J280">
        <v>94.4</v>
      </c>
      <c r="K280">
        <v>69</v>
      </c>
      <c r="L280">
        <v>25.8</v>
      </c>
      <c r="M280">
        <v>8.5</v>
      </c>
      <c r="N280">
        <v>4.0101929779585398E-2</v>
      </c>
      <c r="O280">
        <v>4.0950572764874002E-2</v>
      </c>
    </row>
    <row r="281" spans="1:15" x14ac:dyDescent="0.3">
      <c r="A281">
        <v>1331</v>
      </c>
      <c r="B281">
        <v>1487</v>
      </c>
      <c r="C281">
        <v>335</v>
      </c>
      <c r="D281" t="s">
        <v>19</v>
      </c>
      <c r="E281" t="s">
        <v>20</v>
      </c>
      <c r="F281" t="s">
        <v>21</v>
      </c>
      <c r="G281" t="s">
        <v>22</v>
      </c>
      <c r="H281">
        <v>278.5</v>
      </c>
      <c r="I281">
        <v>240.5</v>
      </c>
      <c r="J281">
        <v>94.4</v>
      </c>
      <c r="K281">
        <v>69</v>
      </c>
      <c r="L281">
        <v>25.8</v>
      </c>
      <c r="M281">
        <v>8.5</v>
      </c>
      <c r="N281">
        <v>5.4018680587684803E-2</v>
      </c>
      <c r="O281">
        <v>5.2581499401410298E-2</v>
      </c>
    </row>
    <row r="282" spans="1:15" x14ac:dyDescent="0.3">
      <c r="A282">
        <v>1332</v>
      </c>
      <c r="B282">
        <v>1487</v>
      </c>
      <c r="C282">
        <v>335</v>
      </c>
      <c r="D282" t="s">
        <v>19</v>
      </c>
      <c r="E282" t="s">
        <v>20</v>
      </c>
      <c r="F282" t="s">
        <v>21</v>
      </c>
      <c r="G282" t="s">
        <v>22</v>
      </c>
      <c r="H282">
        <v>278.5</v>
      </c>
      <c r="I282">
        <v>240.5</v>
      </c>
      <c r="J282">
        <v>94.4</v>
      </c>
      <c r="K282">
        <v>69</v>
      </c>
      <c r="L282">
        <v>25.8</v>
      </c>
      <c r="M282">
        <v>8.5</v>
      </c>
      <c r="N282">
        <v>5.32037941209225E-2</v>
      </c>
      <c r="O282">
        <v>2.4528311577876299E-2</v>
      </c>
    </row>
    <row r="283" spans="1:15" x14ac:dyDescent="0.3">
      <c r="A283">
        <v>1333</v>
      </c>
      <c r="B283">
        <v>1487</v>
      </c>
      <c r="C283">
        <v>335</v>
      </c>
      <c r="D283" t="s">
        <v>19</v>
      </c>
      <c r="E283" t="s">
        <v>20</v>
      </c>
      <c r="F283" t="s">
        <v>21</v>
      </c>
      <c r="G283" t="s">
        <v>22</v>
      </c>
      <c r="H283">
        <v>278.5</v>
      </c>
      <c r="I283">
        <v>240.5</v>
      </c>
      <c r="J283">
        <v>94.4</v>
      </c>
      <c r="K283">
        <v>69</v>
      </c>
      <c r="L283">
        <v>25.8</v>
      </c>
      <c r="M283">
        <v>8.5</v>
      </c>
      <c r="N283">
        <v>4.79161834271737E-2</v>
      </c>
      <c r="O283">
        <v>5.1303187322590899E-2</v>
      </c>
    </row>
    <row r="284" spans="1:15" x14ac:dyDescent="0.3">
      <c r="A284">
        <v>1334</v>
      </c>
      <c r="B284">
        <v>1488</v>
      </c>
      <c r="C284">
        <v>388</v>
      </c>
      <c r="D284" t="s">
        <v>19</v>
      </c>
      <c r="E284" t="s">
        <v>16</v>
      </c>
      <c r="F284" t="s">
        <v>17</v>
      </c>
      <c r="G284" t="s">
        <v>26</v>
      </c>
      <c r="H284">
        <v>277.10000000000002</v>
      </c>
      <c r="I284">
        <v>244.5</v>
      </c>
      <c r="J284">
        <v>91.9</v>
      </c>
      <c r="K284">
        <v>62.5</v>
      </c>
      <c r="L284">
        <v>25.9</v>
      </c>
      <c r="M284">
        <v>7</v>
      </c>
      <c r="N284">
        <v>0.112841524463357</v>
      </c>
      <c r="O284">
        <v>7.0110903602230407E-2</v>
      </c>
    </row>
    <row r="285" spans="1:15" x14ac:dyDescent="0.3">
      <c r="A285">
        <v>1335</v>
      </c>
      <c r="B285">
        <v>1488</v>
      </c>
      <c r="C285">
        <v>388</v>
      </c>
      <c r="D285" t="s">
        <v>19</v>
      </c>
      <c r="E285" t="s">
        <v>16</v>
      </c>
      <c r="F285" t="s">
        <v>17</v>
      </c>
      <c r="G285" t="s">
        <v>26</v>
      </c>
      <c r="H285">
        <v>277.10000000000002</v>
      </c>
      <c r="I285">
        <v>244.5</v>
      </c>
      <c r="J285">
        <v>91.9</v>
      </c>
      <c r="K285">
        <v>62.5</v>
      </c>
      <c r="L285">
        <v>25.9</v>
      </c>
      <c r="M285">
        <v>7</v>
      </c>
      <c r="N285">
        <v>9.2346731162080503E-2</v>
      </c>
      <c r="O285">
        <v>5.0871571006028897E-2</v>
      </c>
    </row>
    <row r="286" spans="1:15" x14ac:dyDescent="0.3">
      <c r="A286">
        <v>1336</v>
      </c>
      <c r="B286">
        <v>1488</v>
      </c>
      <c r="C286">
        <v>388</v>
      </c>
      <c r="D286" t="s">
        <v>19</v>
      </c>
      <c r="E286" t="s">
        <v>16</v>
      </c>
      <c r="F286" t="s">
        <v>17</v>
      </c>
      <c r="G286" t="s">
        <v>26</v>
      </c>
      <c r="H286">
        <v>277.10000000000002</v>
      </c>
      <c r="I286">
        <v>244.5</v>
      </c>
      <c r="J286">
        <v>91.9</v>
      </c>
      <c r="K286">
        <v>62.5</v>
      </c>
      <c r="L286">
        <v>25.9</v>
      </c>
      <c r="M286">
        <v>7</v>
      </c>
      <c r="N286">
        <v>9.1292412570251294E-2</v>
      </c>
      <c r="O286">
        <v>6.0696226153111099E-2</v>
      </c>
    </row>
    <row r="287" spans="1:15" x14ac:dyDescent="0.3">
      <c r="A287">
        <v>1337</v>
      </c>
      <c r="B287">
        <v>1488</v>
      </c>
      <c r="C287">
        <v>388</v>
      </c>
      <c r="D287" t="s">
        <v>19</v>
      </c>
      <c r="E287" t="s">
        <v>16</v>
      </c>
      <c r="F287" t="s">
        <v>17</v>
      </c>
      <c r="G287" t="s">
        <v>26</v>
      </c>
      <c r="H287">
        <v>277.10000000000002</v>
      </c>
      <c r="I287">
        <v>244.5</v>
      </c>
      <c r="J287">
        <v>91.9</v>
      </c>
      <c r="K287">
        <v>62.5</v>
      </c>
      <c r="L287">
        <v>25.9</v>
      </c>
      <c r="M287">
        <v>7</v>
      </c>
      <c r="N287">
        <v>8.9218129143582903E-2</v>
      </c>
      <c r="O287">
        <v>6.8841608715718997E-2</v>
      </c>
    </row>
    <row r="288" spans="1:15" x14ac:dyDescent="0.3">
      <c r="A288">
        <v>1338</v>
      </c>
      <c r="B288">
        <v>1488</v>
      </c>
      <c r="C288">
        <v>388</v>
      </c>
      <c r="D288" t="s">
        <v>19</v>
      </c>
      <c r="E288" t="s">
        <v>16</v>
      </c>
      <c r="F288" t="s">
        <v>17</v>
      </c>
      <c r="G288" t="s">
        <v>26</v>
      </c>
      <c r="H288">
        <v>277.10000000000002</v>
      </c>
      <c r="I288">
        <v>244.5</v>
      </c>
      <c r="J288">
        <v>91.9</v>
      </c>
      <c r="K288">
        <v>62.5</v>
      </c>
      <c r="L288">
        <v>25.9</v>
      </c>
      <c r="M288">
        <v>7</v>
      </c>
      <c r="N288">
        <v>0.107003270043122</v>
      </c>
      <c r="O288">
        <v>6.4674908407373402E-2</v>
      </c>
    </row>
    <row r="289" spans="1:15" x14ac:dyDescent="0.3">
      <c r="A289">
        <v>1339</v>
      </c>
      <c r="B289">
        <v>149</v>
      </c>
      <c r="C289">
        <v>332</v>
      </c>
      <c r="D289" t="s">
        <v>15</v>
      </c>
      <c r="E289" t="s">
        <v>16</v>
      </c>
      <c r="F289" t="s">
        <v>17</v>
      </c>
      <c r="G289" t="s">
        <v>22</v>
      </c>
      <c r="H289">
        <v>276.8</v>
      </c>
      <c r="I289">
        <v>249.5</v>
      </c>
      <c r="J289">
        <v>91.1</v>
      </c>
      <c r="K289">
        <v>65.5</v>
      </c>
      <c r="L289">
        <v>24.7</v>
      </c>
      <c r="M289">
        <v>8.5</v>
      </c>
      <c r="N289">
        <v>9.3612222545308293E-2</v>
      </c>
      <c r="O289">
        <v>0.118929029856826</v>
      </c>
    </row>
    <row r="290" spans="1:15" x14ac:dyDescent="0.3">
      <c r="A290">
        <v>1340</v>
      </c>
      <c r="B290">
        <v>149</v>
      </c>
      <c r="C290">
        <v>332</v>
      </c>
      <c r="D290" t="s">
        <v>15</v>
      </c>
      <c r="E290" t="s">
        <v>16</v>
      </c>
      <c r="F290" t="s">
        <v>17</v>
      </c>
      <c r="G290" t="s">
        <v>22</v>
      </c>
      <c r="H290">
        <v>276.8</v>
      </c>
      <c r="I290">
        <v>249.5</v>
      </c>
      <c r="J290">
        <v>91.1</v>
      </c>
      <c r="K290">
        <v>65.5</v>
      </c>
      <c r="L290">
        <v>24.7</v>
      </c>
      <c r="M290">
        <v>8.5</v>
      </c>
      <c r="N290">
        <v>0.11080506386482</v>
      </c>
      <c r="O290">
        <v>0.10063185642707</v>
      </c>
    </row>
    <row r="291" spans="1:15" x14ac:dyDescent="0.3">
      <c r="A291">
        <v>1341</v>
      </c>
      <c r="B291">
        <v>149</v>
      </c>
      <c r="C291">
        <v>332</v>
      </c>
      <c r="D291" t="s">
        <v>15</v>
      </c>
      <c r="E291" t="s">
        <v>16</v>
      </c>
      <c r="F291" t="s">
        <v>17</v>
      </c>
      <c r="G291" t="s">
        <v>22</v>
      </c>
      <c r="H291">
        <v>276.8</v>
      </c>
      <c r="I291">
        <v>249.5</v>
      </c>
      <c r="J291">
        <v>91.1</v>
      </c>
      <c r="K291">
        <v>65.5</v>
      </c>
      <c r="L291">
        <v>24.7</v>
      </c>
      <c r="M291">
        <v>8.5</v>
      </c>
      <c r="N291">
        <v>9.5359629400591797E-2</v>
      </c>
      <c r="O291">
        <v>0.107170129776921</v>
      </c>
    </row>
    <row r="292" spans="1:15" x14ac:dyDescent="0.3">
      <c r="A292">
        <v>1342</v>
      </c>
      <c r="B292">
        <v>149</v>
      </c>
      <c r="C292">
        <v>332</v>
      </c>
      <c r="D292" t="s">
        <v>15</v>
      </c>
      <c r="E292" t="s">
        <v>16</v>
      </c>
      <c r="F292" t="s">
        <v>17</v>
      </c>
      <c r="G292" t="s">
        <v>22</v>
      </c>
      <c r="H292">
        <v>276.8</v>
      </c>
      <c r="I292">
        <v>249.5</v>
      </c>
      <c r="J292">
        <v>91.1</v>
      </c>
      <c r="K292">
        <v>65.5</v>
      </c>
      <c r="L292">
        <v>24.7</v>
      </c>
      <c r="M292">
        <v>8.5</v>
      </c>
      <c r="N292">
        <v>0.107162744267514</v>
      </c>
      <c r="O292">
        <v>0.112598479444958</v>
      </c>
    </row>
    <row r="293" spans="1:15" x14ac:dyDescent="0.3">
      <c r="A293">
        <v>1351</v>
      </c>
      <c r="B293">
        <v>1494</v>
      </c>
      <c r="C293">
        <v>279</v>
      </c>
      <c r="D293" t="s">
        <v>23</v>
      </c>
      <c r="E293" t="s">
        <v>16</v>
      </c>
      <c r="F293" t="s">
        <v>21</v>
      </c>
      <c r="G293" t="s">
        <v>25</v>
      </c>
      <c r="H293">
        <v>273.8</v>
      </c>
      <c r="I293">
        <v>248.5</v>
      </c>
      <c r="J293">
        <v>97.9</v>
      </c>
      <c r="K293">
        <v>65.5</v>
      </c>
      <c r="L293">
        <v>24.9</v>
      </c>
      <c r="M293">
        <v>4</v>
      </c>
      <c r="N293">
        <v>0.24385444775704501</v>
      </c>
      <c r="O293">
        <v>0.374981299956193</v>
      </c>
    </row>
    <row r="294" spans="1:15" x14ac:dyDescent="0.3">
      <c r="A294">
        <v>1352</v>
      </c>
      <c r="B294">
        <v>1494</v>
      </c>
      <c r="C294">
        <v>279</v>
      </c>
      <c r="D294" t="s">
        <v>23</v>
      </c>
      <c r="E294" t="s">
        <v>16</v>
      </c>
      <c r="F294" t="s">
        <v>21</v>
      </c>
      <c r="G294" t="s">
        <v>25</v>
      </c>
      <c r="H294">
        <v>273.8</v>
      </c>
      <c r="I294">
        <v>248.5</v>
      </c>
      <c r="J294">
        <v>97.9</v>
      </c>
      <c r="K294">
        <v>65.5</v>
      </c>
      <c r="L294">
        <v>24.9</v>
      </c>
      <c r="M294">
        <v>4</v>
      </c>
      <c r="N294">
        <v>0.239574937380091</v>
      </c>
      <c r="O294">
        <v>0.39946520171983702</v>
      </c>
    </row>
    <row r="295" spans="1:15" x14ac:dyDescent="0.3">
      <c r="A295">
        <v>1353</v>
      </c>
      <c r="B295">
        <v>1494</v>
      </c>
      <c r="C295">
        <v>279</v>
      </c>
      <c r="D295" t="s">
        <v>23</v>
      </c>
      <c r="E295" t="s">
        <v>16</v>
      </c>
      <c r="F295" t="s">
        <v>21</v>
      </c>
      <c r="G295" t="s">
        <v>25</v>
      </c>
      <c r="H295">
        <v>273.8</v>
      </c>
      <c r="I295">
        <v>248.5</v>
      </c>
      <c r="J295">
        <v>97.9</v>
      </c>
      <c r="K295">
        <v>65.5</v>
      </c>
      <c r="L295">
        <v>24.9</v>
      </c>
      <c r="M295">
        <v>4</v>
      </c>
      <c r="N295">
        <v>0.22576205761529</v>
      </c>
      <c r="O295">
        <v>0.37523447236979002</v>
      </c>
    </row>
    <row r="296" spans="1:15" x14ac:dyDescent="0.3">
      <c r="A296">
        <v>1387</v>
      </c>
      <c r="B296">
        <v>1509</v>
      </c>
      <c r="C296">
        <v>302</v>
      </c>
      <c r="D296" t="s">
        <v>19</v>
      </c>
      <c r="E296" t="s">
        <v>16</v>
      </c>
      <c r="F296" t="s">
        <v>17</v>
      </c>
      <c r="G296" t="s">
        <v>22</v>
      </c>
      <c r="H296">
        <v>274</v>
      </c>
      <c r="I296">
        <v>240</v>
      </c>
      <c r="J296">
        <v>93.6</v>
      </c>
      <c r="K296">
        <v>65</v>
      </c>
      <c r="L296">
        <v>24.2</v>
      </c>
      <c r="M296">
        <v>5</v>
      </c>
      <c r="N296">
        <v>0.23220092537422901</v>
      </c>
      <c r="O296">
        <v>0.115036229786116</v>
      </c>
    </row>
    <row r="297" spans="1:15" x14ac:dyDescent="0.3">
      <c r="A297">
        <v>1388</v>
      </c>
      <c r="B297">
        <v>1509</v>
      </c>
      <c r="C297">
        <v>302</v>
      </c>
      <c r="D297" t="s">
        <v>19</v>
      </c>
      <c r="E297" t="s">
        <v>16</v>
      </c>
      <c r="F297" t="s">
        <v>17</v>
      </c>
      <c r="G297" t="s">
        <v>22</v>
      </c>
      <c r="H297">
        <v>274</v>
      </c>
      <c r="I297">
        <v>240</v>
      </c>
      <c r="J297">
        <v>93.6</v>
      </c>
      <c r="K297">
        <v>65</v>
      </c>
      <c r="L297">
        <v>24.2</v>
      </c>
      <c r="M297">
        <v>5</v>
      </c>
      <c r="N297">
        <v>0.22680526255184</v>
      </c>
      <c r="O297">
        <v>0.125958367016027</v>
      </c>
    </row>
    <row r="298" spans="1:15" x14ac:dyDescent="0.3">
      <c r="A298">
        <v>1389</v>
      </c>
      <c r="B298">
        <v>1510</v>
      </c>
      <c r="C298">
        <v>203</v>
      </c>
      <c r="D298" t="s">
        <v>19</v>
      </c>
      <c r="E298" t="s">
        <v>20</v>
      </c>
      <c r="F298" t="s">
        <v>21</v>
      </c>
      <c r="G298" t="s">
        <v>22</v>
      </c>
      <c r="H298">
        <v>277.60000000000002</v>
      </c>
      <c r="I298">
        <v>247.5</v>
      </c>
      <c r="J298">
        <v>94</v>
      </c>
      <c r="K298">
        <v>65</v>
      </c>
      <c r="L298">
        <v>24.9</v>
      </c>
      <c r="M298">
        <v>9.5</v>
      </c>
      <c r="N298">
        <v>0.257783578789123</v>
      </c>
      <c r="O298">
        <v>5.5711435073898398E-2</v>
      </c>
    </row>
    <row r="299" spans="1:15" x14ac:dyDescent="0.3">
      <c r="A299">
        <v>1390</v>
      </c>
      <c r="B299">
        <v>1510</v>
      </c>
      <c r="C299">
        <v>203</v>
      </c>
      <c r="D299" t="s">
        <v>19</v>
      </c>
      <c r="E299" t="s">
        <v>20</v>
      </c>
      <c r="F299" t="s">
        <v>21</v>
      </c>
      <c r="G299" t="s">
        <v>22</v>
      </c>
      <c r="H299">
        <v>277.60000000000002</v>
      </c>
      <c r="I299">
        <v>247.5</v>
      </c>
      <c r="J299">
        <v>94</v>
      </c>
      <c r="K299">
        <v>65</v>
      </c>
      <c r="L299">
        <v>24.9</v>
      </c>
      <c r="M299">
        <v>9.5</v>
      </c>
      <c r="N299">
        <v>0.26319604144494602</v>
      </c>
      <c r="O299">
        <v>5.3267205671268997E-2</v>
      </c>
    </row>
    <row r="300" spans="1:15" x14ac:dyDescent="0.3">
      <c r="A300">
        <v>1391</v>
      </c>
      <c r="B300">
        <v>1511</v>
      </c>
      <c r="C300">
        <v>143</v>
      </c>
      <c r="D300" t="s">
        <v>23</v>
      </c>
      <c r="E300" t="s">
        <v>16</v>
      </c>
      <c r="F300" t="s">
        <v>21</v>
      </c>
      <c r="G300" t="s">
        <v>18</v>
      </c>
      <c r="H300">
        <v>274</v>
      </c>
      <c r="I300">
        <v>250</v>
      </c>
      <c r="J300">
        <v>95</v>
      </c>
      <c r="K300">
        <v>65</v>
      </c>
      <c r="L300">
        <v>25.9</v>
      </c>
      <c r="M300">
        <v>7.5</v>
      </c>
      <c r="N300">
        <v>0.197807764790118</v>
      </c>
      <c r="O300">
        <v>0.260626067010097</v>
      </c>
    </row>
    <row r="301" spans="1:15" x14ac:dyDescent="0.3">
      <c r="A301">
        <v>1392</v>
      </c>
      <c r="B301">
        <v>1511</v>
      </c>
      <c r="C301">
        <v>143</v>
      </c>
      <c r="D301" t="s">
        <v>23</v>
      </c>
      <c r="E301" t="s">
        <v>16</v>
      </c>
      <c r="F301" t="s">
        <v>21</v>
      </c>
      <c r="G301" t="s">
        <v>18</v>
      </c>
      <c r="H301">
        <v>274</v>
      </c>
      <c r="I301">
        <v>250</v>
      </c>
      <c r="J301">
        <v>95</v>
      </c>
      <c r="K301">
        <v>65</v>
      </c>
      <c r="L301">
        <v>25.9</v>
      </c>
      <c r="M301">
        <v>7.5</v>
      </c>
      <c r="N301">
        <v>0.17854272362363499</v>
      </c>
      <c r="O301">
        <v>0.24241439528782799</v>
      </c>
    </row>
    <row r="302" spans="1:15" x14ac:dyDescent="0.3">
      <c r="A302">
        <v>1393</v>
      </c>
      <c r="B302">
        <v>1511</v>
      </c>
      <c r="C302">
        <v>143</v>
      </c>
      <c r="D302" t="s">
        <v>23</v>
      </c>
      <c r="E302" t="s">
        <v>16</v>
      </c>
      <c r="F302" t="s">
        <v>21</v>
      </c>
      <c r="G302" t="s">
        <v>18</v>
      </c>
      <c r="H302">
        <v>274</v>
      </c>
      <c r="I302">
        <v>250</v>
      </c>
      <c r="J302">
        <v>95</v>
      </c>
      <c r="K302">
        <v>65</v>
      </c>
      <c r="L302">
        <v>25.9</v>
      </c>
      <c r="M302">
        <v>7.5</v>
      </c>
      <c r="N302">
        <v>0.202087859134125</v>
      </c>
      <c r="O302">
        <v>0.24622417635357199</v>
      </c>
    </row>
    <row r="303" spans="1:15" x14ac:dyDescent="0.3">
      <c r="A303">
        <v>1398</v>
      </c>
      <c r="B303">
        <v>1513</v>
      </c>
      <c r="C303">
        <v>203</v>
      </c>
      <c r="D303" t="s">
        <v>19</v>
      </c>
      <c r="E303" t="s">
        <v>20</v>
      </c>
      <c r="F303" t="s">
        <v>21</v>
      </c>
      <c r="G303" t="s">
        <v>24</v>
      </c>
      <c r="H303">
        <v>277.60000000000002</v>
      </c>
      <c r="I303">
        <v>247.5</v>
      </c>
      <c r="J303">
        <v>94</v>
      </c>
      <c r="K303">
        <v>65</v>
      </c>
      <c r="L303">
        <v>24.9</v>
      </c>
      <c r="M303">
        <v>9.5</v>
      </c>
      <c r="N303">
        <v>0.28401325748241502</v>
      </c>
      <c r="O303">
        <v>7.1825881609508896E-2</v>
      </c>
    </row>
    <row r="304" spans="1:15" x14ac:dyDescent="0.3">
      <c r="A304">
        <v>1399</v>
      </c>
      <c r="B304">
        <v>1513</v>
      </c>
      <c r="C304">
        <v>203</v>
      </c>
      <c r="D304" t="s">
        <v>19</v>
      </c>
      <c r="E304" t="s">
        <v>20</v>
      </c>
      <c r="F304" t="s">
        <v>21</v>
      </c>
      <c r="G304" t="s">
        <v>24</v>
      </c>
      <c r="H304">
        <v>277.60000000000002</v>
      </c>
      <c r="I304">
        <v>247.5</v>
      </c>
      <c r="J304">
        <v>94</v>
      </c>
      <c r="K304">
        <v>65</v>
      </c>
      <c r="L304">
        <v>24.9</v>
      </c>
      <c r="M304">
        <v>9.5</v>
      </c>
      <c r="N304">
        <v>0.27312590112010199</v>
      </c>
      <c r="O304">
        <v>6.0261838229416498E-2</v>
      </c>
    </row>
    <row r="305" spans="1:15" x14ac:dyDescent="0.3">
      <c r="A305">
        <v>1400</v>
      </c>
      <c r="B305">
        <v>1513</v>
      </c>
      <c r="C305">
        <v>203</v>
      </c>
      <c r="D305" t="s">
        <v>19</v>
      </c>
      <c r="E305" t="s">
        <v>20</v>
      </c>
      <c r="F305" t="s">
        <v>21</v>
      </c>
      <c r="G305" t="s">
        <v>24</v>
      </c>
      <c r="H305">
        <v>277.60000000000002</v>
      </c>
      <c r="I305">
        <v>247.5</v>
      </c>
      <c r="J305">
        <v>94</v>
      </c>
      <c r="K305">
        <v>65</v>
      </c>
      <c r="L305">
        <v>24.9</v>
      </c>
      <c r="M305">
        <v>9.5</v>
      </c>
      <c r="N305">
        <v>0.269204717272434</v>
      </c>
      <c r="O305">
        <v>7.1981457181531802E-2</v>
      </c>
    </row>
    <row r="306" spans="1:15" x14ac:dyDescent="0.3">
      <c r="A306">
        <v>1401</v>
      </c>
      <c r="B306">
        <v>1514</v>
      </c>
      <c r="C306">
        <v>89</v>
      </c>
      <c r="D306" t="s">
        <v>19</v>
      </c>
      <c r="E306" t="s">
        <v>20</v>
      </c>
      <c r="F306" t="s">
        <v>21</v>
      </c>
      <c r="G306" t="s">
        <v>18</v>
      </c>
      <c r="H306">
        <v>275.89999999999998</v>
      </c>
      <c r="I306">
        <v>245.5</v>
      </c>
      <c r="J306">
        <v>92.8</v>
      </c>
      <c r="K306">
        <v>66.5</v>
      </c>
      <c r="L306">
        <v>26.7</v>
      </c>
      <c r="M306">
        <v>12.5</v>
      </c>
      <c r="N306">
        <v>9.5477300414003805E-2</v>
      </c>
      <c r="O306">
        <v>9.81108057789946E-2</v>
      </c>
    </row>
    <row r="307" spans="1:15" x14ac:dyDescent="0.3">
      <c r="A307">
        <v>1402</v>
      </c>
      <c r="B307">
        <v>1514</v>
      </c>
      <c r="C307">
        <v>89</v>
      </c>
      <c r="D307" t="s">
        <v>19</v>
      </c>
      <c r="E307" t="s">
        <v>20</v>
      </c>
      <c r="F307" t="s">
        <v>21</v>
      </c>
      <c r="G307" t="s">
        <v>18</v>
      </c>
      <c r="H307">
        <v>275.89999999999998</v>
      </c>
      <c r="I307">
        <v>245.5</v>
      </c>
      <c r="J307">
        <v>92.8</v>
      </c>
      <c r="K307">
        <v>66.5</v>
      </c>
      <c r="L307">
        <v>26.7</v>
      </c>
      <c r="M307">
        <v>12.5</v>
      </c>
      <c r="N307">
        <v>6.2451525972511898E-2</v>
      </c>
      <c r="O307">
        <v>9.3244609965165898E-2</v>
      </c>
    </row>
    <row r="308" spans="1:15" x14ac:dyDescent="0.3">
      <c r="A308">
        <v>1403</v>
      </c>
      <c r="B308">
        <v>1514</v>
      </c>
      <c r="C308">
        <v>89</v>
      </c>
      <c r="D308" t="s">
        <v>19</v>
      </c>
      <c r="E308" t="s">
        <v>20</v>
      </c>
      <c r="F308" t="s">
        <v>21</v>
      </c>
      <c r="G308" t="s">
        <v>18</v>
      </c>
      <c r="H308">
        <v>275.89999999999998</v>
      </c>
      <c r="I308">
        <v>245.5</v>
      </c>
      <c r="J308">
        <v>92.8</v>
      </c>
      <c r="K308">
        <v>66.5</v>
      </c>
      <c r="L308">
        <v>26.7</v>
      </c>
      <c r="M308">
        <v>12.5</v>
      </c>
      <c r="N308">
        <v>7.8061875049627596E-2</v>
      </c>
      <c r="O308">
        <v>0.114269925735029</v>
      </c>
    </row>
    <row r="309" spans="1:15" x14ac:dyDescent="0.3">
      <c r="A309">
        <v>1404</v>
      </c>
      <c r="B309">
        <v>1515</v>
      </c>
      <c r="C309">
        <v>379</v>
      </c>
      <c r="D309" t="s">
        <v>19</v>
      </c>
      <c r="E309" t="s">
        <v>20</v>
      </c>
      <c r="F309" t="s">
        <v>21</v>
      </c>
      <c r="G309" t="s">
        <v>26</v>
      </c>
      <c r="H309">
        <v>276.5</v>
      </c>
      <c r="I309">
        <v>259.5</v>
      </c>
      <c r="J309">
        <v>97.2</v>
      </c>
      <c r="K309">
        <v>68</v>
      </c>
      <c r="L309">
        <v>26.4</v>
      </c>
      <c r="M309">
        <v>4</v>
      </c>
      <c r="N309">
        <v>0.29892831703642903</v>
      </c>
      <c r="O309">
        <v>5.9021206271831501E-2</v>
      </c>
    </row>
    <row r="310" spans="1:15" x14ac:dyDescent="0.3">
      <c r="A310">
        <v>1405</v>
      </c>
      <c r="B310">
        <v>1516</v>
      </c>
      <c r="C310">
        <v>233</v>
      </c>
      <c r="D310" t="s">
        <v>19</v>
      </c>
      <c r="E310" t="s">
        <v>20</v>
      </c>
      <c r="F310" t="s">
        <v>17</v>
      </c>
      <c r="G310" t="s">
        <v>25</v>
      </c>
      <c r="H310">
        <v>274.7</v>
      </c>
      <c r="I310">
        <v>248.5</v>
      </c>
      <c r="J310">
        <v>95.9</v>
      </c>
      <c r="K310">
        <v>63.5</v>
      </c>
      <c r="L310">
        <v>27.6</v>
      </c>
      <c r="M310">
        <v>11</v>
      </c>
      <c r="N310">
        <v>3.8082800378238801E-2</v>
      </c>
      <c r="O310">
        <v>0.10070242581339001</v>
      </c>
    </row>
    <row r="311" spans="1:15" x14ac:dyDescent="0.3">
      <c r="A311">
        <v>1407</v>
      </c>
      <c r="B311">
        <v>1516</v>
      </c>
      <c r="C311">
        <v>233</v>
      </c>
      <c r="D311" t="s">
        <v>19</v>
      </c>
      <c r="E311" t="s">
        <v>20</v>
      </c>
      <c r="F311" t="s">
        <v>17</v>
      </c>
      <c r="G311" t="s">
        <v>25</v>
      </c>
      <c r="H311">
        <v>274.7</v>
      </c>
      <c r="I311">
        <v>248.5</v>
      </c>
      <c r="J311">
        <v>95.9</v>
      </c>
      <c r="K311">
        <v>63.5</v>
      </c>
      <c r="L311">
        <v>27.6</v>
      </c>
      <c r="M311">
        <v>11</v>
      </c>
      <c r="N311">
        <v>4.16408765901672E-3</v>
      </c>
      <c r="O311">
        <v>0.10070864253544801</v>
      </c>
    </row>
    <row r="312" spans="1:15" x14ac:dyDescent="0.3">
      <c r="A312">
        <v>1411</v>
      </c>
      <c r="B312">
        <v>1518</v>
      </c>
      <c r="C312">
        <v>340</v>
      </c>
      <c r="D312" t="s">
        <v>23</v>
      </c>
      <c r="E312" t="s">
        <v>20</v>
      </c>
      <c r="F312" t="s">
        <v>21</v>
      </c>
      <c r="G312" t="s">
        <v>25</v>
      </c>
      <c r="H312">
        <v>274.60000000000002</v>
      </c>
      <c r="I312">
        <v>261.5</v>
      </c>
      <c r="J312">
        <v>96.7</v>
      </c>
      <c r="K312">
        <v>62</v>
      </c>
      <c r="L312">
        <v>28.9</v>
      </c>
      <c r="M312">
        <v>10.5</v>
      </c>
      <c r="N312">
        <v>4.8946074187125599E-2</v>
      </c>
      <c r="O312">
        <v>0.38622007770387601</v>
      </c>
    </row>
    <row r="313" spans="1:15" x14ac:dyDescent="0.3">
      <c r="A313">
        <v>1412</v>
      </c>
      <c r="B313">
        <v>1518</v>
      </c>
      <c r="C313">
        <v>340</v>
      </c>
      <c r="D313" t="s">
        <v>23</v>
      </c>
      <c r="E313" t="s">
        <v>20</v>
      </c>
      <c r="F313" t="s">
        <v>21</v>
      </c>
      <c r="G313" t="s">
        <v>25</v>
      </c>
      <c r="H313">
        <v>274.60000000000002</v>
      </c>
      <c r="I313">
        <v>261.5</v>
      </c>
      <c r="J313">
        <v>96.7</v>
      </c>
      <c r="K313">
        <v>62</v>
      </c>
      <c r="L313">
        <v>28.9</v>
      </c>
      <c r="M313">
        <v>10.5</v>
      </c>
      <c r="N313">
        <v>4.8328544351738098E-2</v>
      </c>
      <c r="O313">
        <v>0.37120153614453</v>
      </c>
    </row>
    <row r="314" spans="1:15" x14ac:dyDescent="0.3">
      <c r="A314">
        <v>1413</v>
      </c>
      <c r="B314">
        <v>1519</v>
      </c>
      <c r="C314">
        <v>79</v>
      </c>
      <c r="D314" t="s">
        <v>23</v>
      </c>
      <c r="E314" t="s">
        <v>20</v>
      </c>
      <c r="F314" t="s">
        <v>21</v>
      </c>
      <c r="G314" t="s">
        <v>24</v>
      </c>
      <c r="H314">
        <v>276.8</v>
      </c>
      <c r="I314">
        <v>258.5</v>
      </c>
      <c r="J314">
        <v>101.8</v>
      </c>
      <c r="K314">
        <v>65</v>
      </c>
      <c r="L314">
        <v>24.9</v>
      </c>
      <c r="M314">
        <v>11.5</v>
      </c>
      <c r="N314">
        <v>0.16202390167591599</v>
      </c>
      <c r="O314">
        <v>0.22969559201735701</v>
      </c>
    </row>
    <row r="315" spans="1:15" x14ac:dyDescent="0.3">
      <c r="A315">
        <v>1414</v>
      </c>
      <c r="B315">
        <v>1519</v>
      </c>
      <c r="C315">
        <v>79</v>
      </c>
      <c r="D315" t="s">
        <v>23</v>
      </c>
      <c r="E315" t="s">
        <v>20</v>
      </c>
      <c r="F315" t="s">
        <v>21</v>
      </c>
      <c r="G315" t="s">
        <v>24</v>
      </c>
      <c r="H315">
        <v>276.8</v>
      </c>
      <c r="I315">
        <v>258.5</v>
      </c>
      <c r="J315">
        <v>101.8</v>
      </c>
      <c r="K315">
        <v>65</v>
      </c>
      <c r="L315">
        <v>24.9</v>
      </c>
      <c r="M315">
        <v>11.5</v>
      </c>
      <c r="N315">
        <v>0.17813007803064199</v>
      </c>
      <c r="O315">
        <v>0.192973009788212</v>
      </c>
    </row>
    <row r="316" spans="1:15" x14ac:dyDescent="0.3">
      <c r="A316">
        <v>1437</v>
      </c>
      <c r="B316">
        <v>1528</v>
      </c>
      <c r="C316">
        <v>122</v>
      </c>
      <c r="D316" t="s">
        <v>23</v>
      </c>
      <c r="E316" t="s">
        <v>20</v>
      </c>
      <c r="F316" t="s">
        <v>21</v>
      </c>
      <c r="G316" t="s">
        <v>18</v>
      </c>
      <c r="H316">
        <v>276.60000000000002</v>
      </c>
      <c r="I316">
        <v>246.5</v>
      </c>
      <c r="J316">
        <v>96.7</v>
      </c>
      <c r="K316">
        <v>65.5</v>
      </c>
      <c r="L316">
        <v>30.9</v>
      </c>
      <c r="M316">
        <v>8.5</v>
      </c>
      <c r="N316">
        <v>6.5145218869591001E-2</v>
      </c>
      <c r="O316">
        <v>0.30569386068082999</v>
      </c>
    </row>
    <row r="317" spans="1:15" x14ac:dyDescent="0.3">
      <c r="A317">
        <v>1438</v>
      </c>
      <c r="B317">
        <v>1528</v>
      </c>
      <c r="C317">
        <v>122</v>
      </c>
      <c r="D317" t="s">
        <v>23</v>
      </c>
      <c r="E317" t="s">
        <v>20</v>
      </c>
      <c r="F317" t="s">
        <v>21</v>
      </c>
      <c r="G317" t="s">
        <v>18</v>
      </c>
      <c r="H317">
        <v>276.60000000000002</v>
      </c>
      <c r="I317">
        <v>246.5</v>
      </c>
      <c r="J317">
        <v>96.7</v>
      </c>
      <c r="K317">
        <v>65.5</v>
      </c>
      <c r="L317">
        <v>30.9</v>
      </c>
      <c r="M317">
        <v>8.5</v>
      </c>
      <c r="N317">
        <v>5.0450994620785297E-2</v>
      </c>
      <c r="O317">
        <v>0.30566791006322003</v>
      </c>
    </row>
    <row r="318" spans="1:15" x14ac:dyDescent="0.3">
      <c r="A318">
        <v>1439</v>
      </c>
      <c r="B318">
        <v>1529</v>
      </c>
      <c r="C318">
        <v>102</v>
      </c>
      <c r="D318" t="s">
        <v>19</v>
      </c>
      <c r="E318" t="s">
        <v>20</v>
      </c>
      <c r="F318" t="s">
        <v>21</v>
      </c>
      <c r="G318" t="s">
        <v>26</v>
      </c>
      <c r="H318">
        <v>273.60000000000002</v>
      </c>
      <c r="I318">
        <v>246</v>
      </c>
      <c r="J318">
        <v>93.6</v>
      </c>
      <c r="K318">
        <v>64.5</v>
      </c>
      <c r="L318">
        <v>25.6</v>
      </c>
      <c r="M318">
        <v>1.5</v>
      </c>
      <c r="N318">
        <v>0.18396706238288901</v>
      </c>
      <c r="O318">
        <v>0.182905397170426</v>
      </c>
    </row>
    <row r="319" spans="1:15" x14ac:dyDescent="0.3">
      <c r="A319">
        <v>1440</v>
      </c>
      <c r="B319">
        <v>1529</v>
      </c>
      <c r="C319">
        <v>102</v>
      </c>
      <c r="D319" t="s">
        <v>19</v>
      </c>
      <c r="E319" t="s">
        <v>20</v>
      </c>
      <c r="F319" t="s">
        <v>21</v>
      </c>
      <c r="G319" t="s">
        <v>26</v>
      </c>
      <c r="H319">
        <v>273.60000000000002</v>
      </c>
      <c r="I319">
        <v>246</v>
      </c>
      <c r="J319">
        <v>93.6</v>
      </c>
      <c r="K319">
        <v>64.5</v>
      </c>
      <c r="L319">
        <v>25.6</v>
      </c>
      <c r="M319">
        <v>1.5</v>
      </c>
      <c r="N319">
        <v>0.165701469933873</v>
      </c>
      <c r="O319">
        <v>0.18973130374982</v>
      </c>
    </row>
    <row r="320" spans="1:15" x14ac:dyDescent="0.3">
      <c r="A320">
        <v>1441</v>
      </c>
      <c r="B320">
        <v>153</v>
      </c>
      <c r="C320">
        <v>152</v>
      </c>
      <c r="D320" t="s">
        <v>23</v>
      </c>
      <c r="E320" t="s">
        <v>20</v>
      </c>
      <c r="F320" t="s">
        <v>17</v>
      </c>
      <c r="G320" t="s">
        <v>26</v>
      </c>
      <c r="H320">
        <v>275.5</v>
      </c>
      <c r="I320">
        <v>247</v>
      </c>
      <c r="J320">
        <v>93.8</v>
      </c>
      <c r="K320">
        <v>66</v>
      </c>
      <c r="L320">
        <v>22</v>
      </c>
      <c r="M320">
        <v>9.5</v>
      </c>
      <c r="N320">
        <v>0.22464003658786799</v>
      </c>
      <c r="O320">
        <v>0.36013764848642599</v>
      </c>
    </row>
    <row r="321" spans="1:15" x14ac:dyDescent="0.3">
      <c r="A321">
        <v>1444</v>
      </c>
      <c r="B321">
        <v>1534</v>
      </c>
      <c r="C321">
        <v>135</v>
      </c>
      <c r="D321" t="s">
        <v>23</v>
      </c>
      <c r="E321" t="s">
        <v>16</v>
      </c>
      <c r="F321" t="s">
        <v>21</v>
      </c>
      <c r="G321" t="s">
        <v>25</v>
      </c>
      <c r="H321">
        <v>272.89999999999998</v>
      </c>
      <c r="I321">
        <v>240</v>
      </c>
      <c r="J321">
        <v>92.6</v>
      </c>
      <c r="K321">
        <v>67</v>
      </c>
      <c r="L321">
        <v>26.5</v>
      </c>
      <c r="M321">
        <v>12</v>
      </c>
      <c r="N321">
        <v>0.16740810932553399</v>
      </c>
      <c r="O321">
        <v>0.166464407665294</v>
      </c>
    </row>
    <row r="322" spans="1:15" x14ac:dyDescent="0.3">
      <c r="A322">
        <v>1445</v>
      </c>
      <c r="B322">
        <v>1534</v>
      </c>
      <c r="C322">
        <v>135</v>
      </c>
      <c r="D322" t="s">
        <v>23</v>
      </c>
      <c r="E322" t="s">
        <v>16</v>
      </c>
      <c r="F322" t="s">
        <v>21</v>
      </c>
      <c r="G322" t="s">
        <v>25</v>
      </c>
      <c r="H322">
        <v>272.89999999999998</v>
      </c>
      <c r="I322">
        <v>240</v>
      </c>
      <c r="J322">
        <v>92.6</v>
      </c>
      <c r="K322">
        <v>67</v>
      </c>
      <c r="L322">
        <v>26.5</v>
      </c>
      <c r="M322">
        <v>12</v>
      </c>
      <c r="N322">
        <v>0.17759844470283701</v>
      </c>
      <c r="O322">
        <v>0.16630124416407899</v>
      </c>
    </row>
    <row r="323" spans="1:15" x14ac:dyDescent="0.3">
      <c r="A323">
        <v>1446</v>
      </c>
      <c r="B323">
        <v>1534</v>
      </c>
      <c r="C323">
        <v>135</v>
      </c>
      <c r="D323" t="s">
        <v>23</v>
      </c>
      <c r="E323" t="s">
        <v>16</v>
      </c>
      <c r="F323" t="s">
        <v>21</v>
      </c>
      <c r="G323" t="s">
        <v>25</v>
      </c>
      <c r="H323">
        <v>272.89999999999998</v>
      </c>
      <c r="I323">
        <v>240</v>
      </c>
      <c r="J323">
        <v>92.6</v>
      </c>
      <c r="K323">
        <v>67</v>
      </c>
      <c r="L323">
        <v>26.5</v>
      </c>
      <c r="M323">
        <v>12</v>
      </c>
      <c r="N323">
        <v>0.17310719231673599</v>
      </c>
      <c r="O323">
        <v>0.16561119235146801</v>
      </c>
    </row>
    <row r="324" spans="1:15" x14ac:dyDescent="0.3">
      <c r="A324">
        <v>1457</v>
      </c>
      <c r="B324">
        <v>1539</v>
      </c>
      <c r="C324">
        <v>468</v>
      </c>
      <c r="D324" t="s">
        <v>19</v>
      </c>
      <c r="E324" t="s">
        <v>20</v>
      </c>
      <c r="F324" t="s">
        <v>17</v>
      </c>
      <c r="G324" t="s">
        <v>18</v>
      </c>
      <c r="H324">
        <v>273.39999999999998</v>
      </c>
      <c r="I324">
        <v>243.5</v>
      </c>
      <c r="J324">
        <v>92.9</v>
      </c>
      <c r="K324">
        <v>63.5</v>
      </c>
      <c r="L324">
        <v>24.1</v>
      </c>
      <c r="M324">
        <v>7.5</v>
      </c>
      <c r="N324">
        <v>0.15344301441525501</v>
      </c>
      <c r="O324">
        <v>8.84625406475988E-2</v>
      </c>
    </row>
    <row r="325" spans="1:15" x14ac:dyDescent="0.3">
      <c r="A325">
        <v>1458</v>
      </c>
      <c r="B325">
        <v>1539</v>
      </c>
      <c r="C325">
        <v>468</v>
      </c>
      <c r="D325" t="s">
        <v>19</v>
      </c>
      <c r="E325" t="s">
        <v>20</v>
      </c>
      <c r="F325" t="s">
        <v>17</v>
      </c>
      <c r="G325" t="s">
        <v>18</v>
      </c>
      <c r="H325">
        <v>273.39999999999998</v>
      </c>
      <c r="I325">
        <v>243.5</v>
      </c>
      <c r="J325">
        <v>92.9</v>
      </c>
      <c r="K325">
        <v>63.5</v>
      </c>
      <c r="L325">
        <v>24.1</v>
      </c>
      <c r="M325">
        <v>7.5</v>
      </c>
      <c r="N325">
        <v>0.17571050812651101</v>
      </c>
      <c r="O325">
        <v>0.102830273462859</v>
      </c>
    </row>
    <row r="326" spans="1:15" x14ac:dyDescent="0.3">
      <c r="A326">
        <v>1459</v>
      </c>
      <c r="B326">
        <v>1539</v>
      </c>
      <c r="C326">
        <v>468</v>
      </c>
      <c r="D326" t="s">
        <v>19</v>
      </c>
      <c r="E326" t="s">
        <v>20</v>
      </c>
      <c r="F326" t="s">
        <v>17</v>
      </c>
      <c r="G326" t="s">
        <v>18</v>
      </c>
      <c r="H326">
        <v>273.39999999999998</v>
      </c>
      <c r="I326">
        <v>243.5</v>
      </c>
      <c r="J326">
        <v>92.9</v>
      </c>
      <c r="K326">
        <v>63.5</v>
      </c>
      <c r="L326">
        <v>24.1</v>
      </c>
      <c r="M326">
        <v>7.5</v>
      </c>
      <c r="N326">
        <v>0.17686578494255301</v>
      </c>
      <c r="O326">
        <v>9.8476472889365493E-2</v>
      </c>
    </row>
    <row r="327" spans="1:15" x14ac:dyDescent="0.3">
      <c r="A327">
        <v>1460</v>
      </c>
      <c r="B327">
        <v>1539</v>
      </c>
      <c r="C327">
        <v>468</v>
      </c>
      <c r="D327" t="s">
        <v>19</v>
      </c>
      <c r="E327" t="s">
        <v>20</v>
      </c>
      <c r="F327" t="s">
        <v>17</v>
      </c>
      <c r="G327" t="s">
        <v>18</v>
      </c>
      <c r="H327">
        <v>273.39999999999998</v>
      </c>
      <c r="I327">
        <v>243.5</v>
      </c>
      <c r="J327">
        <v>92.9</v>
      </c>
      <c r="K327">
        <v>63.5</v>
      </c>
      <c r="L327">
        <v>24.1</v>
      </c>
      <c r="M327">
        <v>7.5</v>
      </c>
      <c r="N327">
        <v>0.17788990307761199</v>
      </c>
      <c r="O327">
        <v>0.11502986784136</v>
      </c>
    </row>
    <row r="328" spans="1:15" x14ac:dyDescent="0.3">
      <c r="A328">
        <v>1514</v>
      </c>
      <c r="B328">
        <v>156</v>
      </c>
      <c r="C328">
        <v>122</v>
      </c>
      <c r="D328" t="s">
        <v>23</v>
      </c>
      <c r="E328" t="s">
        <v>20</v>
      </c>
      <c r="F328" t="s">
        <v>17</v>
      </c>
      <c r="G328" t="s">
        <v>26</v>
      </c>
      <c r="H328">
        <v>276.60000000000002</v>
      </c>
      <c r="I328">
        <v>246.5</v>
      </c>
      <c r="J328">
        <v>96.7</v>
      </c>
      <c r="K328">
        <v>65.5</v>
      </c>
      <c r="L328">
        <v>30.9</v>
      </c>
      <c r="M328">
        <v>8.5</v>
      </c>
      <c r="N328">
        <v>6.8599364432652493E-2</v>
      </c>
      <c r="O328">
        <v>0.30424967728692798</v>
      </c>
    </row>
    <row r="329" spans="1:15" x14ac:dyDescent="0.3">
      <c r="A329">
        <v>1515</v>
      </c>
      <c r="B329">
        <v>156</v>
      </c>
      <c r="C329">
        <v>122</v>
      </c>
      <c r="D329" t="s">
        <v>23</v>
      </c>
      <c r="E329" t="s">
        <v>20</v>
      </c>
      <c r="F329" t="s">
        <v>17</v>
      </c>
      <c r="G329" t="s">
        <v>26</v>
      </c>
      <c r="H329">
        <v>276.60000000000002</v>
      </c>
      <c r="I329">
        <v>246.5</v>
      </c>
      <c r="J329">
        <v>96.7</v>
      </c>
      <c r="K329">
        <v>65.5</v>
      </c>
      <c r="L329">
        <v>30.9</v>
      </c>
      <c r="M329">
        <v>8.5</v>
      </c>
      <c r="N329">
        <v>5.5299877595755803E-2</v>
      </c>
      <c r="O329">
        <v>0.310757544046046</v>
      </c>
    </row>
    <row r="330" spans="1:15" x14ac:dyDescent="0.3">
      <c r="A330">
        <v>1532</v>
      </c>
      <c r="B330">
        <v>1565</v>
      </c>
      <c r="C330">
        <v>344</v>
      </c>
      <c r="D330" t="s">
        <v>19</v>
      </c>
      <c r="E330" t="s">
        <v>16</v>
      </c>
      <c r="F330" t="s">
        <v>17</v>
      </c>
      <c r="G330" t="s">
        <v>24</v>
      </c>
      <c r="H330">
        <v>266.7</v>
      </c>
      <c r="I330">
        <v>231.5</v>
      </c>
      <c r="J330">
        <v>87.8</v>
      </c>
      <c r="K330">
        <v>64.5</v>
      </c>
      <c r="L330">
        <v>22.5</v>
      </c>
      <c r="M330">
        <v>9</v>
      </c>
      <c r="N330">
        <v>0.229762068791801</v>
      </c>
      <c r="O330">
        <v>0.16539498823825399</v>
      </c>
    </row>
    <row r="331" spans="1:15" x14ac:dyDescent="0.3">
      <c r="A331">
        <v>1533</v>
      </c>
      <c r="B331">
        <v>1566</v>
      </c>
      <c r="C331">
        <v>395</v>
      </c>
      <c r="D331" t="s">
        <v>23</v>
      </c>
      <c r="E331" t="s">
        <v>20</v>
      </c>
      <c r="F331" t="s">
        <v>21</v>
      </c>
      <c r="G331" t="s">
        <v>24</v>
      </c>
      <c r="H331">
        <v>273.60000000000002</v>
      </c>
      <c r="I331">
        <v>247</v>
      </c>
      <c r="J331">
        <v>94</v>
      </c>
      <c r="K331">
        <v>68</v>
      </c>
      <c r="L331">
        <v>26.7</v>
      </c>
      <c r="M331">
        <v>7.5</v>
      </c>
      <c r="N331">
        <v>0.15430440022763101</v>
      </c>
      <c r="O331">
        <v>0.33944226270093403</v>
      </c>
    </row>
    <row r="332" spans="1:15" x14ac:dyDescent="0.3">
      <c r="A332">
        <v>1534</v>
      </c>
      <c r="B332">
        <v>1566</v>
      </c>
      <c r="C332">
        <v>395</v>
      </c>
      <c r="D332" t="s">
        <v>23</v>
      </c>
      <c r="E332" t="s">
        <v>20</v>
      </c>
      <c r="F332" t="s">
        <v>21</v>
      </c>
      <c r="G332" t="s">
        <v>24</v>
      </c>
      <c r="H332">
        <v>273.60000000000002</v>
      </c>
      <c r="I332">
        <v>247</v>
      </c>
      <c r="J332">
        <v>94</v>
      </c>
      <c r="K332">
        <v>68</v>
      </c>
      <c r="L332">
        <v>26.7</v>
      </c>
      <c r="M332">
        <v>7.5</v>
      </c>
      <c r="N332">
        <v>0.189314127855537</v>
      </c>
      <c r="O332">
        <v>0.36497648121349002</v>
      </c>
    </row>
    <row r="333" spans="1:15" x14ac:dyDescent="0.3">
      <c r="A333">
        <v>1535</v>
      </c>
      <c r="B333">
        <v>1566</v>
      </c>
      <c r="C333">
        <v>395</v>
      </c>
      <c r="D333" t="s">
        <v>23</v>
      </c>
      <c r="E333" t="s">
        <v>20</v>
      </c>
      <c r="F333" t="s">
        <v>21</v>
      </c>
      <c r="G333" t="s">
        <v>24</v>
      </c>
      <c r="H333">
        <v>273.60000000000002</v>
      </c>
      <c r="I333">
        <v>247</v>
      </c>
      <c r="J333">
        <v>94</v>
      </c>
      <c r="K333">
        <v>68</v>
      </c>
      <c r="L333">
        <v>26.7</v>
      </c>
      <c r="M333">
        <v>7.5</v>
      </c>
      <c r="N333">
        <v>0.15351981811902801</v>
      </c>
      <c r="O333">
        <v>0.34242134254399798</v>
      </c>
    </row>
    <row r="334" spans="1:15" x14ac:dyDescent="0.3">
      <c r="A334">
        <v>1536</v>
      </c>
      <c r="B334">
        <v>1566</v>
      </c>
      <c r="C334">
        <v>395</v>
      </c>
      <c r="D334" t="s">
        <v>23</v>
      </c>
      <c r="E334" t="s">
        <v>20</v>
      </c>
      <c r="F334" t="s">
        <v>21</v>
      </c>
      <c r="G334" t="s">
        <v>24</v>
      </c>
      <c r="H334">
        <v>273.60000000000002</v>
      </c>
      <c r="I334">
        <v>247</v>
      </c>
      <c r="J334">
        <v>94</v>
      </c>
      <c r="K334">
        <v>68</v>
      </c>
      <c r="L334">
        <v>26.7</v>
      </c>
      <c r="M334">
        <v>7.5</v>
      </c>
      <c r="N334">
        <v>0.15904931507830899</v>
      </c>
      <c r="O334">
        <v>0.36810192648287599</v>
      </c>
    </row>
    <row r="335" spans="1:15" x14ac:dyDescent="0.3">
      <c r="A335">
        <v>1537</v>
      </c>
      <c r="B335">
        <v>1566</v>
      </c>
      <c r="C335">
        <v>395</v>
      </c>
      <c r="D335" t="s">
        <v>23</v>
      </c>
      <c r="E335" t="s">
        <v>20</v>
      </c>
      <c r="F335" t="s">
        <v>21</v>
      </c>
      <c r="G335" t="s">
        <v>24</v>
      </c>
      <c r="H335">
        <v>273.60000000000002</v>
      </c>
      <c r="I335">
        <v>247</v>
      </c>
      <c r="J335">
        <v>94</v>
      </c>
      <c r="K335">
        <v>68</v>
      </c>
      <c r="L335">
        <v>26.7</v>
      </c>
      <c r="M335">
        <v>7.5</v>
      </c>
      <c r="N335">
        <v>0.15902845520671099</v>
      </c>
      <c r="O335">
        <v>0.34117248820098101</v>
      </c>
    </row>
    <row r="336" spans="1:15" x14ac:dyDescent="0.3">
      <c r="A336">
        <v>1538</v>
      </c>
      <c r="B336">
        <v>1566</v>
      </c>
      <c r="C336">
        <v>395</v>
      </c>
      <c r="D336" t="s">
        <v>23</v>
      </c>
      <c r="E336" t="s">
        <v>20</v>
      </c>
      <c r="F336" t="s">
        <v>21</v>
      </c>
      <c r="G336" t="s">
        <v>24</v>
      </c>
      <c r="H336">
        <v>273.60000000000002</v>
      </c>
      <c r="I336">
        <v>247</v>
      </c>
      <c r="J336">
        <v>94</v>
      </c>
      <c r="K336">
        <v>68</v>
      </c>
      <c r="L336">
        <v>26.7</v>
      </c>
      <c r="M336">
        <v>7.5</v>
      </c>
      <c r="N336">
        <v>0.15560711191495499</v>
      </c>
      <c r="O336">
        <v>0.35233127845602902</v>
      </c>
    </row>
    <row r="337" spans="1:15" x14ac:dyDescent="0.3">
      <c r="A337">
        <v>1569</v>
      </c>
      <c r="B337">
        <v>1576</v>
      </c>
      <c r="C337">
        <v>480</v>
      </c>
      <c r="D337" t="s">
        <v>19</v>
      </c>
      <c r="E337" t="s">
        <v>20</v>
      </c>
      <c r="F337" t="s">
        <v>17</v>
      </c>
      <c r="G337" t="s">
        <v>24</v>
      </c>
      <c r="H337">
        <v>275.8</v>
      </c>
      <c r="I337">
        <v>244</v>
      </c>
      <c r="J337">
        <v>94.4</v>
      </c>
      <c r="K337">
        <v>67.5</v>
      </c>
      <c r="L337">
        <v>24.4</v>
      </c>
      <c r="M337">
        <v>6</v>
      </c>
      <c r="N337">
        <v>0.151268044054821</v>
      </c>
      <c r="O337">
        <v>0.211784717802285</v>
      </c>
    </row>
    <row r="338" spans="1:15" x14ac:dyDescent="0.3">
      <c r="A338">
        <v>1570</v>
      </c>
      <c r="B338">
        <v>1576</v>
      </c>
      <c r="C338">
        <v>480</v>
      </c>
      <c r="D338" t="s">
        <v>19</v>
      </c>
      <c r="E338" t="s">
        <v>20</v>
      </c>
      <c r="F338" t="s">
        <v>17</v>
      </c>
      <c r="G338" t="s">
        <v>24</v>
      </c>
      <c r="H338">
        <v>275.8</v>
      </c>
      <c r="I338">
        <v>244</v>
      </c>
      <c r="J338">
        <v>94.4</v>
      </c>
      <c r="K338">
        <v>67.5</v>
      </c>
      <c r="L338">
        <v>24.4</v>
      </c>
      <c r="M338">
        <v>6</v>
      </c>
      <c r="N338">
        <v>0.14393256855838399</v>
      </c>
      <c r="O338">
        <v>0.20941357774728001</v>
      </c>
    </row>
    <row r="339" spans="1:15" x14ac:dyDescent="0.3">
      <c r="A339">
        <v>1586</v>
      </c>
      <c r="B339">
        <v>1581</v>
      </c>
      <c r="C339">
        <v>262</v>
      </c>
      <c r="D339" t="s">
        <v>19</v>
      </c>
      <c r="E339" t="s">
        <v>20</v>
      </c>
      <c r="F339" t="s">
        <v>17</v>
      </c>
      <c r="G339" t="s">
        <v>25</v>
      </c>
      <c r="H339">
        <v>276.2</v>
      </c>
      <c r="I339">
        <v>255</v>
      </c>
      <c r="J339">
        <v>96.1</v>
      </c>
      <c r="K339">
        <v>67.5</v>
      </c>
      <c r="L339">
        <v>28.7</v>
      </c>
      <c r="M339">
        <v>9</v>
      </c>
      <c r="N339">
        <v>0.25852704631705598</v>
      </c>
      <c r="O339">
        <v>0.13581410463538399</v>
      </c>
    </row>
    <row r="340" spans="1:15" x14ac:dyDescent="0.3">
      <c r="A340">
        <v>1592</v>
      </c>
      <c r="B340">
        <v>1583</v>
      </c>
      <c r="C340">
        <v>31</v>
      </c>
      <c r="D340" t="s">
        <v>23</v>
      </c>
      <c r="E340" t="s">
        <v>16</v>
      </c>
      <c r="F340" t="s">
        <v>17</v>
      </c>
      <c r="G340" t="s">
        <v>26</v>
      </c>
      <c r="H340">
        <v>274</v>
      </c>
      <c r="I340">
        <v>250</v>
      </c>
      <c r="J340">
        <v>99.4</v>
      </c>
      <c r="K340">
        <v>68.5</v>
      </c>
      <c r="L340">
        <v>23.2</v>
      </c>
      <c r="M340">
        <v>10</v>
      </c>
      <c r="N340">
        <v>0.185486631521807</v>
      </c>
      <c r="O340">
        <v>0.17825483516395699</v>
      </c>
    </row>
    <row r="341" spans="1:15" x14ac:dyDescent="0.3">
      <c r="A341">
        <v>1607</v>
      </c>
      <c r="B341">
        <v>1588</v>
      </c>
      <c r="C341">
        <v>68</v>
      </c>
      <c r="D341" t="s">
        <v>19</v>
      </c>
      <c r="E341" t="s">
        <v>20</v>
      </c>
      <c r="F341" t="s">
        <v>17</v>
      </c>
      <c r="G341" t="s">
        <v>24</v>
      </c>
      <c r="H341">
        <v>275.60000000000002</v>
      </c>
      <c r="I341">
        <v>254.5</v>
      </c>
      <c r="J341">
        <v>95.5</v>
      </c>
      <c r="K341">
        <v>65.5</v>
      </c>
      <c r="L341">
        <v>29.1</v>
      </c>
      <c r="M341">
        <v>10</v>
      </c>
      <c r="N341">
        <v>0.20098540610590501</v>
      </c>
      <c r="O341">
        <v>0.18022011719957201</v>
      </c>
    </row>
    <row r="342" spans="1:15" x14ac:dyDescent="0.3">
      <c r="A342">
        <v>1615</v>
      </c>
      <c r="B342">
        <v>1591</v>
      </c>
      <c r="C342">
        <v>274</v>
      </c>
      <c r="D342" t="s">
        <v>19</v>
      </c>
      <c r="E342" t="s">
        <v>20</v>
      </c>
      <c r="F342" t="s">
        <v>21</v>
      </c>
      <c r="G342" t="s">
        <v>18</v>
      </c>
      <c r="H342">
        <v>270.8</v>
      </c>
      <c r="I342">
        <v>241</v>
      </c>
      <c r="J342">
        <v>93</v>
      </c>
      <c r="K342">
        <v>61.5</v>
      </c>
      <c r="L342">
        <v>24.5</v>
      </c>
      <c r="M342">
        <v>11.5</v>
      </c>
      <c r="N342">
        <v>0.116174638898178</v>
      </c>
      <c r="O342">
        <v>0.20961179387176801</v>
      </c>
    </row>
    <row r="343" spans="1:15" x14ac:dyDescent="0.3">
      <c r="A343">
        <v>1618</v>
      </c>
      <c r="B343">
        <v>1593</v>
      </c>
      <c r="C343">
        <v>148</v>
      </c>
      <c r="D343" t="s">
        <v>15</v>
      </c>
      <c r="E343" t="s">
        <v>20</v>
      </c>
      <c r="F343" t="s">
        <v>21</v>
      </c>
      <c r="G343" t="s">
        <v>18</v>
      </c>
      <c r="H343">
        <v>273.39999999999998</v>
      </c>
      <c r="I343">
        <v>237.5</v>
      </c>
      <c r="J343">
        <v>91.6</v>
      </c>
      <c r="K343">
        <v>66</v>
      </c>
      <c r="L343">
        <v>26</v>
      </c>
      <c r="M343">
        <v>4.5</v>
      </c>
      <c r="N343">
        <v>0.20061620036049799</v>
      </c>
      <c r="O343">
        <v>0.14466288121666299</v>
      </c>
    </row>
    <row r="344" spans="1:15" x14ac:dyDescent="0.3">
      <c r="A344">
        <v>1636</v>
      </c>
      <c r="B344">
        <v>160</v>
      </c>
      <c r="C344">
        <v>400</v>
      </c>
      <c r="D344" t="s">
        <v>19</v>
      </c>
      <c r="E344" t="s">
        <v>20</v>
      </c>
      <c r="F344" t="s">
        <v>17</v>
      </c>
      <c r="G344" t="s">
        <v>24</v>
      </c>
      <c r="H344">
        <v>274.10000000000002</v>
      </c>
      <c r="I344">
        <v>253</v>
      </c>
      <c r="J344">
        <v>96.6</v>
      </c>
      <c r="K344">
        <v>66.5</v>
      </c>
      <c r="L344">
        <v>25.5</v>
      </c>
      <c r="M344">
        <v>12</v>
      </c>
      <c r="N344">
        <v>5.5026680980384102E-2</v>
      </c>
      <c r="O344">
        <v>6.0110180279405699E-2</v>
      </c>
    </row>
    <row r="345" spans="1:15" x14ac:dyDescent="0.3">
      <c r="A345">
        <v>1637</v>
      </c>
      <c r="B345">
        <v>160</v>
      </c>
      <c r="C345">
        <v>400</v>
      </c>
      <c r="D345" t="s">
        <v>19</v>
      </c>
      <c r="E345" t="s">
        <v>20</v>
      </c>
      <c r="F345" t="s">
        <v>17</v>
      </c>
      <c r="G345" t="s">
        <v>24</v>
      </c>
      <c r="H345">
        <v>274.10000000000002</v>
      </c>
      <c r="I345">
        <v>253</v>
      </c>
      <c r="J345">
        <v>96.6</v>
      </c>
      <c r="K345">
        <v>66.5</v>
      </c>
      <c r="L345">
        <v>25.5</v>
      </c>
      <c r="M345">
        <v>12</v>
      </c>
      <c r="N345">
        <v>3.9826037763754998E-2</v>
      </c>
      <c r="O345">
        <v>7.2195192965857802E-2</v>
      </c>
    </row>
    <row r="346" spans="1:15" x14ac:dyDescent="0.3">
      <c r="A346">
        <v>1638</v>
      </c>
      <c r="B346">
        <v>160</v>
      </c>
      <c r="C346">
        <v>400</v>
      </c>
      <c r="D346" t="s">
        <v>19</v>
      </c>
      <c r="E346" t="s">
        <v>20</v>
      </c>
      <c r="F346" t="s">
        <v>17</v>
      </c>
      <c r="G346" t="s">
        <v>24</v>
      </c>
      <c r="H346">
        <v>274.10000000000002</v>
      </c>
      <c r="I346">
        <v>253</v>
      </c>
      <c r="J346">
        <v>96.6</v>
      </c>
      <c r="K346">
        <v>66.5</v>
      </c>
      <c r="L346">
        <v>25.5</v>
      </c>
      <c r="M346">
        <v>12</v>
      </c>
      <c r="N346">
        <v>6.3505696243313398E-2</v>
      </c>
      <c r="O346">
        <v>8.6371329384180601E-2</v>
      </c>
    </row>
    <row r="347" spans="1:15" x14ac:dyDescent="0.3">
      <c r="A347">
        <v>1642</v>
      </c>
      <c r="B347">
        <v>1603</v>
      </c>
      <c r="C347">
        <v>494</v>
      </c>
      <c r="D347" t="s">
        <v>19</v>
      </c>
      <c r="E347" t="s">
        <v>16</v>
      </c>
      <c r="F347" t="s">
        <v>17</v>
      </c>
      <c r="G347" t="s">
        <v>25</v>
      </c>
      <c r="H347">
        <v>281.3</v>
      </c>
      <c r="I347">
        <v>262</v>
      </c>
      <c r="J347">
        <v>97.7</v>
      </c>
      <c r="K347">
        <v>70</v>
      </c>
      <c r="L347">
        <v>27</v>
      </c>
      <c r="M347">
        <v>4</v>
      </c>
      <c r="N347">
        <v>0.11737095479333801</v>
      </c>
      <c r="O347">
        <v>0.18113567768716399</v>
      </c>
    </row>
    <row r="348" spans="1:15" x14ac:dyDescent="0.3">
      <c r="A348">
        <v>1643</v>
      </c>
      <c r="B348">
        <v>1603</v>
      </c>
      <c r="C348">
        <v>494</v>
      </c>
      <c r="D348" t="s">
        <v>19</v>
      </c>
      <c r="E348" t="s">
        <v>16</v>
      </c>
      <c r="F348" t="s">
        <v>17</v>
      </c>
      <c r="G348" t="s">
        <v>25</v>
      </c>
      <c r="H348">
        <v>281.3</v>
      </c>
      <c r="I348">
        <v>262</v>
      </c>
      <c r="J348">
        <v>97.7</v>
      </c>
      <c r="K348">
        <v>70</v>
      </c>
      <c r="L348">
        <v>27</v>
      </c>
      <c r="M348">
        <v>4</v>
      </c>
      <c r="N348">
        <v>0.133123055421912</v>
      </c>
      <c r="O348">
        <v>0.19928390895185899</v>
      </c>
    </row>
    <row r="349" spans="1:15" x14ac:dyDescent="0.3">
      <c r="A349">
        <v>1648</v>
      </c>
      <c r="B349">
        <v>1605</v>
      </c>
      <c r="C349">
        <v>246</v>
      </c>
      <c r="D349" t="s">
        <v>23</v>
      </c>
      <c r="E349" t="s">
        <v>16</v>
      </c>
      <c r="F349" t="s">
        <v>21</v>
      </c>
      <c r="G349" t="s">
        <v>24</v>
      </c>
      <c r="H349">
        <v>278.2</v>
      </c>
      <c r="I349">
        <v>257</v>
      </c>
      <c r="J349">
        <v>97.9</v>
      </c>
      <c r="K349">
        <v>67</v>
      </c>
      <c r="L349">
        <v>24.3</v>
      </c>
      <c r="M349">
        <v>12.5</v>
      </c>
      <c r="N349">
        <v>0.16973925053838701</v>
      </c>
      <c r="O349">
        <v>0.38570881733441797</v>
      </c>
    </row>
    <row r="350" spans="1:15" x14ac:dyDescent="0.3">
      <c r="A350">
        <v>1649</v>
      </c>
      <c r="B350">
        <v>1605</v>
      </c>
      <c r="C350">
        <v>246</v>
      </c>
      <c r="D350" t="s">
        <v>23</v>
      </c>
      <c r="E350" t="s">
        <v>16</v>
      </c>
      <c r="F350" t="s">
        <v>21</v>
      </c>
      <c r="G350" t="s">
        <v>24</v>
      </c>
      <c r="H350">
        <v>278.2</v>
      </c>
      <c r="I350">
        <v>257</v>
      </c>
      <c r="J350">
        <v>97.9</v>
      </c>
      <c r="K350">
        <v>67</v>
      </c>
      <c r="L350">
        <v>24.3</v>
      </c>
      <c r="M350">
        <v>12.5</v>
      </c>
      <c r="N350">
        <v>0.18380663516436399</v>
      </c>
      <c r="O350">
        <v>0.39246098599756601</v>
      </c>
    </row>
    <row r="351" spans="1:15" x14ac:dyDescent="0.3">
      <c r="A351">
        <v>1654</v>
      </c>
      <c r="B351">
        <v>1609</v>
      </c>
      <c r="C351">
        <v>274</v>
      </c>
      <c r="D351" t="s">
        <v>19</v>
      </c>
      <c r="E351" t="s">
        <v>20</v>
      </c>
      <c r="F351" t="s">
        <v>21</v>
      </c>
      <c r="G351" t="s">
        <v>25</v>
      </c>
      <c r="H351">
        <v>270.8</v>
      </c>
      <c r="I351">
        <v>241</v>
      </c>
      <c r="J351">
        <v>93</v>
      </c>
      <c r="K351">
        <v>61.5</v>
      </c>
      <c r="L351">
        <v>24.5</v>
      </c>
      <c r="M351">
        <v>11.5</v>
      </c>
      <c r="N351">
        <v>0.10706777729573499</v>
      </c>
      <c r="O351">
        <v>0.20634599551199401</v>
      </c>
    </row>
    <row r="352" spans="1:15" x14ac:dyDescent="0.3">
      <c r="A352">
        <v>1674</v>
      </c>
      <c r="B352">
        <v>1616</v>
      </c>
      <c r="C352">
        <v>466</v>
      </c>
      <c r="D352" t="s">
        <v>23</v>
      </c>
      <c r="E352" t="s">
        <v>20</v>
      </c>
      <c r="F352" t="s">
        <v>17</v>
      </c>
      <c r="G352" t="s">
        <v>24</v>
      </c>
      <c r="H352">
        <v>282.10000000000002</v>
      </c>
      <c r="I352">
        <v>257</v>
      </c>
      <c r="J352">
        <v>100.3</v>
      </c>
      <c r="K352">
        <v>68.5</v>
      </c>
      <c r="L352">
        <v>27.5</v>
      </c>
      <c r="M352">
        <v>11</v>
      </c>
      <c r="N352">
        <v>6.0761959731072797E-2</v>
      </c>
      <c r="O352">
        <v>0.25842969174036101</v>
      </c>
    </row>
    <row r="353" spans="1:15" x14ac:dyDescent="0.3">
      <c r="A353">
        <v>1675</v>
      </c>
      <c r="B353">
        <v>1618</v>
      </c>
      <c r="C353">
        <v>149</v>
      </c>
      <c r="D353" t="s">
        <v>19</v>
      </c>
      <c r="E353" t="s">
        <v>20</v>
      </c>
      <c r="F353" t="s">
        <v>21</v>
      </c>
      <c r="G353" t="s">
        <v>26</v>
      </c>
      <c r="H353">
        <v>275.8</v>
      </c>
      <c r="I353">
        <v>245.5</v>
      </c>
      <c r="J353">
        <v>93.1</v>
      </c>
      <c r="K353">
        <v>67</v>
      </c>
      <c r="L353">
        <v>28.1</v>
      </c>
      <c r="M353">
        <v>7</v>
      </c>
      <c r="N353">
        <v>0.144426529955519</v>
      </c>
      <c r="O353">
        <v>0.11188041723301401</v>
      </c>
    </row>
    <row r="354" spans="1:15" x14ac:dyDescent="0.3">
      <c r="A354">
        <v>1680</v>
      </c>
      <c r="B354">
        <v>1620</v>
      </c>
      <c r="C354">
        <v>355</v>
      </c>
      <c r="D354" t="s">
        <v>23</v>
      </c>
      <c r="E354" t="s">
        <v>20</v>
      </c>
      <c r="F354" t="s">
        <v>21</v>
      </c>
      <c r="G354" t="s">
        <v>18</v>
      </c>
      <c r="H354">
        <v>277.7</v>
      </c>
      <c r="I354">
        <v>250</v>
      </c>
      <c r="J354">
        <v>99.3</v>
      </c>
      <c r="K354">
        <v>65</v>
      </c>
      <c r="L354">
        <v>25.4</v>
      </c>
      <c r="M354">
        <v>11.5</v>
      </c>
      <c r="N354">
        <v>0.156908012529969</v>
      </c>
      <c r="O354">
        <v>0.33358886550657102</v>
      </c>
    </row>
    <row r="355" spans="1:15" x14ac:dyDescent="0.3">
      <c r="A355">
        <v>1681</v>
      </c>
      <c r="B355">
        <v>1620</v>
      </c>
      <c r="C355">
        <v>355</v>
      </c>
      <c r="D355" t="s">
        <v>23</v>
      </c>
      <c r="E355" t="s">
        <v>20</v>
      </c>
      <c r="F355" t="s">
        <v>21</v>
      </c>
      <c r="G355" t="s">
        <v>18</v>
      </c>
      <c r="H355">
        <v>277.7</v>
      </c>
      <c r="I355">
        <v>250</v>
      </c>
      <c r="J355">
        <v>99.3</v>
      </c>
      <c r="K355">
        <v>65</v>
      </c>
      <c r="L355">
        <v>25.4</v>
      </c>
      <c r="M355">
        <v>11.5</v>
      </c>
      <c r="N355">
        <v>0.15901835529469199</v>
      </c>
      <c r="O355">
        <v>0.31868763182172399</v>
      </c>
    </row>
    <row r="356" spans="1:15" x14ac:dyDescent="0.3">
      <c r="A356">
        <v>1683</v>
      </c>
      <c r="B356">
        <v>1622</v>
      </c>
      <c r="C356">
        <v>385</v>
      </c>
      <c r="D356" t="s">
        <v>23</v>
      </c>
      <c r="E356" t="s">
        <v>20</v>
      </c>
      <c r="F356" t="s">
        <v>21</v>
      </c>
      <c r="G356" t="s">
        <v>18</v>
      </c>
      <c r="H356">
        <v>270</v>
      </c>
      <c r="I356">
        <v>256</v>
      </c>
      <c r="J356">
        <v>97.2</v>
      </c>
      <c r="K356">
        <v>65.5</v>
      </c>
      <c r="L356">
        <v>26</v>
      </c>
      <c r="M356">
        <v>8</v>
      </c>
      <c r="N356">
        <v>0.182900556137613</v>
      </c>
      <c r="O356">
        <v>0.39790314524788101</v>
      </c>
    </row>
    <row r="357" spans="1:15" x14ac:dyDescent="0.3">
      <c r="A357">
        <v>1684</v>
      </c>
      <c r="B357">
        <v>1622</v>
      </c>
      <c r="C357">
        <v>385</v>
      </c>
      <c r="D357" t="s">
        <v>23</v>
      </c>
      <c r="E357" t="s">
        <v>20</v>
      </c>
      <c r="F357" t="s">
        <v>21</v>
      </c>
      <c r="G357" t="s">
        <v>18</v>
      </c>
      <c r="H357">
        <v>270</v>
      </c>
      <c r="I357">
        <v>256</v>
      </c>
      <c r="J357">
        <v>97.2</v>
      </c>
      <c r="K357">
        <v>65.5</v>
      </c>
      <c r="L357">
        <v>26</v>
      </c>
      <c r="M357">
        <v>8</v>
      </c>
      <c r="N357">
        <v>0.211998397046362</v>
      </c>
      <c r="O357">
        <v>0.37464768920074798</v>
      </c>
    </row>
    <row r="358" spans="1:15" x14ac:dyDescent="0.3">
      <c r="A358">
        <v>1685</v>
      </c>
      <c r="B358">
        <v>1622</v>
      </c>
      <c r="C358">
        <v>385</v>
      </c>
      <c r="D358" t="s">
        <v>23</v>
      </c>
      <c r="E358" t="s">
        <v>20</v>
      </c>
      <c r="F358" t="s">
        <v>21</v>
      </c>
      <c r="G358" t="s">
        <v>18</v>
      </c>
      <c r="H358">
        <v>270</v>
      </c>
      <c r="I358">
        <v>256</v>
      </c>
      <c r="J358">
        <v>97.2</v>
      </c>
      <c r="K358">
        <v>65.5</v>
      </c>
      <c r="L358">
        <v>26</v>
      </c>
      <c r="M358">
        <v>8</v>
      </c>
      <c r="N358">
        <v>0.197279433383997</v>
      </c>
      <c r="O358">
        <v>0.39591740972315698</v>
      </c>
    </row>
    <row r="359" spans="1:15" x14ac:dyDescent="0.3">
      <c r="A359">
        <v>1686</v>
      </c>
      <c r="B359">
        <v>1622</v>
      </c>
      <c r="C359">
        <v>385</v>
      </c>
      <c r="D359" t="s">
        <v>23</v>
      </c>
      <c r="E359" t="s">
        <v>20</v>
      </c>
      <c r="F359" t="s">
        <v>21</v>
      </c>
      <c r="G359" t="s">
        <v>18</v>
      </c>
      <c r="H359">
        <v>270</v>
      </c>
      <c r="I359">
        <v>256</v>
      </c>
      <c r="J359">
        <v>97.2</v>
      </c>
      <c r="K359">
        <v>65.5</v>
      </c>
      <c r="L359">
        <v>26</v>
      </c>
      <c r="M359">
        <v>8</v>
      </c>
      <c r="N359">
        <v>0.21318436222419501</v>
      </c>
      <c r="O359">
        <v>0.38450528373396597</v>
      </c>
    </row>
    <row r="360" spans="1:15" x14ac:dyDescent="0.3">
      <c r="A360">
        <v>1687</v>
      </c>
      <c r="B360">
        <v>1622</v>
      </c>
      <c r="C360">
        <v>385</v>
      </c>
      <c r="D360" t="s">
        <v>23</v>
      </c>
      <c r="E360" t="s">
        <v>20</v>
      </c>
      <c r="F360" t="s">
        <v>21</v>
      </c>
      <c r="G360" t="s">
        <v>18</v>
      </c>
      <c r="H360">
        <v>270</v>
      </c>
      <c r="I360">
        <v>256</v>
      </c>
      <c r="J360">
        <v>97.2</v>
      </c>
      <c r="K360">
        <v>65.5</v>
      </c>
      <c r="L360">
        <v>26</v>
      </c>
      <c r="M360">
        <v>8</v>
      </c>
      <c r="N360">
        <v>0.185493145956139</v>
      </c>
      <c r="O360">
        <v>0.39593029883407199</v>
      </c>
    </row>
    <row r="361" spans="1:15" x14ac:dyDescent="0.3">
      <c r="A361">
        <v>1700</v>
      </c>
      <c r="B361">
        <v>1628</v>
      </c>
      <c r="C361">
        <v>332</v>
      </c>
      <c r="D361" t="s">
        <v>15</v>
      </c>
      <c r="E361" t="s">
        <v>16</v>
      </c>
      <c r="F361" t="s">
        <v>17</v>
      </c>
      <c r="G361" t="s">
        <v>22</v>
      </c>
      <c r="H361">
        <v>276.8</v>
      </c>
      <c r="I361">
        <v>249.5</v>
      </c>
      <c r="J361">
        <v>91.1</v>
      </c>
      <c r="K361">
        <v>65.5</v>
      </c>
      <c r="L361">
        <v>24.7</v>
      </c>
      <c r="M361">
        <v>8.5</v>
      </c>
      <c r="N361">
        <v>0.113910628029206</v>
      </c>
      <c r="O361">
        <v>0.10518369246706701</v>
      </c>
    </row>
    <row r="362" spans="1:15" x14ac:dyDescent="0.3">
      <c r="A362">
        <v>1701</v>
      </c>
      <c r="B362">
        <v>1628</v>
      </c>
      <c r="C362">
        <v>332</v>
      </c>
      <c r="D362" t="s">
        <v>15</v>
      </c>
      <c r="E362" t="s">
        <v>16</v>
      </c>
      <c r="F362" t="s">
        <v>17</v>
      </c>
      <c r="G362" t="s">
        <v>22</v>
      </c>
      <c r="H362">
        <v>276.8</v>
      </c>
      <c r="I362">
        <v>249.5</v>
      </c>
      <c r="J362">
        <v>91.1</v>
      </c>
      <c r="K362">
        <v>65.5</v>
      </c>
      <c r="L362">
        <v>24.7</v>
      </c>
      <c r="M362">
        <v>8.5</v>
      </c>
      <c r="N362">
        <v>0.103363947226741</v>
      </c>
      <c r="O362">
        <v>0.111667848455789</v>
      </c>
    </row>
    <row r="363" spans="1:15" x14ac:dyDescent="0.3">
      <c r="A363">
        <v>1702</v>
      </c>
      <c r="B363">
        <v>1628</v>
      </c>
      <c r="C363">
        <v>332</v>
      </c>
      <c r="D363" t="s">
        <v>15</v>
      </c>
      <c r="E363" t="s">
        <v>16</v>
      </c>
      <c r="F363" t="s">
        <v>17</v>
      </c>
      <c r="G363" t="s">
        <v>22</v>
      </c>
      <c r="H363">
        <v>276.8</v>
      </c>
      <c r="I363">
        <v>249.5</v>
      </c>
      <c r="J363">
        <v>91.1</v>
      </c>
      <c r="K363">
        <v>65.5</v>
      </c>
      <c r="L363">
        <v>24.7</v>
      </c>
      <c r="M363">
        <v>8.5</v>
      </c>
      <c r="N363">
        <v>9.0068284780241703E-2</v>
      </c>
      <c r="O363">
        <v>0.12818417563984499</v>
      </c>
    </row>
    <row r="364" spans="1:15" x14ac:dyDescent="0.3">
      <c r="A364">
        <v>1703</v>
      </c>
      <c r="B364">
        <v>1628</v>
      </c>
      <c r="C364">
        <v>332</v>
      </c>
      <c r="D364" t="s">
        <v>15</v>
      </c>
      <c r="E364" t="s">
        <v>16</v>
      </c>
      <c r="F364" t="s">
        <v>17</v>
      </c>
      <c r="G364" t="s">
        <v>22</v>
      </c>
      <c r="H364">
        <v>276.8</v>
      </c>
      <c r="I364">
        <v>249.5</v>
      </c>
      <c r="J364">
        <v>91.1</v>
      </c>
      <c r="K364">
        <v>65.5</v>
      </c>
      <c r="L364">
        <v>24.7</v>
      </c>
      <c r="M364">
        <v>8.5</v>
      </c>
      <c r="N364">
        <v>8.6422183589491303E-2</v>
      </c>
      <c r="O364">
        <v>0.112230612115875</v>
      </c>
    </row>
    <row r="365" spans="1:15" x14ac:dyDescent="0.3">
      <c r="A365">
        <v>1709</v>
      </c>
      <c r="B365">
        <v>1630</v>
      </c>
      <c r="C365">
        <v>197</v>
      </c>
      <c r="D365" t="s">
        <v>19</v>
      </c>
      <c r="E365" t="s">
        <v>20</v>
      </c>
      <c r="F365" t="s">
        <v>21</v>
      </c>
      <c r="G365" t="s">
        <v>22</v>
      </c>
      <c r="H365">
        <v>280.10000000000002</v>
      </c>
      <c r="I365">
        <v>249.5</v>
      </c>
      <c r="J365">
        <v>95.8</v>
      </c>
      <c r="K365">
        <v>69.5</v>
      </c>
      <c r="L365">
        <v>26.6</v>
      </c>
      <c r="M365">
        <v>6.5</v>
      </c>
      <c r="N365">
        <v>0.16866821500121501</v>
      </c>
      <c r="O365">
        <v>5.7632462686450198E-2</v>
      </c>
    </row>
    <row r="366" spans="1:15" x14ac:dyDescent="0.3">
      <c r="A366">
        <v>1710</v>
      </c>
      <c r="B366">
        <v>1630</v>
      </c>
      <c r="C366">
        <v>197</v>
      </c>
      <c r="D366" t="s">
        <v>19</v>
      </c>
      <c r="E366" t="s">
        <v>20</v>
      </c>
      <c r="F366" t="s">
        <v>21</v>
      </c>
      <c r="G366" t="s">
        <v>22</v>
      </c>
      <c r="H366">
        <v>280.10000000000002</v>
      </c>
      <c r="I366">
        <v>249.5</v>
      </c>
      <c r="J366">
        <v>95.8</v>
      </c>
      <c r="K366">
        <v>69.5</v>
      </c>
      <c r="L366">
        <v>26.6</v>
      </c>
      <c r="M366">
        <v>6.5</v>
      </c>
      <c r="N366">
        <v>0.17030465724310501</v>
      </c>
      <c r="O366">
        <v>5.4533435875483198E-2</v>
      </c>
    </row>
    <row r="367" spans="1:15" x14ac:dyDescent="0.3">
      <c r="A367">
        <v>1711</v>
      </c>
      <c r="B367">
        <v>1630</v>
      </c>
      <c r="C367">
        <v>197</v>
      </c>
      <c r="D367" t="s">
        <v>19</v>
      </c>
      <c r="E367" t="s">
        <v>20</v>
      </c>
      <c r="F367" t="s">
        <v>21</v>
      </c>
      <c r="G367" t="s">
        <v>22</v>
      </c>
      <c r="H367">
        <v>280.10000000000002</v>
      </c>
      <c r="I367">
        <v>249.5</v>
      </c>
      <c r="J367">
        <v>95.8</v>
      </c>
      <c r="K367">
        <v>69.5</v>
      </c>
      <c r="L367">
        <v>26.6</v>
      </c>
      <c r="M367">
        <v>6.5</v>
      </c>
      <c r="N367">
        <v>0.19672021226894601</v>
      </c>
      <c r="O367">
        <v>4.8687258786282897E-2</v>
      </c>
    </row>
    <row r="368" spans="1:15" x14ac:dyDescent="0.3">
      <c r="A368">
        <v>1712</v>
      </c>
      <c r="B368">
        <v>1630</v>
      </c>
      <c r="C368">
        <v>197</v>
      </c>
      <c r="D368" t="s">
        <v>19</v>
      </c>
      <c r="E368" t="s">
        <v>20</v>
      </c>
      <c r="F368" t="s">
        <v>21</v>
      </c>
      <c r="G368" t="s">
        <v>22</v>
      </c>
      <c r="H368">
        <v>280.10000000000002</v>
      </c>
      <c r="I368">
        <v>249.5</v>
      </c>
      <c r="J368">
        <v>95.8</v>
      </c>
      <c r="K368">
        <v>69.5</v>
      </c>
      <c r="L368">
        <v>26.6</v>
      </c>
      <c r="M368">
        <v>6.5</v>
      </c>
      <c r="N368">
        <v>0.20591782597178299</v>
      </c>
      <c r="O368">
        <v>4.16114772694944E-2</v>
      </c>
    </row>
    <row r="369" spans="1:15" x14ac:dyDescent="0.3">
      <c r="A369">
        <v>1713</v>
      </c>
      <c r="B369">
        <v>1631</v>
      </c>
      <c r="C369">
        <v>26</v>
      </c>
      <c r="D369" t="s">
        <v>23</v>
      </c>
      <c r="E369" t="s">
        <v>20</v>
      </c>
      <c r="F369" t="s">
        <v>17</v>
      </c>
      <c r="G369" t="s">
        <v>24</v>
      </c>
      <c r="H369">
        <v>270.5</v>
      </c>
      <c r="I369">
        <v>243.5</v>
      </c>
      <c r="J369">
        <v>95.9</v>
      </c>
      <c r="K369">
        <v>66</v>
      </c>
      <c r="L369">
        <v>26.9</v>
      </c>
      <c r="M369">
        <v>6</v>
      </c>
      <c r="N369">
        <v>0.16755705300420101</v>
      </c>
      <c r="O369">
        <v>0.38725153506680798</v>
      </c>
    </row>
    <row r="370" spans="1:15" x14ac:dyDescent="0.3">
      <c r="A370">
        <v>1714</v>
      </c>
      <c r="B370">
        <v>1631</v>
      </c>
      <c r="C370">
        <v>26</v>
      </c>
      <c r="D370" t="s">
        <v>23</v>
      </c>
      <c r="E370" t="s">
        <v>20</v>
      </c>
      <c r="F370" t="s">
        <v>17</v>
      </c>
      <c r="G370" t="s">
        <v>24</v>
      </c>
      <c r="H370">
        <v>270.5</v>
      </c>
      <c r="I370">
        <v>243.5</v>
      </c>
      <c r="J370">
        <v>95.9</v>
      </c>
      <c r="K370">
        <v>66</v>
      </c>
      <c r="L370">
        <v>26.9</v>
      </c>
      <c r="M370">
        <v>6</v>
      </c>
      <c r="N370">
        <v>0.19188793990425701</v>
      </c>
      <c r="O370">
        <v>0.37484132749780302</v>
      </c>
    </row>
    <row r="371" spans="1:15" x14ac:dyDescent="0.3">
      <c r="A371">
        <v>1715</v>
      </c>
      <c r="B371">
        <v>1632</v>
      </c>
      <c r="C371">
        <v>479</v>
      </c>
      <c r="D371" t="s">
        <v>19</v>
      </c>
      <c r="E371" t="s">
        <v>20</v>
      </c>
      <c r="F371" t="s">
        <v>17</v>
      </c>
      <c r="G371" t="s">
        <v>18</v>
      </c>
      <c r="H371">
        <v>275.60000000000002</v>
      </c>
      <c r="I371">
        <v>254</v>
      </c>
      <c r="J371">
        <v>99.7</v>
      </c>
      <c r="K371">
        <v>68</v>
      </c>
      <c r="L371">
        <v>26.4</v>
      </c>
      <c r="M371">
        <v>8</v>
      </c>
      <c r="N371">
        <v>0.338123371548741</v>
      </c>
      <c r="O371">
        <v>4.6221525054756997E-2</v>
      </c>
    </row>
    <row r="372" spans="1:15" x14ac:dyDescent="0.3">
      <c r="A372">
        <v>1719</v>
      </c>
      <c r="B372">
        <v>1635</v>
      </c>
      <c r="C372">
        <v>320</v>
      </c>
      <c r="D372" t="s">
        <v>19</v>
      </c>
      <c r="E372" t="s">
        <v>20</v>
      </c>
      <c r="F372" t="s">
        <v>21</v>
      </c>
      <c r="G372" t="s">
        <v>22</v>
      </c>
      <c r="H372">
        <v>279</v>
      </c>
      <c r="I372">
        <v>253.5</v>
      </c>
      <c r="J372">
        <v>97.1</v>
      </c>
      <c r="K372">
        <v>64</v>
      </c>
      <c r="L372">
        <v>24</v>
      </c>
      <c r="M372">
        <v>8</v>
      </c>
      <c r="N372">
        <v>0.16905410556680101</v>
      </c>
      <c r="O372">
        <v>5.7808147446538803E-2</v>
      </c>
    </row>
    <row r="373" spans="1:15" x14ac:dyDescent="0.3">
      <c r="A373">
        <v>1720</v>
      </c>
      <c r="B373">
        <v>1635</v>
      </c>
      <c r="C373">
        <v>320</v>
      </c>
      <c r="D373" t="s">
        <v>19</v>
      </c>
      <c r="E373" t="s">
        <v>20</v>
      </c>
      <c r="F373" t="s">
        <v>21</v>
      </c>
      <c r="G373" t="s">
        <v>22</v>
      </c>
      <c r="H373">
        <v>279</v>
      </c>
      <c r="I373">
        <v>253.5</v>
      </c>
      <c r="J373">
        <v>97.1</v>
      </c>
      <c r="K373">
        <v>64</v>
      </c>
      <c r="L373">
        <v>24</v>
      </c>
      <c r="M373">
        <v>8</v>
      </c>
      <c r="N373">
        <v>0.14888712653073999</v>
      </c>
      <c r="O373">
        <v>2.3632539118140599E-2</v>
      </c>
    </row>
    <row r="374" spans="1:15" x14ac:dyDescent="0.3">
      <c r="A374">
        <v>1745</v>
      </c>
      <c r="B374">
        <v>1646</v>
      </c>
      <c r="C374">
        <v>453</v>
      </c>
      <c r="D374" t="s">
        <v>23</v>
      </c>
      <c r="E374" t="s">
        <v>20</v>
      </c>
      <c r="F374" t="s">
        <v>17</v>
      </c>
      <c r="G374" t="s">
        <v>24</v>
      </c>
      <c r="H374">
        <v>281.60000000000002</v>
      </c>
      <c r="I374">
        <v>255.5</v>
      </c>
      <c r="J374">
        <v>100.4</v>
      </c>
      <c r="K374">
        <v>70</v>
      </c>
      <c r="L374">
        <v>25.7</v>
      </c>
      <c r="M374">
        <v>10</v>
      </c>
      <c r="N374">
        <v>0.14953103804808901</v>
      </c>
      <c r="O374">
        <v>0.41563459524028401</v>
      </c>
    </row>
    <row r="375" spans="1:15" x14ac:dyDescent="0.3">
      <c r="A375">
        <v>1746</v>
      </c>
      <c r="B375">
        <v>1646</v>
      </c>
      <c r="C375">
        <v>453</v>
      </c>
      <c r="D375" t="s">
        <v>23</v>
      </c>
      <c r="E375" t="s">
        <v>20</v>
      </c>
      <c r="F375" t="s">
        <v>17</v>
      </c>
      <c r="G375" t="s">
        <v>24</v>
      </c>
      <c r="H375">
        <v>281.60000000000002</v>
      </c>
      <c r="I375">
        <v>255.5</v>
      </c>
      <c r="J375">
        <v>100.4</v>
      </c>
      <c r="K375">
        <v>70</v>
      </c>
      <c r="L375">
        <v>25.7</v>
      </c>
      <c r="M375">
        <v>10</v>
      </c>
      <c r="N375">
        <v>0.12770974035875601</v>
      </c>
      <c r="O375">
        <v>0.40720076254383603</v>
      </c>
    </row>
    <row r="376" spans="1:15" x14ac:dyDescent="0.3">
      <c r="A376">
        <v>1747</v>
      </c>
      <c r="B376">
        <v>1646</v>
      </c>
      <c r="C376">
        <v>453</v>
      </c>
      <c r="D376" t="s">
        <v>23</v>
      </c>
      <c r="E376" t="s">
        <v>20</v>
      </c>
      <c r="F376" t="s">
        <v>17</v>
      </c>
      <c r="G376" t="s">
        <v>24</v>
      </c>
      <c r="H376">
        <v>281.60000000000002</v>
      </c>
      <c r="I376">
        <v>255.5</v>
      </c>
      <c r="J376">
        <v>100.4</v>
      </c>
      <c r="K376">
        <v>70</v>
      </c>
      <c r="L376">
        <v>25.7</v>
      </c>
      <c r="M376">
        <v>10</v>
      </c>
      <c r="N376">
        <v>0.12334251412201901</v>
      </c>
      <c r="O376">
        <v>0.40611585836330399</v>
      </c>
    </row>
    <row r="377" spans="1:15" x14ac:dyDescent="0.3">
      <c r="A377">
        <v>1748</v>
      </c>
      <c r="B377">
        <v>1648</v>
      </c>
      <c r="C377">
        <v>110</v>
      </c>
      <c r="D377" t="s">
        <v>23</v>
      </c>
      <c r="E377" t="s">
        <v>20</v>
      </c>
      <c r="F377" t="s">
        <v>17</v>
      </c>
      <c r="G377" t="s">
        <v>25</v>
      </c>
      <c r="H377">
        <v>271.3</v>
      </c>
      <c r="I377">
        <v>247.5</v>
      </c>
      <c r="J377">
        <v>95</v>
      </c>
      <c r="K377">
        <v>65.5</v>
      </c>
      <c r="L377">
        <v>24.5</v>
      </c>
      <c r="M377">
        <v>8</v>
      </c>
      <c r="N377">
        <v>0.22157522335797999</v>
      </c>
      <c r="O377">
        <v>0.33682872384157198</v>
      </c>
    </row>
    <row r="378" spans="1:15" x14ac:dyDescent="0.3">
      <c r="A378">
        <v>1761</v>
      </c>
      <c r="B378">
        <v>1653</v>
      </c>
      <c r="C378">
        <v>118</v>
      </c>
      <c r="D378" t="s">
        <v>19</v>
      </c>
      <c r="E378" t="s">
        <v>20</v>
      </c>
      <c r="F378" t="s">
        <v>17</v>
      </c>
      <c r="G378" t="s">
        <v>26</v>
      </c>
      <c r="H378">
        <v>276.39999999999998</v>
      </c>
      <c r="I378">
        <v>245.5</v>
      </c>
      <c r="J378">
        <v>96.4</v>
      </c>
      <c r="K378">
        <v>67.5</v>
      </c>
      <c r="L378">
        <v>24.9</v>
      </c>
      <c r="M378">
        <v>4</v>
      </c>
      <c r="N378">
        <v>0.133347111578828</v>
      </c>
      <c r="O378">
        <v>0.22792429544185799</v>
      </c>
    </row>
    <row r="379" spans="1:15" x14ac:dyDescent="0.3">
      <c r="A379">
        <v>1762</v>
      </c>
      <c r="B379">
        <v>1653</v>
      </c>
      <c r="C379">
        <v>118</v>
      </c>
      <c r="D379" t="s">
        <v>19</v>
      </c>
      <c r="E379" t="s">
        <v>20</v>
      </c>
      <c r="F379" t="s">
        <v>17</v>
      </c>
      <c r="G379" t="s">
        <v>26</v>
      </c>
      <c r="H379">
        <v>276.39999999999998</v>
      </c>
      <c r="I379">
        <v>245.5</v>
      </c>
      <c r="J379">
        <v>96.4</v>
      </c>
      <c r="K379">
        <v>67.5</v>
      </c>
      <c r="L379">
        <v>24.9</v>
      </c>
      <c r="M379">
        <v>4</v>
      </c>
      <c r="N379">
        <v>0.14390826673971699</v>
      </c>
      <c r="O379">
        <v>0.22021538761645501</v>
      </c>
    </row>
    <row r="380" spans="1:15" x14ac:dyDescent="0.3">
      <c r="A380">
        <v>1781</v>
      </c>
      <c r="B380">
        <v>1662</v>
      </c>
      <c r="C380">
        <v>20</v>
      </c>
      <c r="D380" t="s">
        <v>23</v>
      </c>
      <c r="E380" t="s">
        <v>16</v>
      </c>
      <c r="F380" t="s">
        <v>21</v>
      </c>
      <c r="G380" t="s">
        <v>22</v>
      </c>
      <c r="H380">
        <v>282.7</v>
      </c>
      <c r="I380">
        <v>260</v>
      </c>
      <c r="J380">
        <v>103.8</v>
      </c>
      <c r="K380">
        <v>68</v>
      </c>
      <c r="L380">
        <v>26.4</v>
      </c>
      <c r="M380">
        <v>11.5</v>
      </c>
      <c r="N380">
        <v>8.6629730287089299E-2</v>
      </c>
      <c r="O380">
        <v>0.257146891525868</v>
      </c>
    </row>
    <row r="381" spans="1:15" x14ac:dyDescent="0.3">
      <c r="A381">
        <v>1782</v>
      </c>
      <c r="B381">
        <v>1662</v>
      </c>
      <c r="C381">
        <v>20</v>
      </c>
      <c r="D381" t="s">
        <v>23</v>
      </c>
      <c r="E381" t="s">
        <v>16</v>
      </c>
      <c r="F381" t="s">
        <v>21</v>
      </c>
      <c r="G381" t="s">
        <v>22</v>
      </c>
      <c r="H381">
        <v>282.7</v>
      </c>
      <c r="I381">
        <v>260</v>
      </c>
      <c r="J381">
        <v>103.8</v>
      </c>
      <c r="K381">
        <v>68</v>
      </c>
      <c r="L381">
        <v>26.4</v>
      </c>
      <c r="M381">
        <v>11.5</v>
      </c>
      <c r="N381">
        <v>7.3619285066933507E-2</v>
      </c>
      <c r="O381">
        <v>0.282954396489697</v>
      </c>
    </row>
    <row r="382" spans="1:15" x14ac:dyDescent="0.3">
      <c r="A382">
        <v>1798</v>
      </c>
      <c r="B382">
        <v>1667</v>
      </c>
      <c r="C382">
        <v>61</v>
      </c>
      <c r="D382" t="s">
        <v>23</v>
      </c>
      <c r="E382" t="s">
        <v>20</v>
      </c>
      <c r="F382" t="s">
        <v>17</v>
      </c>
      <c r="G382" t="s">
        <v>25</v>
      </c>
      <c r="H382">
        <v>272.3</v>
      </c>
      <c r="I382">
        <v>239</v>
      </c>
      <c r="J382">
        <v>94.1</v>
      </c>
      <c r="K382">
        <v>68</v>
      </c>
      <c r="L382">
        <v>23.9</v>
      </c>
      <c r="M382">
        <v>4.5</v>
      </c>
      <c r="N382">
        <v>0.30816301403680302</v>
      </c>
      <c r="O382">
        <v>0.38552451472361798</v>
      </c>
    </row>
    <row r="383" spans="1:15" x14ac:dyDescent="0.3">
      <c r="A383">
        <v>1854</v>
      </c>
      <c r="B383">
        <v>1687</v>
      </c>
      <c r="C383">
        <v>110</v>
      </c>
      <c r="D383" t="s">
        <v>23</v>
      </c>
      <c r="E383" t="s">
        <v>20</v>
      </c>
      <c r="F383" t="s">
        <v>21</v>
      </c>
      <c r="G383" t="s">
        <v>25</v>
      </c>
      <c r="H383">
        <v>271.3</v>
      </c>
      <c r="I383">
        <v>247.5</v>
      </c>
      <c r="J383">
        <v>95</v>
      </c>
      <c r="K383">
        <v>65.5</v>
      </c>
      <c r="L383">
        <v>24.5</v>
      </c>
      <c r="M383">
        <v>8</v>
      </c>
      <c r="N383">
        <v>0.22544775006117301</v>
      </c>
      <c r="O383">
        <v>0.35191359381548398</v>
      </c>
    </row>
    <row r="384" spans="1:15" x14ac:dyDescent="0.3">
      <c r="A384">
        <v>1855</v>
      </c>
      <c r="B384">
        <v>1687</v>
      </c>
      <c r="C384">
        <v>110</v>
      </c>
      <c r="D384" t="s">
        <v>23</v>
      </c>
      <c r="E384" t="s">
        <v>20</v>
      </c>
      <c r="F384" t="s">
        <v>21</v>
      </c>
      <c r="G384" t="s">
        <v>25</v>
      </c>
      <c r="H384">
        <v>271.3</v>
      </c>
      <c r="I384">
        <v>247.5</v>
      </c>
      <c r="J384">
        <v>95</v>
      </c>
      <c r="K384">
        <v>65.5</v>
      </c>
      <c r="L384">
        <v>24.5</v>
      </c>
      <c r="M384">
        <v>8</v>
      </c>
      <c r="N384">
        <v>0.23543908705716399</v>
      </c>
      <c r="O384">
        <v>0.36051563894302002</v>
      </c>
    </row>
    <row r="385" spans="1:15" x14ac:dyDescent="0.3">
      <c r="A385">
        <v>1856</v>
      </c>
      <c r="B385">
        <v>1687</v>
      </c>
      <c r="C385">
        <v>110</v>
      </c>
      <c r="D385" t="s">
        <v>23</v>
      </c>
      <c r="E385" t="s">
        <v>20</v>
      </c>
      <c r="F385" t="s">
        <v>21</v>
      </c>
      <c r="G385" t="s">
        <v>25</v>
      </c>
      <c r="H385">
        <v>271.3</v>
      </c>
      <c r="I385">
        <v>247.5</v>
      </c>
      <c r="J385">
        <v>95</v>
      </c>
      <c r="K385">
        <v>65.5</v>
      </c>
      <c r="L385">
        <v>24.5</v>
      </c>
      <c r="M385">
        <v>8</v>
      </c>
      <c r="N385">
        <v>0.22651924353706299</v>
      </c>
      <c r="O385">
        <v>0.34464467593804199</v>
      </c>
    </row>
    <row r="386" spans="1:15" x14ac:dyDescent="0.3">
      <c r="A386">
        <v>1876</v>
      </c>
      <c r="B386">
        <v>1695</v>
      </c>
      <c r="C386">
        <v>218</v>
      </c>
      <c r="D386" t="s">
        <v>19</v>
      </c>
      <c r="E386" t="s">
        <v>16</v>
      </c>
      <c r="F386" t="s">
        <v>21</v>
      </c>
      <c r="G386" t="s">
        <v>18</v>
      </c>
      <c r="H386">
        <v>274.5</v>
      </c>
      <c r="I386">
        <v>258</v>
      </c>
      <c r="J386">
        <v>101.5</v>
      </c>
      <c r="K386">
        <v>66.5</v>
      </c>
      <c r="L386">
        <v>27.9</v>
      </c>
      <c r="M386">
        <v>10</v>
      </c>
      <c r="N386">
        <v>0.12460585421800199</v>
      </c>
      <c r="O386">
        <v>0.10685446987633999</v>
      </c>
    </row>
    <row r="387" spans="1:15" x14ac:dyDescent="0.3">
      <c r="A387">
        <v>1877</v>
      </c>
      <c r="B387">
        <v>1695</v>
      </c>
      <c r="C387">
        <v>218</v>
      </c>
      <c r="D387" t="s">
        <v>19</v>
      </c>
      <c r="E387" t="s">
        <v>16</v>
      </c>
      <c r="F387" t="s">
        <v>21</v>
      </c>
      <c r="G387" t="s">
        <v>18</v>
      </c>
      <c r="H387">
        <v>274.5</v>
      </c>
      <c r="I387">
        <v>258</v>
      </c>
      <c r="J387">
        <v>101.5</v>
      </c>
      <c r="K387">
        <v>66.5</v>
      </c>
      <c r="L387">
        <v>27.9</v>
      </c>
      <c r="M387">
        <v>10</v>
      </c>
      <c r="N387">
        <v>0.13768097042672001</v>
      </c>
      <c r="O387">
        <v>0.111010247102761</v>
      </c>
    </row>
    <row r="388" spans="1:15" x14ac:dyDescent="0.3">
      <c r="A388">
        <v>1878</v>
      </c>
      <c r="B388">
        <v>1695</v>
      </c>
      <c r="C388">
        <v>218</v>
      </c>
      <c r="D388" t="s">
        <v>19</v>
      </c>
      <c r="E388" t="s">
        <v>16</v>
      </c>
      <c r="F388" t="s">
        <v>21</v>
      </c>
      <c r="G388" t="s">
        <v>18</v>
      </c>
      <c r="H388">
        <v>274.5</v>
      </c>
      <c r="I388">
        <v>258</v>
      </c>
      <c r="J388">
        <v>101.5</v>
      </c>
      <c r="K388">
        <v>66.5</v>
      </c>
      <c r="L388">
        <v>27.9</v>
      </c>
      <c r="M388">
        <v>10</v>
      </c>
      <c r="N388">
        <v>0.13921938041891799</v>
      </c>
      <c r="O388">
        <v>0.114601942884102</v>
      </c>
    </row>
    <row r="389" spans="1:15" x14ac:dyDescent="0.3">
      <c r="A389">
        <v>1879</v>
      </c>
      <c r="B389">
        <v>1695</v>
      </c>
      <c r="C389">
        <v>218</v>
      </c>
      <c r="D389" t="s">
        <v>19</v>
      </c>
      <c r="E389" t="s">
        <v>16</v>
      </c>
      <c r="F389" t="s">
        <v>21</v>
      </c>
      <c r="G389" t="s">
        <v>18</v>
      </c>
      <c r="H389">
        <v>274.5</v>
      </c>
      <c r="I389">
        <v>258</v>
      </c>
      <c r="J389">
        <v>101.5</v>
      </c>
      <c r="K389">
        <v>66.5</v>
      </c>
      <c r="L389">
        <v>27.9</v>
      </c>
      <c r="M389">
        <v>10</v>
      </c>
      <c r="N389">
        <v>0.121347032135525</v>
      </c>
      <c r="O389">
        <v>0.110746584885438</v>
      </c>
    </row>
    <row r="390" spans="1:15" x14ac:dyDescent="0.3">
      <c r="A390">
        <v>1892</v>
      </c>
      <c r="B390">
        <v>1700</v>
      </c>
      <c r="C390">
        <v>246</v>
      </c>
      <c r="D390" t="s">
        <v>23</v>
      </c>
      <c r="E390" t="s">
        <v>16</v>
      </c>
      <c r="F390" t="s">
        <v>21</v>
      </c>
      <c r="G390" t="s">
        <v>24</v>
      </c>
      <c r="H390">
        <v>278.2</v>
      </c>
      <c r="I390">
        <v>257</v>
      </c>
      <c r="J390">
        <v>97.9</v>
      </c>
      <c r="K390">
        <v>67</v>
      </c>
      <c r="L390">
        <v>24.3</v>
      </c>
      <c r="M390">
        <v>12.5</v>
      </c>
      <c r="N390">
        <v>0.15556760609147399</v>
      </c>
      <c r="O390">
        <v>0.41852200265607098</v>
      </c>
    </row>
    <row r="391" spans="1:15" x14ac:dyDescent="0.3">
      <c r="A391">
        <v>1893</v>
      </c>
      <c r="B391">
        <v>1700</v>
      </c>
      <c r="C391">
        <v>246</v>
      </c>
      <c r="D391" t="s">
        <v>23</v>
      </c>
      <c r="E391" t="s">
        <v>16</v>
      </c>
      <c r="F391" t="s">
        <v>21</v>
      </c>
      <c r="G391" t="s">
        <v>24</v>
      </c>
      <c r="H391">
        <v>278.2</v>
      </c>
      <c r="I391">
        <v>257</v>
      </c>
      <c r="J391">
        <v>97.9</v>
      </c>
      <c r="K391">
        <v>67</v>
      </c>
      <c r="L391">
        <v>24.3</v>
      </c>
      <c r="M391">
        <v>12.5</v>
      </c>
      <c r="N391">
        <v>0.18610079140895799</v>
      </c>
      <c r="O391">
        <v>0.39996543449131799</v>
      </c>
    </row>
    <row r="392" spans="1:15" x14ac:dyDescent="0.3">
      <c r="A392">
        <v>1894</v>
      </c>
      <c r="B392">
        <v>1700</v>
      </c>
      <c r="C392">
        <v>246</v>
      </c>
      <c r="D392" t="s">
        <v>23</v>
      </c>
      <c r="E392" t="s">
        <v>16</v>
      </c>
      <c r="F392" t="s">
        <v>21</v>
      </c>
      <c r="G392" t="s">
        <v>24</v>
      </c>
      <c r="H392">
        <v>278.2</v>
      </c>
      <c r="I392">
        <v>257</v>
      </c>
      <c r="J392">
        <v>97.9</v>
      </c>
      <c r="K392">
        <v>67</v>
      </c>
      <c r="L392">
        <v>24.3</v>
      </c>
      <c r="M392">
        <v>12.5</v>
      </c>
      <c r="N392">
        <v>0.18187253251086899</v>
      </c>
      <c r="O392">
        <v>0.418317322735834</v>
      </c>
    </row>
    <row r="393" spans="1:15" x14ac:dyDescent="0.3">
      <c r="A393">
        <v>1907</v>
      </c>
      <c r="B393">
        <v>1705</v>
      </c>
      <c r="C393">
        <v>161</v>
      </c>
      <c r="D393" t="s">
        <v>15</v>
      </c>
      <c r="E393" t="s">
        <v>20</v>
      </c>
      <c r="F393" t="s">
        <v>21</v>
      </c>
      <c r="G393" t="s">
        <v>18</v>
      </c>
      <c r="H393">
        <v>274.8</v>
      </c>
      <c r="I393">
        <v>251.5</v>
      </c>
      <c r="J393">
        <v>97.3</v>
      </c>
      <c r="K393">
        <v>68.5</v>
      </c>
      <c r="L393">
        <v>27.2</v>
      </c>
      <c r="M393">
        <v>10.5</v>
      </c>
      <c r="N393">
        <v>4.7391357181433898E-2</v>
      </c>
      <c r="O393">
        <v>0.102270915319062</v>
      </c>
    </row>
    <row r="394" spans="1:15" x14ac:dyDescent="0.3">
      <c r="A394">
        <v>1908</v>
      </c>
      <c r="B394">
        <v>1705</v>
      </c>
      <c r="C394">
        <v>161</v>
      </c>
      <c r="D394" t="s">
        <v>15</v>
      </c>
      <c r="E394" t="s">
        <v>20</v>
      </c>
      <c r="F394" t="s">
        <v>21</v>
      </c>
      <c r="G394" t="s">
        <v>18</v>
      </c>
      <c r="H394">
        <v>274.8</v>
      </c>
      <c r="I394">
        <v>251.5</v>
      </c>
      <c r="J394">
        <v>97.3</v>
      </c>
      <c r="K394">
        <v>68.5</v>
      </c>
      <c r="L394">
        <v>27.2</v>
      </c>
      <c r="M394">
        <v>10.5</v>
      </c>
      <c r="N394">
        <v>6.3343830457052899E-2</v>
      </c>
      <c r="O394">
        <v>9.53608487551348E-2</v>
      </c>
    </row>
    <row r="395" spans="1:15" x14ac:dyDescent="0.3">
      <c r="A395">
        <v>1914</v>
      </c>
      <c r="B395">
        <v>1706</v>
      </c>
      <c r="C395">
        <v>352</v>
      </c>
      <c r="D395" t="s">
        <v>19</v>
      </c>
      <c r="E395" t="s">
        <v>16</v>
      </c>
      <c r="F395" t="s">
        <v>21</v>
      </c>
      <c r="G395" t="s">
        <v>24</v>
      </c>
      <c r="H395">
        <v>274.7</v>
      </c>
      <c r="I395">
        <v>253.5</v>
      </c>
      <c r="J395">
        <v>94.3</v>
      </c>
      <c r="K395">
        <v>65</v>
      </c>
      <c r="L395">
        <v>24.8</v>
      </c>
      <c r="M395">
        <v>6</v>
      </c>
      <c r="N395">
        <v>0.323274812519661</v>
      </c>
      <c r="O395">
        <v>3.5006068182419199E-2</v>
      </c>
    </row>
    <row r="396" spans="1:15" x14ac:dyDescent="0.3">
      <c r="A396">
        <v>1916</v>
      </c>
      <c r="B396">
        <v>1707</v>
      </c>
      <c r="C396">
        <v>62</v>
      </c>
      <c r="D396" t="s">
        <v>19</v>
      </c>
      <c r="E396" t="s">
        <v>20</v>
      </c>
      <c r="F396" t="s">
        <v>17</v>
      </c>
      <c r="G396" t="s">
        <v>22</v>
      </c>
      <c r="H396">
        <v>274.5</v>
      </c>
      <c r="I396">
        <v>256.5</v>
      </c>
      <c r="J396">
        <v>98.4</v>
      </c>
      <c r="K396">
        <v>71.5</v>
      </c>
      <c r="L396">
        <v>29.3</v>
      </c>
      <c r="M396">
        <v>6</v>
      </c>
      <c r="N396">
        <v>0.25138853249565801</v>
      </c>
      <c r="O396">
        <v>0.14188320341213601</v>
      </c>
    </row>
    <row r="397" spans="1:15" x14ac:dyDescent="0.3">
      <c r="A397">
        <v>1918</v>
      </c>
      <c r="B397">
        <v>1708</v>
      </c>
      <c r="C397">
        <v>454</v>
      </c>
      <c r="D397" t="s">
        <v>23</v>
      </c>
      <c r="E397" t="s">
        <v>16</v>
      </c>
      <c r="F397" t="s">
        <v>17</v>
      </c>
      <c r="G397" t="s">
        <v>18</v>
      </c>
      <c r="H397">
        <v>272.8</v>
      </c>
      <c r="I397">
        <v>242.5</v>
      </c>
      <c r="J397">
        <v>92.2</v>
      </c>
      <c r="K397">
        <v>67</v>
      </c>
      <c r="L397">
        <v>26.4</v>
      </c>
      <c r="M397">
        <v>6</v>
      </c>
      <c r="N397">
        <v>0.19689844888456901</v>
      </c>
      <c r="O397">
        <v>0.33200629383187902</v>
      </c>
    </row>
    <row r="398" spans="1:15" x14ac:dyDescent="0.3">
      <c r="A398">
        <v>1919</v>
      </c>
      <c r="B398">
        <v>1708</v>
      </c>
      <c r="C398">
        <v>454</v>
      </c>
      <c r="D398" t="s">
        <v>23</v>
      </c>
      <c r="E398" t="s">
        <v>16</v>
      </c>
      <c r="F398" t="s">
        <v>17</v>
      </c>
      <c r="G398" t="s">
        <v>18</v>
      </c>
      <c r="H398">
        <v>272.8</v>
      </c>
      <c r="I398">
        <v>242.5</v>
      </c>
      <c r="J398">
        <v>92.2</v>
      </c>
      <c r="K398">
        <v>67</v>
      </c>
      <c r="L398">
        <v>26.4</v>
      </c>
      <c r="M398">
        <v>6</v>
      </c>
      <c r="N398">
        <v>0.20392884808822101</v>
      </c>
      <c r="O398">
        <v>0.31617285146411001</v>
      </c>
    </row>
    <row r="399" spans="1:15" x14ac:dyDescent="0.3">
      <c r="A399">
        <v>1920</v>
      </c>
      <c r="B399">
        <v>1708</v>
      </c>
      <c r="C399">
        <v>454</v>
      </c>
      <c r="D399" t="s">
        <v>23</v>
      </c>
      <c r="E399" t="s">
        <v>16</v>
      </c>
      <c r="F399" t="s">
        <v>17</v>
      </c>
      <c r="G399" t="s">
        <v>18</v>
      </c>
      <c r="H399">
        <v>272.8</v>
      </c>
      <c r="I399">
        <v>242.5</v>
      </c>
      <c r="J399">
        <v>92.2</v>
      </c>
      <c r="K399">
        <v>67</v>
      </c>
      <c r="L399">
        <v>26.4</v>
      </c>
      <c r="M399">
        <v>6</v>
      </c>
      <c r="N399">
        <v>0.20512107320839701</v>
      </c>
      <c r="O399">
        <v>0.32738137577325399</v>
      </c>
    </row>
    <row r="400" spans="1:15" x14ac:dyDescent="0.3">
      <c r="A400">
        <v>1921</v>
      </c>
      <c r="B400">
        <v>1708</v>
      </c>
      <c r="C400">
        <v>454</v>
      </c>
      <c r="D400" t="s">
        <v>23</v>
      </c>
      <c r="E400" t="s">
        <v>16</v>
      </c>
      <c r="F400" t="s">
        <v>17</v>
      </c>
      <c r="G400" t="s">
        <v>18</v>
      </c>
      <c r="H400">
        <v>272.8</v>
      </c>
      <c r="I400">
        <v>242.5</v>
      </c>
      <c r="J400">
        <v>92.2</v>
      </c>
      <c r="K400">
        <v>67</v>
      </c>
      <c r="L400">
        <v>26.4</v>
      </c>
      <c r="M400">
        <v>6</v>
      </c>
      <c r="N400">
        <v>0.20427597298873601</v>
      </c>
      <c r="O400">
        <v>0.32967579515080703</v>
      </c>
    </row>
    <row r="401" spans="1:15" x14ac:dyDescent="0.3">
      <c r="A401">
        <v>1922</v>
      </c>
      <c r="B401">
        <v>1708</v>
      </c>
      <c r="C401">
        <v>454</v>
      </c>
      <c r="D401" t="s">
        <v>23</v>
      </c>
      <c r="E401" t="s">
        <v>16</v>
      </c>
      <c r="F401" t="s">
        <v>17</v>
      </c>
      <c r="G401" t="s">
        <v>18</v>
      </c>
      <c r="H401">
        <v>272.8</v>
      </c>
      <c r="I401">
        <v>242.5</v>
      </c>
      <c r="J401">
        <v>92.2</v>
      </c>
      <c r="K401">
        <v>67</v>
      </c>
      <c r="L401">
        <v>26.4</v>
      </c>
      <c r="M401">
        <v>6</v>
      </c>
      <c r="N401">
        <v>0.199051908281214</v>
      </c>
      <c r="O401">
        <v>0.32902680562869002</v>
      </c>
    </row>
    <row r="402" spans="1:15" x14ac:dyDescent="0.3">
      <c r="A402">
        <v>1923</v>
      </c>
      <c r="B402">
        <v>1708</v>
      </c>
      <c r="C402">
        <v>454</v>
      </c>
      <c r="D402" t="s">
        <v>23</v>
      </c>
      <c r="E402" t="s">
        <v>16</v>
      </c>
      <c r="F402" t="s">
        <v>17</v>
      </c>
      <c r="G402" t="s">
        <v>18</v>
      </c>
      <c r="H402">
        <v>272.8</v>
      </c>
      <c r="I402">
        <v>242.5</v>
      </c>
      <c r="J402">
        <v>92.2</v>
      </c>
      <c r="K402">
        <v>67</v>
      </c>
      <c r="L402">
        <v>26.4</v>
      </c>
      <c r="M402">
        <v>6</v>
      </c>
      <c r="N402">
        <v>0.20888322726029099</v>
      </c>
      <c r="O402">
        <v>0.31182107848510898</v>
      </c>
    </row>
    <row r="403" spans="1:15" x14ac:dyDescent="0.3">
      <c r="A403">
        <v>1926</v>
      </c>
      <c r="B403">
        <v>171</v>
      </c>
      <c r="C403">
        <v>413</v>
      </c>
      <c r="D403" t="s">
        <v>19</v>
      </c>
      <c r="E403" t="s">
        <v>20</v>
      </c>
      <c r="F403" t="s">
        <v>17</v>
      </c>
      <c r="G403" t="s">
        <v>24</v>
      </c>
      <c r="H403">
        <v>279</v>
      </c>
      <c r="I403">
        <v>247.5</v>
      </c>
      <c r="J403">
        <v>93.5</v>
      </c>
      <c r="K403">
        <v>66</v>
      </c>
      <c r="L403">
        <v>25.5</v>
      </c>
      <c r="M403">
        <v>10</v>
      </c>
      <c r="N403">
        <v>0.20268549562788099</v>
      </c>
      <c r="O403">
        <v>5.0298601765666799E-2</v>
      </c>
    </row>
    <row r="404" spans="1:15" x14ac:dyDescent="0.3">
      <c r="A404">
        <v>1927</v>
      </c>
      <c r="B404">
        <v>171</v>
      </c>
      <c r="C404">
        <v>413</v>
      </c>
      <c r="D404" t="s">
        <v>19</v>
      </c>
      <c r="E404" t="s">
        <v>20</v>
      </c>
      <c r="F404" t="s">
        <v>17</v>
      </c>
      <c r="G404" t="s">
        <v>24</v>
      </c>
      <c r="H404">
        <v>279</v>
      </c>
      <c r="I404">
        <v>247.5</v>
      </c>
      <c r="J404">
        <v>93.5</v>
      </c>
      <c r="K404">
        <v>66</v>
      </c>
      <c r="L404">
        <v>25.5</v>
      </c>
      <c r="M404">
        <v>10</v>
      </c>
      <c r="N404">
        <v>0.225704356845226</v>
      </c>
      <c r="O404">
        <v>5.7374197562593099E-2</v>
      </c>
    </row>
    <row r="405" spans="1:15" x14ac:dyDescent="0.3">
      <c r="A405">
        <v>1928</v>
      </c>
      <c r="B405">
        <v>171</v>
      </c>
      <c r="C405">
        <v>413</v>
      </c>
      <c r="D405" t="s">
        <v>19</v>
      </c>
      <c r="E405" t="s">
        <v>20</v>
      </c>
      <c r="F405" t="s">
        <v>17</v>
      </c>
      <c r="G405" t="s">
        <v>24</v>
      </c>
      <c r="H405">
        <v>279</v>
      </c>
      <c r="I405">
        <v>247.5</v>
      </c>
      <c r="J405">
        <v>93.5</v>
      </c>
      <c r="K405">
        <v>66</v>
      </c>
      <c r="L405">
        <v>25.5</v>
      </c>
      <c r="M405">
        <v>10</v>
      </c>
      <c r="N405">
        <v>0.20863735430562599</v>
      </c>
      <c r="O405">
        <v>4.3819675570144698E-2</v>
      </c>
    </row>
    <row r="406" spans="1:15" x14ac:dyDescent="0.3">
      <c r="A406">
        <v>1941</v>
      </c>
      <c r="B406">
        <v>1713</v>
      </c>
      <c r="C406">
        <v>75</v>
      </c>
      <c r="D406" t="s">
        <v>15</v>
      </c>
      <c r="E406" t="s">
        <v>20</v>
      </c>
      <c r="F406" t="s">
        <v>21</v>
      </c>
      <c r="G406" t="s">
        <v>18</v>
      </c>
      <c r="H406">
        <v>278</v>
      </c>
      <c r="I406">
        <v>259</v>
      </c>
      <c r="J406">
        <v>97.6</v>
      </c>
      <c r="K406">
        <v>68.5</v>
      </c>
      <c r="L406">
        <v>26.2</v>
      </c>
      <c r="M406">
        <v>4</v>
      </c>
      <c r="N406">
        <v>0.16443505597639399</v>
      </c>
      <c r="O406">
        <v>0.183820548344337</v>
      </c>
    </row>
    <row r="407" spans="1:15" x14ac:dyDescent="0.3">
      <c r="A407">
        <v>1942</v>
      </c>
      <c r="B407">
        <v>1713</v>
      </c>
      <c r="C407">
        <v>75</v>
      </c>
      <c r="D407" t="s">
        <v>15</v>
      </c>
      <c r="E407" t="s">
        <v>20</v>
      </c>
      <c r="F407" t="s">
        <v>21</v>
      </c>
      <c r="G407" t="s">
        <v>18</v>
      </c>
      <c r="H407">
        <v>278</v>
      </c>
      <c r="I407">
        <v>259</v>
      </c>
      <c r="J407">
        <v>97.6</v>
      </c>
      <c r="K407">
        <v>68.5</v>
      </c>
      <c r="L407">
        <v>26.2</v>
      </c>
      <c r="M407">
        <v>4</v>
      </c>
      <c r="N407">
        <v>0.14065733840085101</v>
      </c>
      <c r="O407">
        <v>0.164731733264701</v>
      </c>
    </row>
    <row r="408" spans="1:15" x14ac:dyDescent="0.3">
      <c r="A408">
        <v>1943</v>
      </c>
      <c r="B408">
        <v>1713</v>
      </c>
      <c r="C408">
        <v>75</v>
      </c>
      <c r="D408" t="s">
        <v>15</v>
      </c>
      <c r="E408" t="s">
        <v>20</v>
      </c>
      <c r="F408" t="s">
        <v>21</v>
      </c>
      <c r="G408" t="s">
        <v>18</v>
      </c>
      <c r="H408">
        <v>278</v>
      </c>
      <c r="I408">
        <v>259</v>
      </c>
      <c r="J408">
        <v>97.6</v>
      </c>
      <c r="K408">
        <v>68.5</v>
      </c>
      <c r="L408">
        <v>26.2</v>
      </c>
      <c r="M408">
        <v>4</v>
      </c>
      <c r="N408">
        <v>0.143426918759229</v>
      </c>
      <c r="O408">
        <v>0.148213050797706</v>
      </c>
    </row>
    <row r="409" spans="1:15" x14ac:dyDescent="0.3">
      <c r="A409">
        <v>1964</v>
      </c>
      <c r="B409">
        <v>1722</v>
      </c>
      <c r="C409">
        <v>179</v>
      </c>
      <c r="D409" t="s">
        <v>19</v>
      </c>
      <c r="E409" t="s">
        <v>16</v>
      </c>
      <c r="F409" t="s">
        <v>21</v>
      </c>
      <c r="G409" t="s">
        <v>24</v>
      </c>
      <c r="H409">
        <v>276</v>
      </c>
      <c r="I409">
        <v>241.5</v>
      </c>
      <c r="J409">
        <v>96.5</v>
      </c>
      <c r="K409">
        <v>66.5</v>
      </c>
      <c r="L409">
        <v>25.1</v>
      </c>
      <c r="M409">
        <v>9.5</v>
      </c>
      <c r="N409">
        <v>0.104718849625959</v>
      </c>
      <c r="O409">
        <v>0.14539474647560499</v>
      </c>
    </row>
    <row r="410" spans="1:15" x14ac:dyDescent="0.3">
      <c r="A410">
        <v>1965</v>
      </c>
      <c r="B410">
        <v>1722</v>
      </c>
      <c r="C410">
        <v>179</v>
      </c>
      <c r="D410" t="s">
        <v>19</v>
      </c>
      <c r="E410" t="s">
        <v>16</v>
      </c>
      <c r="F410" t="s">
        <v>21</v>
      </c>
      <c r="G410" t="s">
        <v>24</v>
      </c>
      <c r="H410">
        <v>276</v>
      </c>
      <c r="I410">
        <v>241.5</v>
      </c>
      <c r="J410">
        <v>96.5</v>
      </c>
      <c r="K410">
        <v>66.5</v>
      </c>
      <c r="L410">
        <v>25.1</v>
      </c>
      <c r="M410">
        <v>9.5</v>
      </c>
      <c r="N410">
        <v>8.4691382571470505E-2</v>
      </c>
      <c r="O410">
        <v>0.17974799719738199</v>
      </c>
    </row>
    <row r="411" spans="1:15" x14ac:dyDescent="0.3">
      <c r="A411">
        <v>1966</v>
      </c>
      <c r="B411">
        <v>1723</v>
      </c>
      <c r="C411">
        <v>345</v>
      </c>
      <c r="D411" t="s">
        <v>19</v>
      </c>
      <c r="E411" t="s">
        <v>20</v>
      </c>
      <c r="F411" t="s">
        <v>21</v>
      </c>
      <c r="G411" t="s">
        <v>22</v>
      </c>
      <c r="H411">
        <v>277.60000000000002</v>
      </c>
      <c r="I411">
        <v>252.5</v>
      </c>
      <c r="J411">
        <v>98.4</v>
      </c>
      <c r="K411">
        <v>67.5</v>
      </c>
      <c r="L411">
        <v>25.8</v>
      </c>
      <c r="M411">
        <v>13.5</v>
      </c>
      <c r="N411">
        <v>0.142961196080505</v>
      </c>
      <c r="O411">
        <v>0.123236832434634</v>
      </c>
    </row>
    <row r="412" spans="1:15" x14ac:dyDescent="0.3">
      <c r="A412">
        <v>1967</v>
      </c>
      <c r="B412">
        <v>1723</v>
      </c>
      <c r="C412">
        <v>345</v>
      </c>
      <c r="D412" t="s">
        <v>19</v>
      </c>
      <c r="E412" t="s">
        <v>20</v>
      </c>
      <c r="F412" t="s">
        <v>21</v>
      </c>
      <c r="G412" t="s">
        <v>22</v>
      </c>
      <c r="H412">
        <v>277.60000000000002</v>
      </c>
      <c r="I412">
        <v>252.5</v>
      </c>
      <c r="J412">
        <v>98.4</v>
      </c>
      <c r="K412">
        <v>67.5</v>
      </c>
      <c r="L412">
        <v>25.8</v>
      </c>
      <c r="M412">
        <v>13.5</v>
      </c>
      <c r="N412">
        <v>0.107887289988281</v>
      </c>
      <c r="O412">
        <v>0.114053046564456</v>
      </c>
    </row>
    <row r="413" spans="1:15" x14ac:dyDescent="0.3">
      <c r="A413">
        <v>1968</v>
      </c>
      <c r="B413">
        <v>1723</v>
      </c>
      <c r="C413">
        <v>345</v>
      </c>
      <c r="D413" t="s">
        <v>19</v>
      </c>
      <c r="E413" t="s">
        <v>20</v>
      </c>
      <c r="F413" t="s">
        <v>21</v>
      </c>
      <c r="G413" t="s">
        <v>22</v>
      </c>
      <c r="H413">
        <v>277.60000000000002</v>
      </c>
      <c r="I413">
        <v>252.5</v>
      </c>
      <c r="J413">
        <v>98.4</v>
      </c>
      <c r="K413">
        <v>67.5</v>
      </c>
      <c r="L413">
        <v>25.8</v>
      </c>
      <c r="M413">
        <v>13.5</v>
      </c>
      <c r="N413">
        <v>0.11990750836681301</v>
      </c>
      <c r="O413">
        <v>0.129178499571975</v>
      </c>
    </row>
    <row r="414" spans="1:15" x14ac:dyDescent="0.3">
      <c r="A414">
        <v>1969</v>
      </c>
      <c r="B414">
        <v>1723</v>
      </c>
      <c r="C414">
        <v>345</v>
      </c>
      <c r="D414" t="s">
        <v>19</v>
      </c>
      <c r="E414" t="s">
        <v>20</v>
      </c>
      <c r="F414" t="s">
        <v>21</v>
      </c>
      <c r="G414" t="s">
        <v>22</v>
      </c>
      <c r="H414">
        <v>277.60000000000002</v>
      </c>
      <c r="I414">
        <v>252.5</v>
      </c>
      <c r="J414">
        <v>98.4</v>
      </c>
      <c r="K414">
        <v>67.5</v>
      </c>
      <c r="L414">
        <v>25.8</v>
      </c>
      <c r="M414">
        <v>13.5</v>
      </c>
      <c r="N414">
        <v>0.131308952947295</v>
      </c>
      <c r="O414">
        <v>0.10576222980823299</v>
      </c>
    </row>
    <row r="415" spans="1:15" x14ac:dyDescent="0.3">
      <c r="A415">
        <v>1970</v>
      </c>
      <c r="B415">
        <v>1725</v>
      </c>
      <c r="C415">
        <v>306</v>
      </c>
      <c r="D415" t="s">
        <v>23</v>
      </c>
      <c r="E415" t="s">
        <v>16</v>
      </c>
      <c r="F415" t="s">
        <v>21</v>
      </c>
      <c r="G415" t="s">
        <v>25</v>
      </c>
      <c r="H415">
        <v>274.39999999999998</v>
      </c>
      <c r="I415">
        <v>249</v>
      </c>
      <c r="J415">
        <v>95.3</v>
      </c>
      <c r="K415">
        <v>69.5</v>
      </c>
      <c r="L415">
        <v>27.8</v>
      </c>
      <c r="M415">
        <v>5.5</v>
      </c>
      <c r="N415">
        <v>0.16353342482171301</v>
      </c>
      <c r="O415">
        <v>0.42676105397378999</v>
      </c>
    </row>
    <row r="416" spans="1:15" x14ac:dyDescent="0.3">
      <c r="A416">
        <v>1971</v>
      </c>
      <c r="B416">
        <v>1725</v>
      </c>
      <c r="C416">
        <v>306</v>
      </c>
      <c r="D416" t="s">
        <v>23</v>
      </c>
      <c r="E416" t="s">
        <v>16</v>
      </c>
      <c r="F416" t="s">
        <v>21</v>
      </c>
      <c r="G416" t="s">
        <v>25</v>
      </c>
      <c r="H416">
        <v>274.39999999999998</v>
      </c>
      <c r="I416">
        <v>249</v>
      </c>
      <c r="J416">
        <v>95.3</v>
      </c>
      <c r="K416">
        <v>69.5</v>
      </c>
      <c r="L416">
        <v>27.8</v>
      </c>
      <c r="M416">
        <v>5.5</v>
      </c>
      <c r="N416">
        <v>0.15287725094222801</v>
      </c>
      <c r="O416">
        <v>0.4035959067305</v>
      </c>
    </row>
    <row r="417" spans="1:15" x14ac:dyDescent="0.3">
      <c r="A417">
        <v>1977</v>
      </c>
      <c r="B417">
        <v>173</v>
      </c>
      <c r="C417">
        <v>29</v>
      </c>
      <c r="D417" t="s">
        <v>19</v>
      </c>
      <c r="E417" t="s">
        <v>20</v>
      </c>
      <c r="F417" t="s">
        <v>17</v>
      </c>
      <c r="G417" t="s">
        <v>22</v>
      </c>
      <c r="H417">
        <v>276.60000000000002</v>
      </c>
      <c r="I417">
        <v>256.5</v>
      </c>
      <c r="J417">
        <v>98.4</v>
      </c>
      <c r="K417">
        <v>67.5</v>
      </c>
      <c r="L417">
        <v>28.3</v>
      </c>
      <c r="M417">
        <v>8</v>
      </c>
      <c r="N417">
        <v>0.207860257176883</v>
      </c>
      <c r="O417">
        <v>7.7546580022356607E-2</v>
      </c>
    </row>
    <row r="418" spans="1:15" x14ac:dyDescent="0.3">
      <c r="A418">
        <v>1978</v>
      </c>
      <c r="B418">
        <v>173</v>
      </c>
      <c r="C418">
        <v>29</v>
      </c>
      <c r="D418" t="s">
        <v>19</v>
      </c>
      <c r="E418" t="s">
        <v>20</v>
      </c>
      <c r="F418" t="s">
        <v>17</v>
      </c>
      <c r="G418" t="s">
        <v>22</v>
      </c>
      <c r="H418">
        <v>276.60000000000002</v>
      </c>
      <c r="I418">
        <v>256.5</v>
      </c>
      <c r="J418">
        <v>98.4</v>
      </c>
      <c r="K418">
        <v>67.5</v>
      </c>
      <c r="L418">
        <v>28.3</v>
      </c>
      <c r="M418">
        <v>8</v>
      </c>
      <c r="N418">
        <v>0.21317802984765399</v>
      </c>
      <c r="O418">
        <v>0.108183488421322</v>
      </c>
    </row>
    <row r="419" spans="1:15" x14ac:dyDescent="0.3">
      <c r="A419">
        <v>1983</v>
      </c>
      <c r="B419">
        <v>1734</v>
      </c>
      <c r="C419">
        <v>479</v>
      </c>
      <c r="D419" t="s">
        <v>19</v>
      </c>
      <c r="E419" t="s">
        <v>20</v>
      </c>
      <c r="F419" t="s">
        <v>17</v>
      </c>
      <c r="G419" t="s">
        <v>22</v>
      </c>
      <c r="H419">
        <v>275.60000000000002</v>
      </c>
      <c r="I419">
        <v>254</v>
      </c>
      <c r="J419">
        <v>99.7</v>
      </c>
      <c r="K419">
        <v>68</v>
      </c>
      <c r="L419">
        <v>26.4</v>
      </c>
      <c r="M419">
        <v>8</v>
      </c>
      <c r="N419">
        <v>0.33433571653924798</v>
      </c>
      <c r="O419">
        <v>4.7527562725039801E-2</v>
      </c>
    </row>
    <row r="420" spans="1:15" x14ac:dyDescent="0.3">
      <c r="A420">
        <v>2000</v>
      </c>
      <c r="B420">
        <v>1742</v>
      </c>
      <c r="C420">
        <v>31</v>
      </c>
      <c r="D420" t="s">
        <v>23</v>
      </c>
      <c r="E420" t="s">
        <v>16</v>
      </c>
      <c r="F420" t="s">
        <v>17</v>
      </c>
      <c r="G420" t="s">
        <v>24</v>
      </c>
      <c r="H420">
        <v>274</v>
      </c>
      <c r="I420">
        <v>250</v>
      </c>
      <c r="J420">
        <v>99.4</v>
      </c>
      <c r="K420">
        <v>68.5</v>
      </c>
      <c r="L420">
        <v>23.2</v>
      </c>
      <c r="M420">
        <v>10</v>
      </c>
      <c r="N420">
        <v>0.21302937061753399</v>
      </c>
      <c r="O420">
        <v>0.17777945180357399</v>
      </c>
    </row>
    <row r="421" spans="1:15" x14ac:dyDescent="0.3">
      <c r="A421">
        <v>2001</v>
      </c>
      <c r="B421">
        <v>1742</v>
      </c>
      <c r="C421">
        <v>31</v>
      </c>
      <c r="D421" t="s">
        <v>23</v>
      </c>
      <c r="E421" t="s">
        <v>16</v>
      </c>
      <c r="F421" t="s">
        <v>17</v>
      </c>
      <c r="G421" t="s">
        <v>24</v>
      </c>
      <c r="H421">
        <v>274</v>
      </c>
      <c r="I421">
        <v>250</v>
      </c>
      <c r="J421">
        <v>99.4</v>
      </c>
      <c r="K421">
        <v>68.5</v>
      </c>
      <c r="L421">
        <v>23.2</v>
      </c>
      <c r="M421">
        <v>10</v>
      </c>
      <c r="N421">
        <v>0.19566592341922101</v>
      </c>
      <c r="O421">
        <v>0.16171652006113901</v>
      </c>
    </row>
    <row r="422" spans="1:15" x14ac:dyDescent="0.3">
      <c r="A422">
        <v>2002</v>
      </c>
      <c r="B422">
        <v>1742</v>
      </c>
      <c r="C422">
        <v>31</v>
      </c>
      <c r="D422" t="s">
        <v>23</v>
      </c>
      <c r="E422" t="s">
        <v>16</v>
      </c>
      <c r="F422" t="s">
        <v>17</v>
      </c>
      <c r="G422" t="s">
        <v>24</v>
      </c>
      <c r="H422">
        <v>274</v>
      </c>
      <c r="I422">
        <v>250</v>
      </c>
      <c r="J422">
        <v>99.4</v>
      </c>
      <c r="K422">
        <v>68.5</v>
      </c>
      <c r="L422">
        <v>23.2</v>
      </c>
      <c r="M422">
        <v>10</v>
      </c>
      <c r="N422">
        <v>0.18868605719550799</v>
      </c>
      <c r="O422">
        <v>0.14113426403698501</v>
      </c>
    </row>
    <row r="423" spans="1:15" x14ac:dyDescent="0.3">
      <c r="A423">
        <v>2003</v>
      </c>
      <c r="B423">
        <v>1742</v>
      </c>
      <c r="C423">
        <v>31</v>
      </c>
      <c r="D423" t="s">
        <v>23</v>
      </c>
      <c r="E423" t="s">
        <v>16</v>
      </c>
      <c r="F423" t="s">
        <v>17</v>
      </c>
      <c r="G423" t="s">
        <v>24</v>
      </c>
      <c r="H423">
        <v>274</v>
      </c>
      <c r="I423">
        <v>250</v>
      </c>
      <c r="J423">
        <v>99.4</v>
      </c>
      <c r="K423">
        <v>68.5</v>
      </c>
      <c r="L423">
        <v>23.2</v>
      </c>
      <c r="M423">
        <v>10</v>
      </c>
      <c r="N423">
        <v>0.19286357261179701</v>
      </c>
      <c r="O423">
        <v>0.164100785049447</v>
      </c>
    </row>
    <row r="424" spans="1:15" x14ac:dyDescent="0.3">
      <c r="A424">
        <v>2005</v>
      </c>
      <c r="B424">
        <v>1744</v>
      </c>
      <c r="C424">
        <v>233</v>
      </c>
      <c r="D424" t="s">
        <v>19</v>
      </c>
      <c r="E424" t="s">
        <v>20</v>
      </c>
      <c r="F424" t="s">
        <v>21</v>
      </c>
      <c r="G424" t="s">
        <v>25</v>
      </c>
      <c r="H424">
        <v>274.7</v>
      </c>
      <c r="I424">
        <v>248.5</v>
      </c>
      <c r="J424">
        <v>95.9</v>
      </c>
      <c r="K424">
        <v>63.5</v>
      </c>
      <c r="L424">
        <v>27.6</v>
      </c>
      <c r="M424">
        <v>11</v>
      </c>
      <c r="N424">
        <v>2.4080938982485301E-2</v>
      </c>
      <c r="O424">
        <v>0.113354302202548</v>
      </c>
    </row>
    <row r="425" spans="1:15" x14ac:dyDescent="0.3">
      <c r="A425">
        <v>2007</v>
      </c>
      <c r="B425">
        <v>1744</v>
      </c>
      <c r="C425">
        <v>233</v>
      </c>
      <c r="D425" t="s">
        <v>19</v>
      </c>
      <c r="E425" t="s">
        <v>20</v>
      </c>
      <c r="F425" t="s">
        <v>21</v>
      </c>
      <c r="G425" t="s">
        <v>25</v>
      </c>
      <c r="H425">
        <v>274.7</v>
      </c>
      <c r="I425">
        <v>248.5</v>
      </c>
      <c r="J425">
        <v>95.9</v>
      </c>
      <c r="K425">
        <v>63.5</v>
      </c>
      <c r="L425">
        <v>27.6</v>
      </c>
      <c r="M425">
        <v>11</v>
      </c>
      <c r="N425">
        <v>2.9016929913985301E-2</v>
      </c>
      <c r="O425">
        <v>0.111943285963872</v>
      </c>
    </row>
    <row r="426" spans="1:15" x14ac:dyDescent="0.3">
      <c r="A426">
        <v>2008</v>
      </c>
      <c r="B426">
        <v>1744</v>
      </c>
      <c r="C426">
        <v>233</v>
      </c>
      <c r="D426" t="s">
        <v>19</v>
      </c>
      <c r="E426" t="s">
        <v>20</v>
      </c>
      <c r="F426" t="s">
        <v>21</v>
      </c>
      <c r="G426" t="s">
        <v>25</v>
      </c>
      <c r="H426">
        <v>274.7</v>
      </c>
      <c r="I426">
        <v>248.5</v>
      </c>
      <c r="J426">
        <v>95.9</v>
      </c>
      <c r="K426">
        <v>63.5</v>
      </c>
      <c r="L426">
        <v>27.6</v>
      </c>
      <c r="M426">
        <v>11</v>
      </c>
      <c r="N426">
        <v>3.5978915134313699E-2</v>
      </c>
      <c r="O426">
        <v>0.121206185594684</v>
      </c>
    </row>
    <row r="427" spans="1:15" x14ac:dyDescent="0.3">
      <c r="A427">
        <v>2009</v>
      </c>
      <c r="B427">
        <v>1745</v>
      </c>
      <c r="C427">
        <v>147</v>
      </c>
      <c r="D427" t="s">
        <v>19</v>
      </c>
      <c r="E427" t="s">
        <v>20</v>
      </c>
      <c r="F427" t="s">
        <v>17</v>
      </c>
      <c r="G427" t="s">
        <v>22</v>
      </c>
      <c r="H427">
        <v>274.7</v>
      </c>
      <c r="I427">
        <v>246</v>
      </c>
      <c r="J427">
        <v>94.8</v>
      </c>
      <c r="K427">
        <v>66.5</v>
      </c>
      <c r="L427">
        <v>23.6</v>
      </c>
      <c r="M427">
        <v>10.5</v>
      </c>
      <c r="N427">
        <v>0.13262691085991599</v>
      </c>
      <c r="O427">
        <v>0.12566718020366099</v>
      </c>
    </row>
    <row r="428" spans="1:15" x14ac:dyDescent="0.3">
      <c r="A428">
        <v>2010</v>
      </c>
      <c r="B428">
        <v>1745</v>
      </c>
      <c r="C428">
        <v>147</v>
      </c>
      <c r="D428" t="s">
        <v>19</v>
      </c>
      <c r="E428" t="s">
        <v>20</v>
      </c>
      <c r="F428" t="s">
        <v>17</v>
      </c>
      <c r="G428" t="s">
        <v>22</v>
      </c>
      <c r="H428">
        <v>274.7</v>
      </c>
      <c r="I428">
        <v>246</v>
      </c>
      <c r="J428">
        <v>94.8</v>
      </c>
      <c r="K428">
        <v>66.5</v>
      </c>
      <c r="L428">
        <v>23.6</v>
      </c>
      <c r="M428">
        <v>10.5</v>
      </c>
      <c r="N428">
        <v>0.11769268381060401</v>
      </c>
      <c r="O428">
        <v>0.106214056305588</v>
      </c>
    </row>
    <row r="429" spans="1:15" x14ac:dyDescent="0.3">
      <c r="A429">
        <v>2011</v>
      </c>
      <c r="B429">
        <v>1745</v>
      </c>
      <c r="C429">
        <v>147</v>
      </c>
      <c r="D429" t="s">
        <v>19</v>
      </c>
      <c r="E429" t="s">
        <v>20</v>
      </c>
      <c r="F429" t="s">
        <v>17</v>
      </c>
      <c r="G429" t="s">
        <v>22</v>
      </c>
      <c r="H429">
        <v>274.7</v>
      </c>
      <c r="I429">
        <v>246</v>
      </c>
      <c r="J429">
        <v>94.8</v>
      </c>
      <c r="K429">
        <v>66.5</v>
      </c>
      <c r="L429">
        <v>23.6</v>
      </c>
      <c r="M429">
        <v>10.5</v>
      </c>
      <c r="N429">
        <v>0.11149719869479099</v>
      </c>
      <c r="O429">
        <v>0.112294803646554</v>
      </c>
    </row>
    <row r="430" spans="1:15" x14ac:dyDescent="0.3">
      <c r="A430">
        <v>2012</v>
      </c>
      <c r="B430">
        <v>1746</v>
      </c>
      <c r="C430">
        <v>480</v>
      </c>
      <c r="D430" t="s">
        <v>19</v>
      </c>
      <c r="E430" t="s">
        <v>20</v>
      </c>
      <c r="F430" t="s">
        <v>21</v>
      </c>
      <c r="G430" t="s">
        <v>25</v>
      </c>
      <c r="H430">
        <v>275.8</v>
      </c>
      <c r="I430">
        <v>244</v>
      </c>
      <c r="J430">
        <v>94.4</v>
      </c>
      <c r="K430">
        <v>67.5</v>
      </c>
      <c r="L430">
        <v>24.4</v>
      </c>
      <c r="M430">
        <v>6</v>
      </c>
      <c r="N430">
        <v>0.14701977630559501</v>
      </c>
      <c r="O430">
        <v>0.192797406372029</v>
      </c>
    </row>
    <row r="431" spans="1:15" x14ac:dyDescent="0.3">
      <c r="A431">
        <v>2013</v>
      </c>
      <c r="B431">
        <v>1746</v>
      </c>
      <c r="C431">
        <v>480</v>
      </c>
      <c r="D431" t="s">
        <v>19</v>
      </c>
      <c r="E431" t="s">
        <v>20</v>
      </c>
      <c r="F431" t="s">
        <v>21</v>
      </c>
      <c r="G431" t="s">
        <v>25</v>
      </c>
      <c r="H431">
        <v>275.8</v>
      </c>
      <c r="I431">
        <v>244</v>
      </c>
      <c r="J431">
        <v>94.4</v>
      </c>
      <c r="K431">
        <v>67.5</v>
      </c>
      <c r="L431">
        <v>24.4</v>
      </c>
      <c r="M431">
        <v>6</v>
      </c>
      <c r="N431">
        <v>0.156626410082054</v>
      </c>
      <c r="O431">
        <v>0.188181214142039</v>
      </c>
    </row>
    <row r="432" spans="1:15" x14ac:dyDescent="0.3">
      <c r="A432">
        <v>2014</v>
      </c>
      <c r="B432">
        <v>1747</v>
      </c>
      <c r="C432">
        <v>497</v>
      </c>
      <c r="D432" t="s">
        <v>23</v>
      </c>
      <c r="E432" t="s">
        <v>20</v>
      </c>
      <c r="F432" t="s">
        <v>21</v>
      </c>
      <c r="G432" t="s">
        <v>25</v>
      </c>
      <c r="H432">
        <v>269.7</v>
      </c>
      <c r="I432">
        <v>245</v>
      </c>
      <c r="J432">
        <v>94</v>
      </c>
      <c r="K432">
        <v>67</v>
      </c>
      <c r="L432">
        <v>24.2</v>
      </c>
      <c r="M432">
        <v>9</v>
      </c>
      <c r="N432">
        <v>0.20278068472293201</v>
      </c>
      <c r="O432">
        <v>0.37942673595113002</v>
      </c>
    </row>
    <row r="433" spans="1:15" x14ac:dyDescent="0.3">
      <c r="A433">
        <v>2015</v>
      </c>
      <c r="B433">
        <v>1748</v>
      </c>
      <c r="C433">
        <v>466</v>
      </c>
      <c r="D433" t="s">
        <v>23</v>
      </c>
      <c r="E433" t="s">
        <v>20</v>
      </c>
      <c r="F433" t="s">
        <v>21</v>
      </c>
      <c r="G433" t="s">
        <v>26</v>
      </c>
      <c r="H433">
        <v>282.10000000000002</v>
      </c>
      <c r="I433">
        <v>257</v>
      </c>
      <c r="J433">
        <v>100.3</v>
      </c>
      <c r="K433">
        <v>68.5</v>
      </c>
      <c r="L433">
        <v>27.5</v>
      </c>
      <c r="M433">
        <v>11</v>
      </c>
      <c r="N433">
        <v>5.0188555762444402E-2</v>
      </c>
      <c r="O433">
        <v>0.281955744509232</v>
      </c>
    </row>
    <row r="434" spans="1:15" x14ac:dyDescent="0.3">
      <c r="A434">
        <v>2016</v>
      </c>
      <c r="B434">
        <v>1748</v>
      </c>
      <c r="C434">
        <v>466</v>
      </c>
      <c r="D434" t="s">
        <v>23</v>
      </c>
      <c r="E434" t="s">
        <v>20</v>
      </c>
      <c r="F434" t="s">
        <v>21</v>
      </c>
      <c r="G434" t="s">
        <v>26</v>
      </c>
      <c r="H434">
        <v>282.10000000000002</v>
      </c>
      <c r="I434">
        <v>257</v>
      </c>
      <c r="J434">
        <v>100.3</v>
      </c>
      <c r="K434">
        <v>68.5</v>
      </c>
      <c r="L434">
        <v>27.5</v>
      </c>
      <c r="M434">
        <v>11</v>
      </c>
      <c r="N434">
        <v>7.2177953786632498E-2</v>
      </c>
      <c r="O434">
        <v>0.26612744242161801</v>
      </c>
    </row>
    <row r="435" spans="1:15" x14ac:dyDescent="0.3">
      <c r="A435">
        <v>2017</v>
      </c>
      <c r="B435">
        <v>1748</v>
      </c>
      <c r="C435">
        <v>466</v>
      </c>
      <c r="D435" t="s">
        <v>23</v>
      </c>
      <c r="E435" t="s">
        <v>20</v>
      </c>
      <c r="F435" t="s">
        <v>21</v>
      </c>
      <c r="G435" t="s">
        <v>26</v>
      </c>
      <c r="H435">
        <v>282.10000000000002</v>
      </c>
      <c r="I435">
        <v>257</v>
      </c>
      <c r="J435">
        <v>100.3</v>
      </c>
      <c r="K435">
        <v>68.5</v>
      </c>
      <c r="L435">
        <v>27.5</v>
      </c>
      <c r="M435">
        <v>11</v>
      </c>
      <c r="N435">
        <v>6.81858139071648E-2</v>
      </c>
      <c r="O435">
        <v>0.267143313089094</v>
      </c>
    </row>
    <row r="436" spans="1:15" x14ac:dyDescent="0.3">
      <c r="A436">
        <v>2018</v>
      </c>
      <c r="B436">
        <v>1748</v>
      </c>
      <c r="C436">
        <v>466</v>
      </c>
      <c r="D436" t="s">
        <v>23</v>
      </c>
      <c r="E436" t="s">
        <v>20</v>
      </c>
      <c r="F436" t="s">
        <v>21</v>
      </c>
      <c r="G436" t="s">
        <v>26</v>
      </c>
      <c r="H436">
        <v>282.10000000000002</v>
      </c>
      <c r="I436">
        <v>257</v>
      </c>
      <c r="J436">
        <v>100.3</v>
      </c>
      <c r="K436">
        <v>68.5</v>
      </c>
      <c r="L436">
        <v>27.5</v>
      </c>
      <c r="M436">
        <v>11</v>
      </c>
      <c r="N436">
        <v>5.5473516191224197E-2</v>
      </c>
      <c r="O436">
        <v>0.30048803206872099</v>
      </c>
    </row>
    <row r="437" spans="1:15" x14ac:dyDescent="0.3">
      <c r="A437">
        <v>2019</v>
      </c>
      <c r="B437">
        <v>1749</v>
      </c>
      <c r="C437">
        <v>66</v>
      </c>
      <c r="D437" t="s">
        <v>23</v>
      </c>
      <c r="E437" t="s">
        <v>20</v>
      </c>
      <c r="F437" t="s">
        <v>21</v>
      </c>
      <c r="G437" t="s">
        <v>25</v>
      </c>
      <c r="H437">
        <v>276.2</v>
      </c>
      <c r="I437">
        <v>258</v>
      </c>
      <c r="J437">
        <v>95.8</v>
      </c>
      <c r="K437">
        <v>63.5</v>
      </c>
      <c r="L437">
        <v>26.4</v>
      </c>
      <c r="M437">
        <v>7</v>
      </c>
      <c r="N437">
        <v>0.15825171025887499</v>
      </c>
      <c r="O437">
        <v>0.24321472649614401</v>
      </c>
    </row>
    <row r="438" spans="1:15" x14ac:dyDescent="0.3">
      <c r="A438">
        <v>2031</v>
      </c>
      <c r="B438">
        <v>1752</v>
      </c>
      <c r="C438">
        <v>345</v>
      </c>
      <c r="D438" t="s">
        <v>19</v>
      </c>
      <c r="E438" t="s">
        <v>20</v>
      </c>
      <c r="F438" t="s">
        <v>17</v>
      </c>
      <c r="G438" t="s">
        <v>22</v>
      </c>
      <c r="H438">
        <v>277.60000000000002</v>
      </c>
      <c r="I438">
        <v>252.5</v>
      </c>
      <c r="J438">
        <v>98.4</v>
      </c>
      <c r="K438">
        <v>67.5</v>
      </c>
      <c r="L438">
        <v>25.8</v>
      </c>
      <c r="M438">
        <v>13.5</v>
      </c>
      <c r="N438">
        <v>9.9375022481300104E-2</v>
      </c>
      <c r="O438">
        <v>0.11610782297715599</v>
      </c>
    </row>
    <row r="439" spans="1:15" x14ac:dyDescent="0.3">
      <c r="A439">
        <v>2032</v>
      </c>
      <c r="B439">
        <v>1752</v>
      </c>
      <c r="C439">
        <v>345</v>
      </c>
      <c r="D439" t="s">
        <v>19</v>
      </c>
      <c r="E439" t="s">
        <v>20</v>
      </c>
      <c r="F439" t="s">
        <v>17</v>
      </c>
      <c r="G439" t="s">
        <v>22</v>
      </c>
      <c r="H439">
        <v>277.60000000000002</v>
      </c>
      <c r="I439">
        <v>252.5</v>
      </c>
      <c r="J439">
        <v>98.4</v>
      </c>
      <c r="K439">
        <v>67.5</v>
      </c>
      <c r="L439">
        <v>25.8</v>
      </c>
      <c r="M439">
        <v>13.5</v>
      </c>
      <c r="N439">
        <v>0.103014894038491</v>
      </c>
      <c r="O439">
        <v>0.10511027057462</v>
      </c>
    </row>
    <row r="440" spans="1:15" x14ac:dyDescent="0.3">
      <c r="A440">
        <v>2033</v>
      </c>
      <c r="B440">
        <v>1752</v>
      </c>
      <c r="C440">
        <v>345</v>
      </c>
      <c r="D440" t="s">
        <v>19</v>
      </c>
      <c r="E440" t="s">
        <v>20</v>
      </c>
      <c r="F440" t="s">
        <v>17</v>
      </c>
      <c r="G440" t="s">
        <v>22</v>
      </c>
      <c r="H440">
        <v>277.60000000000002</v>
      </c>
      <c r="I440">
        <v>252.5</v>
      </c>
      <c r="J440">
        <v>98.4</v>
      </c>
      <c r="K440">
        <v>67.5</v>
      </c>
      <c r="L440">
        <v>25.8</v>
      </c>
      <c r="M440">
        <v>13.5</v>
      </c>
      <c r="N440">
        <v>0.113208248327129</v>
      </c>
      <c r="O440">
        <v>0.10635816732865599</v>
      </c>
    </row>
    <row r="441" spans="1:15" x14ac:dyDescent="0.3">
      <c r="A441">
        <v>2047</v>
      </c>
      <c r="B441">
        <v>1758</v>
      </c>
      <c r="C441">
        <v>314</v>
      </c>
      <c r="D441" t="s">
        <v>19</v>
      </c>
      <c r="E441" t="s">
        <v>20</v>
      </c>
      <c r="F441" t="s">
        <v>21</v>
      </c>
      <c r="G441" t="s">
        <v>25</v>
      </c>
      <c r="H441">
        <v>273.5</v>
      </c>
      <c r="I441">
        <v>251.5</v>
      </c>
      <c r="J441">
        <v>97.5</v>
      </c>
      <c r="K441">
        <v>65</v>
      </c>
      <c r="L441">
        <v>25.5</v>
      </c>
      <c r="M441">
        <v>13</v>
      </c>
      <c r="N441">
        <v>0.23194394182702999</v>
      </c>
      <c r="O441">
        <v>9.7388267591226402E-2</v>
      </c>
    </row>
    <row r="442" spans="1:15" x14ac:dyDescent="0.3">
      <c r="A442">
        <v>2048</v>
      </c>
      <c r="B442">
        <v>1758</v>
      </c>
      <c r="C442">
        <v>314</v>
      </c>
      <c r="D442" t="s">
        <v>19</v>
      </c>
      <c r="E442" t="s">
        <v>20</v>
      </c>
      <c r="F442" t="s">
        <v>21</v>
      </c>
      <c r="G442" t="s">
        <v>25</v>
      </c>
      <c r="H442">
        <v>273.5</v>
      </c>
      <c r="I442">
        <v>251.5</v>
      </c>
      <c r="J442">
        <v>97.5</v>
      </c>
      <c r="K442">
        <v>65</v>
      </c>
      <c r="L442">
        <v>25.5</v>
      </c>
      <c r="M442">
        <v>13</v>
      </c>
      <c r="N442">
        <v>0.25692887673857401</v>
      </c>
      <c r="O442">
        <v>0.103607587470426</v>
      </c>
    </row>
    <row r="443" spans="1:15" x14ac:dyDescent="0.3">
      <c r="A443">
        <v>2049</v>
      </c>
      <c r="B443">
        <v>1759</v>
      </c>
      <c r="C443">
        <v>323</v>
      </c>
      <c r="D443" t="s">
        <v>19</v>
      </c>
      <c r="E443" t="s">
        <v>20</v>
      </c>
      <c r="F443" t="s">
        <v>21</v>
      </c>
      <c r="G443" t="s">
        <v>22</v>
      </c>
      <c r="H443">
        <v>274.7</v>
      </c>
      <c r="I443">
        <v>257.5</v>
      </c>
      <c r="J443">
        <v>95.6</v>
      </c>
      <c r="K443">
        <v>69</v>
      </c>
      <c r="L443">
        <v>23.8</v>
      </c>
      <c r="M443">
        <v>8</v>
      </c>
      <c r="N443">
        <v>0.104379643250846</v>
      </c>
      <c r="O443">
        <v>0.190262026698791</v>
      </c>
    </row>
    <row r="444" spans="1:15" x14ac:dyDescent="0.3">
      <c r="A444">
        <v>2051</v>
      </c>
      <c r="B444">
        <v>1759</v>
      </c>
      <c r="C444">
        <v>323</v>
      </c>
      <c r="D444" t="s">
        <v>19</v>
      </c>
      <c r="E444" t="s">
        <v>20</v>
      </c>
      <c r="F444" t="s">
        <v>21</v>
      </c>
      <c r="G444" t="s">
        <v>22</v>
      </c>
      <c r="H444">
        <v>274.7</v>
      </c>
      <c r="I444">
        <v>257.5</v>
      </c>
      <c r="J444">
        <v>95.6</v>
      </c>
      <c r="K444">
        <v>69</v>
      </c>
      <c r="L444">
        <v>23.8</v>
      </c>
      <c r="M444">
        <v>8</v>
      </c>
      <c r="N444">
        <v>0.11944745177326201</v>
      </c>
      <c r="O444">
        <v>0.19142669698763401</v>
      </c>
    </row>
    <row r="445" spans="1:15" x14ac:dyDescent="0.3">
      <c r="A445">
        <v>2065</v>
      </c>
      <c r="B445">
        <v>1763</v>
      </c>
      <c r="C445">
        <v>113</v>
      </c>
      <c r="D445" t="s">
        <v>19</v>
      </c>
      <c r="E445" t="s">
        <v>16</v>
      </c>
      <c r="F445" t="s">
        <v>21</v>
      </c>
      <c r="G445" t="s">
        <v>25</v>
      </c>
      <c r="H445">
        <v>275.7</v>
      </c>
      <c r="I445">
        <v>248.5</v>
      </c>
      <c r="J445">
        <v>93.8</v>
      </c>
      <c r="K445">
        <v>64.5</v>
      </c>
      <c r="L445">
        <v>26.8</v>
      </c>
      <c r="M445">
        <v>9.5</v>
      </c>
      <c r="N445">
        <v>6.0683127397553202E-2</v>
      </c>
      <c r="O445">
        <v>0.146122167117896</v>
      </c>
    </row>
    <row r="446" spans="1:15" x14ac:dyDescent="0.3">
      <c r="A446">
        <v>2066</v>
      </c>
      <c r="B446">
        <v>1763</v>
      </c>
      <c r="C446">
        <v>113</v>
      </c>
      <c r="D446" t="s">
        <v>19</v>
      </c>
      <c r="E446" t="s">
        <v>16</v>
      </c>
      <c r="F446" t="s">
        <v>21</v>
      </c>
      <c r="G446" t="s">
        <v>25</v>
      </c>
      <c r="H446">
        <v>275.7</v>
      </c>
      <c r="I446">
        <v>248.5</v>
      </c>
      <c r="J446">
        <v>93.8</v>
      </c>
      <c r="K446">
        <v>64.5</v>
      </c>
      <c r="L446">
        <v>26.8</v>
      </c>
      <c r="M446">
        <v>9.5</v>
      </c>
      <c r="N446">
        <v>6.1537813074045898E-2</v>
      </c>
      <c r="O446">
        <v>0.160890897709561</v>
      </c>
    </row>
    <row r="447" spans="1:15" x14ac:dyDescent="0.3">
      <c r="A447">
        <v>2086</v>
      </c>
      <c r="B447">
        <v>177</v>
      </c>
      <c r="C447">
        <v>98</v>
      </c>
      <c r="D447" t="s">
        <v>23</v>
      </c>
      <c r="E447" t="s">
        <v>20</v>
      </c>
      <c r="F447" t="s">
        <v>21</v>
      </c>
      <c r="G447" t="s">
        <v>22</v>
      </c>
      <c r="H447">
        <v>276.60000000000002</v>
      </c>
      <c r="I447">
        <v>257.5</v>
      </c>
      <c r="J447">
        <v>95.2</v>
      </c>
      <c r="K447">
        <v>67.5</v>
      </c>
      <c r="L447">
        <v>24.1</v>
      </c>
      <c r="M447">
        <v>9.5</v>
      </c>
      <c r="N447">
        <v>0.21235806046994701</v>
      </c>
      <c r="O447">
        <v>0.37809759415061001</v>
      </c>
    </row>
    <row r="448" spans="1:15" x14ac:dyDescent="0.3">
      <c r="A448">
        <v>2087</v>
      </c>
      <c r="B448">
        <v>177</v>
      </c>
      <c r="C448">
        <v>98</v>
      </c>
      <c r="D448" t="s">
        <v>23</v>
      </c>
      <c r="E448" t="s">
        <v>20</v>
      </c>
      <c r="F448" t="s">
        <v>21</v>
      </c>
      <c r="G448" t="s">
        <v>22</v>
      </c>
      <c r="H448">
        <v>276.60000000000002</v>
      </c>
      <c r="I448">
        <v>257.5</v>
      </c>
      <c r="J448">
        <v>95.2</v>
      </c>
      <c r="K448">
        <v>67.5</v>
      </c>
      <c r="L448">
        <v>24.1</v>
      </c>
      <c r="M448">
        <v>9.5</v>
      </c>
      <c r="N448">
        <v>0.19857925258128301</v>
      </c>
      <c r="O448">
        <v>0.403240666325754</v>
      </c>
    </row>
    <row r="449" spans="1:15" x14ac:dyDescent="0.3">
      <c r="A449">
        <v>2088</v>
      </c>
      <c r="B449">
        <v>177</v>
      </c>
      <c r="C449">
        <v>98</v>
      </c>
      <c r="D449" t="s">
        <v>23</v>
      </c>
      <c r="E449" t="s">
        <v>20</v>
      </c>
      <c r="F449" t="s">
        <v>21</v>
      </c>
      <c r="G449" t="s">
        <v>22</v>
      </c>
      <c r="H449">
        <v>276.60000000000002</v>
      </c>
      <c r="I449">
        <v>257.5</v>
      </c>
      <c r="J449">
        <v>95.2</v>
      </c>
      <c r="K449">
        <v>67.5</v>
      </c>
      <c r="L449">
        <v>24.1</v>
      </c>
      <c r="M449">
        <v>9.5</v>
      </c>
      <c r="N449">
        <v>0.19604053320700901</v>
      </c>
      <c r="O449">
        <v>0.409829945719137</v>
      </c>
    </row>
    <row r="450" spans="1:15" x14ac:dyDescent="0.3">
      <c r="A450">
        <v>2107</v>
      </c>
      <c r="B450">
        <v>1778</v>
      </c>
      <c r="C450">
        <v>385</v>
      </c>
      <c r="D450" t="s">
        <v>23</v>
      </c>
      <c r="E450" t="s">
        <v>20</v>
      </c>
      <c r="F450" t="s">
        <v>21</v>
      </c>
      <c r="G450" t="s">
        <v>26</v>
      </c>
      <c r="H450">
        <v>270</v>
      </c>
      <c r="I450">
        <v>256</v>
      </c>
      <c r="J450">
        <v>97.2</v>
      </c>
      <c r="K450">
        <v>65.5</v>
      </c>
      <c r="L450">
        <v>26</v>
      </c>
      <c r="M450">
        <v>8</v>
      </c>
      <c r="N450">
        <v>0.19758031831251399</v>
      </c>
      <c r="O450">
        <v>0.39684858945810902</v>
      </c>
    </row>
    <row r="451" spans="1:15" x14ac:dyDescent="0.3">
      <c r="A451">
        <v>2108</v>
      </c>
      <c r="B451">
        <v>1778</v>
      </c>
      <c r="C451">
        <v>385</v>
      </c>
      <c r="D451" t="s">
        <v>23</v>
      </c>
      <c r="E451" t="s">
        <v>20</v>
      </c>
      <c r="F451" t="s">
        <v>21</v>
      </c>
      <c r="G451" t="s">
        <v>26</v>
      </c>
      <c r="H451">
        <v>270</v>
      </c>
      <c r="I451">
        <v>256</v>
      </c>
      <c r="J451">
        <v>97.2</v>
      </c>
      <c r="K451">
        <v>65.5</v>
      </c>
      <c r="L451">
        <v>26</v>
      </c>
      <c r="M451">
        <v>8</v>
      </c>
      <c r="N451">
        <v>0.175614276532366</v>
      </c>
      <c r="O451">
        <v>0.39199891516381602</v>
      </c>
    </row>
    <row r="452" spans="1:15" x14ac:dyDescent="0.3">
      <c r="A452">
        <v>2114</v>
      </c>
      <c r="B452">
        <v>178</v>
      </c>
      <c r="C452">
        <v>434</v>
      </c>
      <c r="D452" t="s">
        <v>15</v>
      </c>
      <c r="E452" t="s">
        <v>20</v>
      </c>
      <c r="F452" t="s">
        <v>17</v>
      </c>
      <c r="G452" t="s">
        <v>18</v>
      </c>
      <c r="H452">
        <v>279.10000000000002</v>
      </c>
      <c r="I452">
        <v>250</v>
      </c>
      <c r="J452">
        <v>93.3</v>
      </c>
      <c r="K452">
        <v>66</v>
      </c>
      <c r="L452">
        <v>27.9</v>
      </c>
      <c r="M452">
        <v>6</v>
      </c>
      <c r="N452">
        <v>0.258328892602535</v>
      </c>
      <c r="O452">
        <v>3.8277332839728999E-2</v>
      </c>
    </row>
    <row r="453" spans="1:15" x14ac:dyDescent="0.3">
      <c r="A453">
        <v>2118</v>
      </c>
      <c r="B453">
        <v>1782</v>
      </c>
      <c r="C453">
        <v>233</v>
      </c>
      <c r="D453" t="s">
        <v>19</v>
      </c>
      <c r="E453" t="s">
        <v>20</v>
      </c>
      <c r="F453" t="s">
        <v>17</v>
      </c>
      <c r="G453" t="s">
        <v>24</v>
      </c>
      <c r="H453">
        <v>274.7</v>
      </c>
      <c r="I453">
        <v>248.5</v>
      </c>
      <c r="J453">
        <v>95.9</v>
      </c>
      <c r="K453">
        <v>63.5</v>
      </c>
      <c r="L453">
        <v>27.6</v>
      </c>
      <c r="M453">
        <v>11</v>
      </c>
      <c r="N453">
        <v>3.7592271338583901E-2</v>
      </c>
      <c r="O453">
        <v>0.120409157383987</v>
      </c>
    </row>
    <row r="454" spans="1:15" x14ac:dyDescent="0.3">
      <c r="A454">
        <v>2119</v>
      </c>
      <c r="B454">
        <v>1782</v>
      </c>
      <c r="C454">
        <v>233</v>
      </c>
      <c r="D454" t="s">
        <v>19</v>
      </c>
      <c r="E454" t="s">
        <v>20</v>
      </c>
      <c r="F454" t="s">
        <v>17</v>
      </c>
      <c r="G454" t="s">
        <v>24</v>
      </c>
      <c r="H454">
        <v>274.7</v>
      </c>
      <c r="I454">
        <v>248.5</v>
      </c>
      <c r="J454">
        <v>95.9</v>
      </c>
      <c r="K454">
        <v>63.5</v>
      </c>
      <c r="L454">
        <v>27.6</v>
      </c>
      <c r="M454">
        <v>11</v>
      </c>
      <c r="N454">
        <v>4.0256196101016703E-2</v>
      </c>
      <c r="O454">
        <v>0.10065126354977599</v>
      </c>
    </row>
    <row r="455" spans="1:15" x14ac:dyDescent="0.3">
      <c r="A455">
        <v>2120</v>
      </c>
      <c r="B455">
        <v>1782</v>
      </c>
      <c r="C455">
        <v>233</v>
      </c>
      <c r="D455" t="s">
        <v>19</v>
      </c>
      <c r="E455" t="s">
        <v>20</v>
      </c>
      <c r="F455" t="s">
        <v>17</v>
      </c>
      <c r="G455" t="s">
        <v>24</v>
      </c>
      <c r="H455">
        <v>274.7</v>
      </c>
      <c r="I455">
        <v>248.5</v>
      </c>
      <c r="J455">
        <v>95.9</v>
      </c>
      <c r="K455">
        <v>63.5</v>
      </c>
      <c r="L455">
        <v>27.6</v>
      </c>
      <c r="M455">
        <v>11</v>
      </c>
      <c r="N455">
        <v>2.1461412736364E-2</v>
      </c>
      <c r="O455">
        <v>0.10068537603167201</v>
      </c>
    </row>
    <row r="456" spans="1:15" x14ac:dyDescent="0.3">
      <c r="A456">
        <v>2121</v>
      </c>
      <c r="B456">
        <v>1782</v>
      </c>
      <c r="C456">
        <v>233</v>
      </c>
      <c r="D456" t="s">
        <v>19</v>
      </c>
      <c r="E456" t="s">
        <v>20</v>
      </c>
      <c r="F456" t="s">
        <v>17</v>
      </c>
      <c r="G456" t="s">
        <v>24</v>
      </c>
      <c r="H456">
        <v>274.7</v>
      </c>
      <c r="I456">
        <v>248.5</v>
      </c>
      <c r="J456">
        <v>95.9</v>
      </c>
      <c r="K456">
        <v>63.5</v>
      </c>
      <c r="L456">
        <v>27.6</v>
      </c>
      <c r="M456">
        <v>11</v>
      </c>
      <c r="N456">
        <v>2.8912335868801299E-2</v>
      </c>
      <c r="O456">
        <v>0.107199452969456</v>
      </c>
    </row>
    <row r="457" spans="1:15" x14ac:dyDescent="0.3">
      <c r="A457">
        <v>2122</v>
      </c>
      <c r="B457">
        <v>1782</v>
      </c>
      <c r="C457">
        <v>233</v>
      </c>
      <c r="D457" t="s">
        <v>19</v>
      </c>
      <c r="E457" t="s">
        <v>20</v>
      </c>
      <c r="F457" t="s">
        <v>17</v>
      </c>
      <c r="G457" t="s">
        <v>24</v>
      </c>
      <c r="H457">
        <v>274.7</v>
      </c>
      <c r="I457">
        <v>248.5</v>
      </c>
      <c r="J457">
        <v>95.9</v>
      </c>
      <c r="K457">
        <v>63.5</v>
      </c>
      <c r="L457">
        <v>27.6</v>
      </c>
      <c r="M457">
        <v>11</v>
      </c>
      <c r="N457">
        <v>2.93615881587788E-2</v>
      </c>
      <c r="O457">
        <v>0.11296666690974599</v>
      </c>
    </row>
    <row r="458" spans="1:15" x14ac:dyDescent="0.3">
      <c r="A458">
        <v>2123</v>
      </c>
      <c r="B458">
        <v>1783</v>
      </c>
      <c r="C458">
        <v>368</v>
      </c>
      <c r="D458" t="s">
        <v>19</v>
      </c>
      <c r="E458" t="s">
        <v>16</v>
      </c>
      <c r="F458" t="s">
        <v>21</v>
      </c>
      <c r="G458" t="s">
        <v>18</v>
      </c>
      <c r="H458">
        <v>273.3</v>
      </c>
      <c r="I458">
        <v>249</v>
      </c>
      <c r="J458">
        <v>98.9</v>
      </c>
      <c r="K458">
        <v>68.5</v>
      </c>
      <c r="L458">
        <v>23.8</v>
      </c>
      <c r="M458">
        <v>9</v>
      </c>
      <c r="N458">
        <v>0.14848133758986601</v>
      </c>
      <c r="O458">
        <v>5.1291122270919698E-2</v>
      </c>
    </row>
    <row r="459" spans="1:15" x14ac:dyDescent="0.3">
      <c r="A459">
        <v>2124</v>
      </c>
      <c r="B459">
        <v>1783</v>
      </c>
      <c r="C459">
        <v>368</v>
      </c>
      <c r="D459" t="s">
        <v>19</v>
      </c>
      <c r="E459" t="s">
        <v>16</v>
      </c>
      <c r="F459" t="s">
        <v>21</v>
      </c>
      <c r="G459" t="s">
        <v>18</v>
      </c>
      <c r="H459">
        <v>273.3</v>
      </c>
      <c r="I459">
        <v>249</v>
      </c>
      <c r="J459">
        <v>98.9</v>
      </c>
      <c r="K459">
        <v>68.5</v>
      </c>
      <c r="L459">
        <v>23.8</v>
      </c>
      <c r="M459">
        <v>9</v>
      </c>
      <c r="N459">
        <v>0.122198001368492</v>
      </c>
      <c r="O459">
        <v>4.1179439777048597E-2</v>
      </c>
    </row>
    <row r="460" spans="1:15" x14ac:dyDescent="0.3">
      <c r="A460">
        <v>2125</v>
      </c>
      <c r="B460">
        <v>1783</v>
      </c>
      <c r="C460">
        <v>368</v>
      </c>
      <c r="D460" t="s">
        <v>19</v>
      </c>
      <c r="E460" t="s">
        <v>16</v>
      </c>
      <c r="F460" t="s">
        <v>21</v>
      </c>
      <c r="G460" t="s">
        <v>18</v>
      </c>
      <c r="H460">
        <v>273.3</v>
      </c>
      <c r="I460">
        <v>249</v>
      </c>
      <c r="J460">
        <v>98.9</v>
      </c>
      <c r="K460">
        <v>68.5</v>
      </c>
      <c r="L460">
        <v>23.8</v>
      </c>
      <c r="M460">
        <v>9</v>
      </c>
      <c r="N460">
        <v>0.12131647294311999</v>
      </c>
      <c r="O460">
        <v>4.5310872066338097E-2</v>
      </c>
    </row>
    <row r="461" spans="1:15" x14ac:dyDescent="0.3">
      <c r="A461">
        <v>2126</v>
      </c>
      <c r="B461">
        <v>1783</v>
      </c>
      <c r="C461">
        <v>368</v>
      </c>
      <c r="D461" t="s">
        <v>19</v>
      </c>
      <c r="E461" t="s">
        <v>16</v>
      </c>
      <c r="F461" t="s">
        <v>21</v>
      </c>
      <c r="G461" t="s">
        <v>18</v>
      </c>
      <c r="H461">
        <v>273.3</v>
      </c>
      <c r="I461">
        <v>249</v>
      </c>
      <c r="J461">
        <v>98.9</v>
      </c>
      <c r="K461">
        <v>68.5</v>
      </c>
      <c r="L461">
        <v>23.8</v>
      </c>
      <c r="M461">
        <v>9</v>
      </c>
      <c r="N461">
        <v>0.14065277421059899</v>
      </c>
      <c r="O461">
        <v>4.4299668597758503E-2</v>
      </c>
    </row>
    <row r="462" spans="1:15" x14ac:dyDescent="0.3">
      <c r="A462">
        <v>2142</v>
      </c>
      <c r="B462">
        <v>179</v>
      </c>
      <c r="C462">
        <v>262</v>
      </c>
      <c r="D462" t="s">
        <v>19</v>
      </c>
      <c r="E462" t="s">
        <v>20</v>
      </c>
      <c r="F462" t="s">
        <v>17</v>
      </c>
      <c r="G462" t="s">
        <v>18</v>
      </c>
      <c r="H462">
        <v>276.2</v>
      </c>
      <c r="I462">
        <v>255</v>
      </c>
      <c r="J462">
        <v>96.1</v>
      </c>
      <c r="K462">
        <v>67.5</v>
      </c>
      <c r="L462">
        <v>28.7</v>
      </c>
      <c r="M462">
        <v>9</v>
      </c>
      <c r="N462">
        <v>0.252849570188729</v>
      </c>
      <c r="O462">
        <v>0.13164677785758799</v>
      </c>
    </row>
    <row r="463" spans="1:15" x14ac:dyDescent="0.3">
      <c r="A463">
        <v>2156</v>
      </c>
      <c r="B463">
        <v>1794</v>
      </c>
      <c r="C463">
        <v>274</v>
      </c>
      <c r="D463" t="s">
        <v>19</v>
      </c>
      <c r="E463" t="s">
        <v>20</v>
      </c>
      <c r="F463" t="s">
        <v>21</v>
      </c>
      <c r="G463" t="s">
        <v>18</v>
      </c>
      <c r="H463">
        <v>270.8</v>
      </c>
      <c r="I463">
        <v>241</v>
      </c>
      <c r="J463">
        <v>93</v>
      </c>
      <c r="K463">
        <v>61.5</v>
      </c>
      <c r="L463">
        <v>24.5</v>
      </c>
      <c r="M463">
        <v>11.5</v>
      </c>
      <c r="N463">
        <v>0.127345389288643</v>
      </c>
      <c r="O463">
        <v>0.216352467202757</v>
      </c>
    </row>
    <row r="464" spans="1:15" x14ac:dyDescent="0.3">
      <c r="A464">
        <v>2157</v>
      </c>
      <c r="B464">
        <v>1794</v>
      </c>
      <c r="C464">
        <v>274</v>
      </c>
      <c r="D464" t="s">
        <v>19</v>
      </c>
      <c r="E464" t="s">
        <v>20</v>
      </c>
      <c r="F464" t="s">
        <v>21</v>
      </c>
      <c r="G464" t="s">
        <v>18</v>
      </c>
      <c r="H464">
        <v>270.8</v>
      </c>
      <c r="I464">
        <v>241</v>
      </c>
      <c r="J464">
        <v>93</v>
      </c>
      <c r="K464">
        <v>61.5</v>
      </c>
      <c r="L464">
        <v>24.5</v>
      </c>
      <c r="M464">
        <v>11.5</v>
      </c>
      <c r="N464">
        <v>0.124432743455704</v>
      </c>
      <c r="O464">
        <v>0.20735451937761201</v>
      </c>
    </row>
    <row r="465" spans="1:15" x14ac:dyDescent="0.3">
      <c r="A465">
        <v>2171</v>
      </c>
      <c r="B465">
        <v>18</v>
      </c>
      <c r="C465">
        <v>366</v>
      </c>
      <c r="D465" t="s">
        <v>19</v>
      </c>
      <c r="E465" t="s">
        <v>20</v>
      </c>
      <c r="F465" t="s">
        <v>17</v>
      </c>
      <c r="G465" t="s">
        <v>26</v>
      </c>
      <c r="H465">
        <v>275.89999999999998</v>
      </c>
      <c r="I465">
        <v>255</v>
      </c>
      <c r="J465">
        <v>94.9</v>
      </c>
      <c r="K465">
        <v>64</v>
      </c>
      <c r="L465">
        <v>26.8</v>
      </c>
      <c r="M465">
        <v>17</v>
      </c>
      <c r="N465">
        <v>0.16018806216800499</v>
      </c>
      <c r="O465">
        <v>0.16182791583633699</v>
      </c>
    </row>
    <row r="466" spans="1:15" x14ac:dyDescent="0.3">
      <c r="A466">
        <v>2172</v>
      </c>
      <c r="B466">
        <v>18</v>
      </c>
      <c r="C466">
        <v>366</v>
      </c>
      <c r="D466" t="s">
        <v>19</v>
      </c>
      <c r="E466" t="s">
        <v>20</v>
      </c>
      <c r="F466" t="s">
        <v>17</v>
      </c>
      <c r="G466" t="s">
        <v>26</v>
      </c>
      <c r="H466">
        <v>275.89999999999998</v>
      </c>
      <c r="I466">
        <v>255</v>
      </c>
      <c r="J466">
        <v>94.9</v>
      </c>
      <c r="K466">
        <v>64</v>
      </c>
      <c r="L466">
        <v>26.8</v>
      </c>
      <c r="M466">
        <v>17</v>
      </c>
      <c r="N466">
        <v>0.15952078690850599</v>
      </c>
      <c r="O466">
        <v>0.132902865614658</v>
      </c>
    </row>
    <row r="467" spans="1:15" x14ac:dyDescent="0.3">
      <c r="A467">
        <v>2175</v>
      </c>
      <c r="B467">
        <v>180</v>
      </c>
      <c r="C467">
        <v>61</v>
      </c>
      <c r="D467" t="s">
        <v>23</v>
      </c>
      <c r="E467" t="s">
        <v>20</v>
      </c>
      <c r="F467" t="s">
        <v>17</v>
      </c>
      <c r="G467" t="s">
        <v>22</v>
      </c>
      <c r="H467">
        <v>272.3</v>
      </c>
      <c r="I467">
        <v>239</v>
      </c>
      <c r="J467">
        <v>94.1</v>
      </c>
      <c r="K467">
        <v>68</v>
      </c>
      <c r="L467">
        <v>23.9</v>
      </c>
      <c r="M467">
        <v>4.5</v>
      </c>
      <c r="N467">
        <v>0.31370163756719199</v>
      </c>
      <c r="O467">
        <v>0.38102221412960202</v>
      </c>
    </row>
    <row r="468" spans="1:15" x14ac:dyDescent="0.3">
      <c r="A468">
        <v>2186</v>
      </c>
      <c r="B468">
        <v>1803</v>
      </c>
      <c r="C468">
        <v>115</v>
      </c>
      <c r="D468" t="s">
        <v>15</v>
      </c>
      <c r="E468" t="s">
        <v>20</v>
      </c>
      <c r="F468" t="s">
        <v>17</v>
      </c>
      <c r="G468" t="s">
        <v>22</v>
      </c>
      <c r="H468">
        <v>274.7</v>
      </c>
      <c r="I468">
        <v>242.5</v>
      </c>
      <c r="J468">
        <v>91.6</v>
      </c>
      <c r="K468">
        <v>66.5</v>
      </c>
      <c r="L468">
        <v>28.1</v>
      </c>
      <c r="M468">
        <v>4.5</v>
      </c>
      <c r="N468">
        <v>0.289598777418895</v>
      </c>
      <c r="O468">
        <v>5.4381253942333202E-2</v>
      </c>
    </row>
    <row r="469" spans="1:15" x14ac:dyDescent="0.3">
      <c r="A469">
        <v>2187</v>
      </c>
      <c r="B469">
        <v>1803</v>
      </c>
      <c r="C469">
        <v>115</v>
      </c>
      <c r="D469" t="s">
        <v>15</v>
      </c>
      <c r="E469" t="s">
        <v>20</v>
      </c>
      <c r="F469" t="s">
        <v>17</v>
      </c>
      <c r="G469" t="s">
        <v>22</v>
      </c>
      <c r="H469">
        <v>274.7</v>
      </c>
      <c r="I469">
        <v>242.5</v>
      </c>
      <c r="J469">
        <v>91.6</v>
      </c>
      <c r="K469">
        <v>66.5</v>
      </c>
      <c r="L469">
        <v>28.1</v>
      </c>
      <c r="M469">
        <v>4.5</v>
      </c>
      <c r="N469">
        <v>0.28638523813574801</v>
      </c>
      <c r="O469">
        <v>4.8247849358225403E-2</v>
      </c>
    </row>
    <row r="470" spans="1:15" x14ac:dyDescent="0.3">
      <c r="A470">
        <v>2207</v>
      </c>
      <c r="B470">
        <v>181</v>
      </c>
      <c r="C470">
        <v>230</v>
      </c>
      <c r="D470" t="s">
        <v>19</v>
      </c>
      <c r="E470" t="s">
        <v>20</v>
      </c>
      <c r="F470" t="s">
        <v>17</v>
      </c>
      <c r="G470" t="s">
        <v>18</v>
      </c>
      <c r="H470">
        <v>275.8</v>
      </c>
      <c r="I470">
        <v>250.5</v>
      </c>
      <c r="J470">
        <v>93.9</v>
      </c>
      <c r="K470">
        <v>67</v>
      </c>
      <c r="L470">
        <v>25.2</v>
      </c>
      <c r="M470">
        <v>10.5</v>
      </c>
      <c r="N470">
        <v>0.11941992309629899</v>
      </c>
      <c r="O470">
        <v>9.1134385779451599E-2</v>
      </c>
    </row>
    <row r="471" spans="1:15" x14ac:dyDescent="0.3">
      <c r="A471">
        <v>2217</v>
      </c>
      <c r="B471">
        <v>1815</v>
      </c>
      <c r="C471">
        <v>233</v>
      </c>
      <c r="D471" t="s">
        <v>19</v>
      </c>
      <c r="E471" t="s">
        <v>20</v>
      </c>
      <c r="F471" t="s">
        <v>17</v>
      </c>
      <c r="G471" t="s">
        <v>26</v>
      </c>
      <c r="H471">
        <v>274.7</v>
      </c>
      <c r="I471">
        <v>248.5</v>
      </c>
      <c r="J471">
        <v>95.9</v>
      </c>
      <c r="K471">
        <v>63.5</v>
      </c>
      <c r="L471">
        <v>27.6</v>
      </c>
      <c r="M471">
        <v>11</v>
      </c>
      <c r="N471">
        <v>1.48718931750575E-2</v>
      </c>
      <c r="O471">
        <v>0.106263338333875</v>
      </c>
    </row>
    <row r="472" spans="1:15" x14ac:dyDescent="0.3">
      <c r="A472">
        <v>2220</v>
      </c>
      <c r="B472">
        <v>1817</v>
      </c>
      <c r="C472">
        <v>466</v>
      </c>
      <c r="D472" t="s">
        <v>23</v>
      </c>
      <c r="E472" t="s">
        <v>20</v>
      </c>
      <c r="F472" t="s">
        <v>17</v>
      </c>
      <c r="G472" t="s">
        <v>25</v>
      </c>
      <c r="H472">
        <v>282.10000000000002</v>
      </c>
      <c r="I472">
        <v>257</v>
      </c>
      <c r="J472">
        <v>100.3</v>
      </c>
      <c r="K472">
        <v>68.5</v>
      </c>
      <c r="L472">
        <v>27.5</v>
      </c>
      <c r="M472">
        <v>11</v>
      </c>
      <c r="N472">
        <v>7.5359696745186999E-2</v>
      </c>
      <c r="O472">
        <v>0.295178807772074</v>
      </c>
    </row>
    <row r="473" spans="1:15" x14ac:dyDescent="0.3">
      <c r="A473">
        <v>2221</v>
      </c>
      <c r="B473">
        <v>1817</v>
      </c>
      <c r="C473">
        <v>466</v>
      </c>
      <c r="D473" t="s">
        <v>23</v>
      </c>
      <c r="E473" t="s">
        <v>20</v>
      </c>
      <c r="F473" t="s">
        <v>17</v>
      </c>
      <c r="G473" t="s">
        <v>25</v>
      </c>
      <c r="H473">
        <v>282.10000000000002</v>
      </c>
      <c r="I473">
        <v>257</v>
      </c>
      <c r="J473">
        <v>100.3</v>
      </c>
      <c r="K473">
        <v>68.5</v>
      </c>
      <c r="L473">
        <v>27.5</v>
      </c>
      <c r="M473">
        <v>11</v>
      </c>
      <c r="N473">
        <v>6.3414191222790794E-2</v>
      </c>
      <c r="O473">
        <v>0.29385454442480302</v>
      </c>
    </row>
    <row r="474" spans="1:15" x14ac:dyDescent="0.3">
      <c r="A474">
        <v>2222</v>
      </c>
      <c r="B474">
        <v>1817</v>
      </c>
      <c r="C474">
        <v>466</v>
      </c>
      <c r="D474" t="s">
        <v>23</v>
      </c>
      <c r="E474" t="s">
        <v>20</v>
      </c>
      <c r="F474" t="s">
        <v>17</v>
      </c>
      <c r="G474" t="s">
        <v>25</v>
      </c>
      <c r="H474">
        <v>282.10000000000002</v>
      </c>
      <c r="I474">
        <v>257</v>
      </c>
      <c r="J474">
        <v>100.3</v>
      </c>
      <c r="K474">
        <v>68.5</v>
      </c>
      <c r="L474">
        <v>27.5</v>
      </c>
      <c r="M474">
        <v>11</v>
      </c>
      <c r="N474">
        <v>6.13631912927965E-2</v>
      </c>
      <c r="O474">
        <v>0.26734173500374497</v>
      </c>
    </row>
    <row r="475" spans="1:15" x14ac:dyDescent="0.3">
      <c r="A475">
        <v>2223</v>
      </c>
      <c r="B475">
        <v>1817</v>
      </c>
      <c r="C475">
        <v>466</v>
      </c>
      <c r="D475" t="s">
        <v>23</v>
      </c>
      <c r="E475" t="s">
        <v>20</v>
      </c>
      <c r="F475" t="s">
        <v>17</v>
      </c>
      <c r="G475" t="s">
        <v>25</v>
      </c>
      <c r="H475">
        <v>282.10000000000002</v>
      </c>
      <c r="I475">
        <v>257</v>
      </c>
      <c r="J475">
        <v>100.3</v>
      </c>
      <c r="K475">
        <v>68.5</v>
      </c>
      <c r="L475">
        <v>27.5</v>
      </c>
      <c r="M475">
        <v>11</v>
      </c>
      <c r="N475">
        <v>5.58219628029787E-2</v>
      </c>
      <c r="O475">
        <v>0.28026981234614101</v>
      </c>
    </row>
    <row r="476" spans="1:15" x14ac:dyDescent="0.3">
      <c r="A476">
        <v>2228</v>
      </c>
      <c r="B476">
        <v>182</v>
      </c>
      <c r="C476">
        <v>335</v>
      </c>
      <c r="D476" t="s">
        <v>19</v>
      </c>
      <c r="E476" t="s">
        <v>20</v>
      </c>
      <c r="F476" t="s">
        <v>21</v>
      </c>
      <c r="G476" t="s">
        <v>22</v>
      </c>
      <c r="H476">
        <v>278.5</v>
      </c>
      <c r="I476">
        <v>240.5</v>
      </c>
      <c r="J476">
        <v>94.4</v>
      </c>
      <c r="K476">
        <v>69</v>
      </c>
      <c r="L476">
        <v>25.8</v>
      </c>
      <c r="M476">
        <v>8.5</v>
      </c>
      <c r="N476">
        <v>5.5608112545976203E-2</v>
      </c>
      <c r="O476">
        <v>5.2843981160604403E-2</v>
      </c>
    </row>
    <row r="477" spans="1:15" x14ac:dyDescent="0.3">
      <c r="A477">
        <v>2229</v>
      </c>
      <c r="B477">
        <v>182</v>
      </c>
      <c r="C477">
        <v>335</v>
      </c>
      <c r="D477" t="s">
        <v>19</v>
      </c>
      <c r="E477" t="s">
        <v>20</v>
      </c>
      <c r="F477" t="s">
        <v>21</v>
      </c>
      <c r="G477" t="s">
        <v>22</v>
      </c>
      <c r="H477">
        <v>278.5</v>
      </c>
      <c r="I477">
        <v>240.5</v>
      </c>
      <c r="J477">
        <v>94.4</v>
      </c>
      <c r="K477">
        <v>69</v>
      </c>
      <c r="L477">
        <v>25.8</v>
      </c>
      <c r="M477">
        <v>8.5</v>
      </c>
      <c r="N477">
        <v>5.9502063761305603E-2</v>
      </c>
      <c r="O477">
        <v>2.5972337568965401E-2</v>
      </c>
    </row>
    <row r="478" spans="1:15" x14ac:dyDescent="0.3">
      <c r="A478">
        <v>2240</v>
      </c>
      <c r="B478">
        <v>1823</v>
      </c>
      <c r="C478">
        <v>143</v>
      </c>
      <c r="D478" t="s">
        <v>23</v>
      </c>
      <c r="E478" t="s">
        <v>16</v>
      </c>
      <c r="F478" t="s">
        <v>17</v>
      </c>
      <c r="G478" t="s">
        <v>25</v>
      </c>
      <c r="H478">
        <v>274</v>
      </c>
      <c r="I478">
        <v>250</v>
      </c>
      <c r="J478">
        <v>95</v>
      </c>
      <c r="K478">
        <v>65</v>
      </c>
      <c r="L478">
        <v>25.9</v>
      </c>
      <c r="M478">
        <v>7.5</v>
      </c>
      <c r="N478">
        <v>0.17885801690881301</v>
      </c>
      <c r="O478">
        <v>0.24143193946015301</v>
      </c>
    </row>
    <row r="479" spans="1:15" x14ac:dyDescent="0.3">
      <c r="A479">
        <v>2241</v>
      </c>
      <c r="B479">
        <v>1823</v>
      </c>
      <c r="C479">
        <v>143</v>
      </c>
      <c r="D479" t="s">
        <v>23</v>
      </c>
      <c r="E479" t="s">
        <v>16</v>
      </c>
      <c r="F479" t="s">
        <v>17</v>
      </c>
      <c r="G479" t="s">
        <v>25</v>
      </c>
      <c r="H479">
        <v>274</v>
      </c>
      <c r="I479">
        <v>250</v>
      </c>
      <c r="J479">
        <v>95</v>
      </c>
      <c r="K479">
        <v>65</v>
      </c>
      <c r="L479">
        <v>25.9</v>
      </c>
      <c r="M479">
        <v>7.5</v>
      </c>
      <c r="N479">
        <v>0.16657487534780199</v>
      </c>
      <c r="O479">
        <v>0.242802937309056</v>
      </c>
    </row>
    <row r="480" spans="1:15" x14ac:dyDescent="0.3">
      <c r="A480">
        <v>2254</v>
      </c>
      <c r="B480">
        <v>183</v>
      </c>
      <c r="C480">
        <v>387</v>
      </c>
      <c r="D480" t="s">
        <v>19</v>
      </c>
      <c r="E480" t="s">
        <v>16</v>
      </c>
      <c r="F480" t="s">
        <v>17</v>
      </c>
      <c r="G480" t="s">
        <v>26</v>
      </c>
      <c r="H480">
        <v>275.2</v>
      </c>
      <c r="I480">
        <v>249.5</v>
      </c>
      <c r="J480">
        <v>96.8</v>
      </c>
      <c r="K480">
        <v>66</v>
      </c>
      <c r="L480">
        <v>25.3</v>
      </c>
      <c r="M480">
        <v>8.5</v>
      </c>
      <c r="N480">
        <v>9.9841365768947199E-2</v>
      </c>
      <c r="O480">
        <v>5.9869021732162901E-2</v>
      </c>
    </row>
    <row r="481" spans="1:15" x14ac:dyDescent="0.3">
      <c r="A481">
        <v>2255</v>
      </c>
      <c r="B481">
        <v>183</v>
      </c>
      <c r="C481">
        <v>387</v>
      </c>
      <c r="D481" t="s">
        <v>19</v>
      </c>
      <c r="E481" t="s">
        <v>16</v>
      </c>
      <c r="F481" t="s">
        <v>17</v>
      </c>
      <c r="G481" t="s">
        <v>26</v>
      </c>
      <c r="H481">
        <v>275.2</v>
      </c>
      <c r="I481">
        <v>249.5</v>
      </c>
      <c r="J481">
        <v>96.8</v>
      </c>
      <c r="K481">
        <v>66</v>
      </c>
      <c r="L481">
        <v>25.3</v>
      </c>
      <c r="M481">
        <v>8.5</v>
      </c>
      <c r="N481">
        <v>6.9884199850644493E-2</v>
      </c>
      <c r="O481">
        <v>7.8362572856997104E-2</v>
      </c>
    </row>
    <row r="482" spans="1:15" x14ac:dyDescent="0.3">
      <c r="A482">
        <v>2256</v>
      </c>
      <c r="B482">
        <v>183</v>
      </c>
      <c r="C482">
        <v>387</v>
      </c>
      <c r="D482" t="s">
        <v>19</v>
      </c>
      <c r="E482" t="s">
        <v>16</v>
      </c>
      <c r="F482" t="s">
        <v>17</v>
      </c>
      <c r="G482" t="s">
        <v>26</v>
      </c>
      <c r="H482">
        <v>275.2</v>
      </c>
      <c r="I482">
        <v>249.5</v>
      </c>
      <c r="J482">
        <v>96.8</v>
      </c>
      <c r="K482">
        <v>66</v>
      </c>
      <c r="L482">
        <v>25.3</v>
      </c>
      <c r="M482">
        <v>8.5</v>
      </c>
      <c r="N482">
        <v>6.8894673066630302E-2</v>
      </c>
      <c r="O482">
        <v>8.0928714477826805E-2</v>
      </c>
    </row>
    <row r="483" spans="1:15" x14ac:dyDescent="0.3">
      <c r="A483">
        <v>2277</v>
      </c>
      <c r="B483">
        <v>1837</v>
      </c>
      <c r="C483">
        <v>379</v>
      </c>
      <c r="D483" t="s">
        <v>19</v>
      </c>
      <c r="E483" t="s">
        <v>20</v>
      </c>
      <c r="F483" t="s">
        <v>17</v>
      </c>
      <c r="G483" t="s">
        <v>26</v>
      </c>
      <c r="H483">
        <v>276.5</v>
      </c>
      <c r="I483">
        <v>259.5</v>
      </c>
      <c r="J483">
        <v>97.2</v>
      </c>
      <c r="K483">
        <v>68</v>
      </c>
      <c r="L483">
        <v>26.4</v>
      </c>
      <c r="M483">
        <v>4</v>
      </c>
      <c r="N483">
        <v>0.31869837844757898</v>
      </c>
      <c r="O483">
        <v>5.9116428752114397E-2</v>
      </c>
    </row>
    <row r="484" spans="1:15" x14ac:dyDescent="0.3">
      <c r="A484">
        <v>2278</v>
      </c>
      <c r="B484">
        <v>1837</v>
      </c>
      <c r="C484">
        <v>379</v>
      </c>
      <c r="D484" t="s">
        <v>19</v>
      </c>
      <c r="E484" t="s">
        <v>20</v>
      </c>
      <c r="F484" t="s">
        <v>17</v>
      </c>
      <c r="G484" t="s">
        <v>26</v>
      </c>
      <c r="H484">
        <v>276.5</v>
      </c>
      <c r="I484">
        <v>259.5</v>
      </c>
      <c r="J484">
        <v>97.2</v>
      </c>
      <c r="K484">
        <v>68</v>
      </c>
      <c r="L484">
        <v>26.4</v>
      </c>
      <c r="M484">
        <v>4</v>
      </c>
      <c r="N484">
        <v>0.29816009085637102</v>
      </c>
      <c r="O484">
        <v>5.1636536059129198E-2</v>
      </c>
    </row>
    <row r="485" spans="1:15" x14ac:dyDescent="0.3">
      <c r="A485">
        <v>2279</v>
      </c>
      <c r="B485">
        <v>1837</v>
      </c>
      <c r="C485">
        <v>379</v>
      </c>
      <c r="D485" t="s">
        <v>19</v>
      </c>
      <c r="E485" t="s">
        <v>20</v>
      </c>
      <c r="F485" t="s">
        <v>17</v>
      </c>
      <c r="G485" t="s">
        <v>26</v>
      </c>
      <c r="H485">
        <v>276.5</v>
      </c>
      <c r="I485">
        <v>259.5</v>
      </c>
      <c r="J485">
        <v>97.2</v>
      </c>
      <c r="K485">
        <v>68</v>
      </c>
      <c r="L485">
        <v>26.4</v>
      </c>
      <c r="M485">
        <v>4</v>
      </c>
      <c r="N485">
        <v>0.306918052583181</v>
      </c>
      <c r="O485">
        <v>6.3035813313900305E-2</v>
      </c>
    </row>
    <row r="486" spans="1:15" x14ac:dyDescent="0.3">
      <c r="A486">
        <v>2290</v>
      </c>
      <c r="B486">
        <v>1840</v>
      </c>
      <c r="C486">
        <v>31</v>
      </c>
      <c r="D486" t="s">
        <v>23</v>
      </c>
      <c r="E486" t="s">
        <v>16</v>
      </c>
      <c r="F486" t="s">
        <v>21</v>
      </c>
      <c r="G486" t="s">
        <v>25</v>
      </c>
      <c r="H486">
        <v>274</v>
      </c>
      <c r="I486">
        <v>250</v>
      </c>
      <c r="J486">
        <v>99.4</v>
      </c>
      <c r="K486">
        <v>68.5</v>
      </c>
      <c r="L486">
        <v>23.2</v>
      </c>
      <c r="M486">
        <v>10</v>
      </c>
      <c r="N486">
        <v>0.21488267198139999</v>
      </c>
      <c r="O486">
        <v>0.161701026829876</v>
      </c>
    </row>
    <row r="487" spans="1:15" x14ac:dyDescent="0.3">
      <c r="A487">
        <v>2291</v>
      </c>
      <c r="B487">
        <v>1840</v>
      </c>
      <c r="C487">
        <v>31</v>
      </c>
      <c r="D487" t="s">
        <v>23</v>
      </c>
      <c r="E487" t="s">
        <v>16</v>
      </c>
      <c r="F487" t="s">
        <v>21</v>
      </c>
      <c r="G487" t="s">
        <v>25</v>
      </c>
      <c r="H487">
        <v>274</v>
      </c>
      <c r="I487">
        <v>250</v>
      </c>
      <c r="J487">
        <v>99.4</v>
      </c>
      <c r="K487">
        <v>68.5</v>
      </c>
      <c r="L487">
        <v>23.2</v>
      </c>
      <c r="M487">
        <v>10</v>
      </c>
      <c r="N487">
        <v>0.204120780298609</v>
      </c>
      <c r="O487">
        <v>0.15734122827125499</v>
      </c>
    </row>
    <row r="488" spans="1:15" x14ac:dyDescent="0.3">
      <c r="A488">
        <v>2292</v>
      </c>
      <c r="B488">
        <v>1841</v>
      </c>
      <c r="C488">
        <v>20</v>
      </c>
      <c r="D488" t="s">
        <v>23</v>
      </c>
      <c r="E488" t="s">
        <v>16</v>
      </c>
      <c r="F488" t="s">
        <v>17</v>
      </c>
      <c r="G488" t="s">
        <v>22</v>
      </c>
      <c r="H488">
        <v>282.7</v>
      </c>
      <c r="I488">
        <v>260</v>
      </c>
      <c r="J488">
        <v>103.8</v>
      </c>
      <c r="K488">
        <v>68</v>
      </c>
      <c r="L488">
        <v>26.4</v>
      </c>
      <c r="M488">
        <v>11.5</v>
      </c>
      <c r="N488">
        <v>8.8884899479297202E-2</v>
      </c>
      <c r="O488">
        <v>0.245469123821699</v>
      </c>
    </row>
    <row r="489" spans="1:15" x14ac:dyDescent="0.3">
      <c r="A489">
        <v>2293</v>
      </c>
      <c r="B489">
        <v>1841</v>
      </c>
      <c r="C489">
        <v>20</v>
      </c>
      <c r="D489" t="s">
        <v>23</v>
      </c>
      <c r="E489" t="s">
        <v>16</v>
      </c>
      <c r="F489" t="s">
        <v>17</v>
      </c>
      <c r="G489" t="s">
        <v>22</v>
      </c>
      <c r="H489">
        <v>282.7</v>
      </c>
      <c r="I489">
        <v>260</v>
      </c>
      <c r="J489">
        <v>103.8</v>
      </c>
      <c r="K489">
        <v>68</v>
      </c>
      <c r="L489">
        <v>26.4</v>
      </c>
      <c r="M489">
        <v>11.5</v>
      </c>
      <c r="N489">
        <v>7.1740569803396298E-2</v>
      </c>
      <c r="O489">
        <v>0.278949578173323</v>
      </c>
    </row>
    <row r="490" spans="1:15" x14ac:dyDescent="0.3">
      <c r="A490">
        <v>2294</v>
      </c>
      <c r="B490">
        <v>1841</v>
      </c>
      <c r="C490">
        <v>20</v>
      </c>
      <c r="D490" t="s">
        <v>23</v>
      </c>
      <c r="E490" t="s">
        <v>16</v>
      </c>
      <c r="F490" t="s">
        <v>17</v>
      </c>
      <c r="G490" t="s">
        <v>22</v>
      </c>
      <c r="H490">
        <v>282.7</v>
      </c>
      <c r="I490">
        <v>260</v>
      </c>
      <c r="J490">
        <v>103.8</v>
      </c>
      <c r="K490">
        <v>68</v>
      </c>
      <c r="L490">
        <v>26.4</v>
      </c>
      <c r="M490">
        <v>11.5</v>
      </c>
      <c r="N490">
        <v>7.0807700778538707E-2</v>
      </c>
      <c r="O490">
        <v>0.25234242413195301</v>
      </c>
    </row>
    <row r="491" spans="1:15" x14ac:dyDescent="0.3">
      <c r="A491">
        <v>2295</v>
      </c>
      <c r="B491">
        <v>1841</v>
      </c>
      <c r="C491">
        <v>20</v>
      </c>
      <c r="D491" t="s">
        <v>23</v>
      </c>
      <c r="E491" t="s">
        <v>16</v>
      </c>
      <c r="F491" t="s">
        <v>17</v>
      </c>
      <c r="G491" t="s">
        <v>22</v>
      </c>
      <c r="H491">
        <v>282.7</v>
      </c>
      <c r="I491">
        <v>260</v>
      </c>
      <c r="J491">
        <v>103.8</v>
      </c>
      <c r="K491">
        <v>68</v>
      </c>
      <c r="L491">
        <v>26.4</v>
      </c>
      <c r="M491">
        <v>11.5</v>
      </c>
      <c r="N491">
        <v>7.5910223041290095E-2</v>
      </c>
      <c r="O491">
        <v>0.27167351243212601</v>
      </c>
    </row>
    <row r="492" spans="1:15" x14ac:dyDescent="0.3">
      <c r="A492">
        <v>2302</v>
      </c>
      <c r="B492">
        <v>1845</v>
      </c>
      <c r="C492">
        <v>346</v>
      </c>
      <c r="D492" t="s">
        <v>19</v>
      </c>
      <c r="E492" t="s">
        <v>20</v>
      </c>
      <c r="F492" t="s">
        <v>21</v>
      </c>
      <c r="G492" t="s">
        <v>25</v>
      </c>
      <c r="H492">
        <v>271.60000000000002</v>
      </c>
      <c r="I492">
        <v>238</v>
      </c>
      <c r="J492">
        <v>91.3</v>
      </c>
      <c r="K492">
        <v>63</v>
      </c>
      <c r="L492">
        <v>24.7</v>
      </c>
      <c r="M492">
        <v>8</v>
      </c>
      <c r="N492">
        <v>0.19869045959696099</v>
      </c>
      <c r="O492">
        <v>5.6079979602730997E-3</v>
      </c>
    </row>
    <row r="493" spans="1:15" x14ac:dyDescent="0.3">
      <c r="A493">
        <v>2303</v>
      </c>
      <c r="B493">
        <v>1845</v>
      </c>
      <c r="C493">
        <v>346</v>
      </c>
      <c r="D493" t="s">
        <v>19</v>
      </c>
      <c r="E493" t="s">
        <v>20</v>
      </c>
      <c r="F493" t="s">
        <v>21</v>
      </c>
      <c r="G493" t="s">
        <v>25</v>
      </c>
      <c r="H493">
        <v>271.60000000000002</v>
      </c>
      <c r="I493">
        <v>238</v>
      </c>
      <c r="J493">
        <v>91.3</v>
      </c>
      <c r="K493">
        <v>63</v>
      </c>
      <c r="L493">
        <v>24.7</v>
      </c>
      <c r="M493">
        <v>8</v>
      </c>
      <c r="N493">
        <v>0.18630902751468101</v>
      </c>
      <c r="O493">
        <v>2.15704183945741E-2</v>
      </c>
    </row>
    <row r="494" spans="1:15" x14ac:dyDescent="0.3">
      <c r="A494">
        <v>2304</v>
      </c>
      <c r="B494">
        <v>1847</v>
      </c>
      <c r="C494">
        <v>68</v>
      </c>
      <c r="D494" t="s">
        <v>19</v>
      </c>
      <c r="E494" t="s">
        <v>20</v>
      </c>
      <c r="F494" t="s">
        <v>21</v>
      </c>
      <c r="G494" t="s">
        <v>25</v>
      </c>
      <c r="H494">
        <v>275.60000000000002</v>
      </c>
      <c r="I494">
        <v>254.5</v>
      </c>
      <c r="J494">
        <v>95.5</v>
      </c>
      <c r="K494">
        <v>65.5</v>
      </c>
      <c r="L494">
        <v>29.1</v>
      </c>
      <c r="M494">
        <v>10</v>
      </c>
      <c r="N494">
        <v>0.202243258285139</v>
      </c>
      <c r="O494">
        <v>0.183149433247148</v>
      </c>
    </row>
    <row r="495" spans="1:15" x14ac:dyDescent="0.3">
      <c r="A495">
        <v>2306</v>
      </c>
      <c r="B495">
        <v>1847</v>
      </c>
      <c r="C495">
        <v>68</v>
      </c>
      <c r="D495" t="s">
        <v>19</v>
      </c>
      <c r="E495" t="s">
        <v>20</v>
      </c>
      <c r="F495" t="s">
        <v>21</v>
      </c>
      <c r="G495" t="s">
        <v>25</v>
      </c>
      <c r="H495">
        <v>275.60000000000002</v>
      </c>
      <c r="I495">
        <v>254.5</v>
      </c>
      <c r="J495">
        <v>95.5</v>
      </c>
      <c r="K495">
        <v>65.5</v>
      </c>
      <c r="L495">
        <v>29.1</v>
      </c>
      <c r="M495">
        <v>10</v>
      </c>
      <c r="N495">
        <v>0.195380344842249</v>
      </c>
      <c r="O495">
        <v>0.185789696463694</v>
      </c>
    </row>
    <row r="496" spans="1:15" x14ac:dyDescent="0.3">
      <c r="A496">
        <v>2307</v>
      </c>
      <c r="B496">
        <v>1847</v>
      </c>
      <c r="C496">
        <v>68</v>
      </c>
      <c r="D496" t="s">
        <v>19</v>
      </c>
      <c r="E496" t="s">
        <v>20</v>
      </c>
      <c r="F496" t="s">
        <v>21</v>
      </c>
      <c r="G496" t="s">
        <v>25</v>
      </c>
      <c r="H496">
        <v>275.60000000000002</v>
      </c>
      <c r="I496">
        <v>254.5</v>
      </c>
      <c r="J496">
        <v>95.5</v>
      </c>
      <c r="K496">
        <v>65.5</v>
      </c>
      <c r="L496">
        <v>29.1</v>
      </c>
      <c r="M496">
        <v>10</v>
      </c>
      <c r="N496">
        <v>0.20884748554333901</v>
      </c>
      <c r="O496">
        <v>0.16378999261579699</v>
      </c>
    </row>
    <row r="497" spans="1:15" x14ac:dyDescent="0.3">
      <c r="A497">
        <v>2308</v>
      </c>
      <c r="B497">
        <v>1848</v>
      </c>
      <c r="C497">
        <v>320</v>
      </c>
      <c r="D497" t="s">
        <v>19</v>
      </c>
      <c r="E497" t="s">
        <v>20</v>
      </c>
      <c r="F497" t="s">
        <v>17</v>
      </c>
      <c r="G497" t="s">
        <v>22</v>
      </c>
      <c r="H497">
        <v>279</v>
      </c>
      <c r="I497">
        <v>253.5</v>
      </c>
      <c r="J497">
        <v>97.1</v>
      </c>
      <c r="K497">
        <v>64</v>
      </c>
      <c r="L497">
        <v>24</v>
      </c>
      <c r="M497">
        <v>8</v>
      </c>
      <c r="N497">
        <v>0.15968794531296601</v>
      </c>
      <c r="O497">
        <v>4.2617596883517198E-2</v>
      </c>
    </row>
    <row r="498" spans="1:15" x14ac:dyDescent="0.3">
      <c r="A498">
        <v>2309</v>
      </c>
      <c r="B498">
        <v>1849</v>
      </c>
      <c r="C498">
        <v>176</v>
      </c>
      <c r="D498" t="s">
        <v>23</v>
      </c>
      <c r="E498" t="s">
        <v>20</v>
      </c>
      <c r="F498" t="s">
        <v>21</v>
      </c>
      <c r="G498" t="s">
        <v>22</v>
      </c>
      <c r="H498">
        <v>274.5</v>
      </c>
      <c r="I498">
        <v>261.5</v>
      </c>
      <c r="J498">
        <v>100.7</v>
      </c>
      <c r="K498">
        <v>67</v>
      </c>
      <c r="L498">
        <v>26.6</v>
      </c>
      <c r="M498">
        <v>10</v>
      </c>
      <c r="N498">
        <v>0.15377235274513501</v>
      </c>
      <c r="O498">
        <v>0.42057662279547497</v>
      </c>
    </row>
    <row r="499" spans="1:15" x14ac:dyDescent="0.3">
      <c r="A499">
        <v>2310</v>
      </c>
      <c r="B499">
        <v>1849</v>
      </c>
      <c r="C499">
        <v>176</v>
      </c>
      <c r="D499" t="s">
        <v>23</v>
      </c>
      <c r="E499" t="s">
        <v>20</v>
      </c>
      <c r="F499" t="s">
        <v>21</v>
      </c>
      <c r="G499" t="s">
        <v>22</v>
      </c>
      <c r="H499">
        <v>274.5</v>
      </c>
      <c r="I499">
        <v>261.5</v>
      </c>
      <c r="J499">
        <v>100.7</v>
      </c>
      <c r="K499">
        <v>67</v>
      </c>
      <c r="L499">
        <v>26.6</v>
      </c>
      <c r="M499">
        <v>10</v>
      </c>
      <c r="N499">
        <v>0.131920249266782</v>
      </c>
      <c r="O499">
        <v>0.42211067341208902</v>
      </c>
    </row>
    <row r="500" spans="1:15" x14ac:dyDescent="0.3">
      <c r="A500">
        <v>2311</v>
      </c>
      <c r="B500">
        <v>1849</v>
      </c>
      <c r="C500">
        <v>176</v>
      </c>
      <c r="D500" t="s">
        <v>23</v>
      </c>
      <c r="E500" t="s">
        <v>20</v>
      </c>
      <c r="F500" t="s">
        <v>21</v>
      </c>
      <c r="G500" t="s">
        <v>22</v>
      </c>
      <c r="H500">
        <v>274.5</v>
      </c>
      <c r="I500">
        <v>261.5</v>
      </c>
      <c r="J500">
        <v>100.7</v>
      </c>
      <c r="K500">
        <v>67</v>
      </c>
      <c r="L500">
        <v>26.6</v>
      </c>
      <c r="M500">
        <v>10</v>
      </c>
      <c r="N500">
        <v>0.133101726527877</v>
      </c>
      <c r="O500">
        <v>0.40417913698798202</v>
      </c>
    </row>
    <row r="501" spans="1:15" x14ac:dyDescent="0.3">
      <c r="A501">
        <v>2321</v>
      </c>
      <c r="B501">
        <v>1851</v>
      </c>
      <c r="C501">
        <v>218</v>
      </c>
      <c r="D501" t="s">
        <v>19</v>
      </c>
      <c r="E501" t="s">
        <v>16</v>
      </c>
      <c r="F501" t="s">
        <v>17</v>
      </c>
      <c r="G501" t="s">
        <v>26</v>
      </c>
      <c r="H501">
        <v>274.5</v>
      </c>
      <c r="I501">
        <v>258</v>
      </c>
      <c r="J501">
        <v>101.5</v>
      </c>
      <c r="K501">
        <v>66.5</v>
      </c>
      <c r="L501">
        <v>27.9</v>
      </c>
      <c r="M501">
        <v>10</v>
      </c>
      <c r="N501">
        <v>0.11447570848208399</v>
      </c>
      <c r="O501">
        <v>8.5011456378683695E-2</v>
      </c>
    </row>
    <row r="502" spans="1:15" x14ac:dyDescent="0.3">
      <c r="A502">
        <v>2322</v>
      </c>
      <c r="B502">
        <v>1851</v>
      </c>
      <c r="C502">
        <v>218</v>
      </c>
      <c r="D502" t="s">
        <v>19</v>
      </c>
      <c r="E502" t="s">
        <v>16</v>
      </c>
      <c r="F502" t="s">
        <v>17</v>
      </c>
      <c r="G502" t="s">
        <v>26</v>
      </c>
      <c r="H502">
        <v>274.5</v>
      </c>
      <c r="I502">
        <v>258</v>
      </c>
      <c r="J502">
        <v>101.5</v>
      </c>
      <c r="K502">
        <v>66.5</v>
      </c>
      <c r="L502">
        <v>27.9</v>
      </c>
      <c r="M502">
        <v>10</v>
      </c>
      <c r="N502">
        <v>0.13386762403049199</v>
      </c>
      <c r="O502">
        <v>8.9770327922618895E-2</v>
      </c>
    </row>
    <row r="503" spans="1:15" x14ac:dyDescent="0.3">
      <c r="A503">
        <v>2323</v>
      </c>
      <c r="B503">
        <v>1851</v>
      </c>
      <c r="C503">
        <v>218</v>
      </c>
      <c r="D503" t="s">
        <v>19</v>
      </c>
      <c r="E503" t="s">
        <v>16</v>
      </c>
      <c r="F503" t="s">
        <v>17</v>
      </c>
      <c r="G503" t="s">
        <v>26</v>
      </c>
      <c r="H503">
        <v>274.5</v>
      </c>
      <c r="I503">
        <v>258</v>
      </c>
      <c r="J503">
        <v>101.5</v>
      </c>
      <c r="K503">
        <v>66.5</v>
      </c>
      <c r="L503">
        <v>27.9</v>
      </c>
      <c r="M503">
        <v>10</v>
      </c>
      <c r="N503">
        <v>0.117602549643071</v>
      </c>
      <c r="O503">
        <v>9.5922066700481104E-2</v>
      </c>
    </row>
    <row r="504" spans="1:15" x14ac:dyDescent="0.3">
      <c r="A504">
        <v>2328</v>
      </c>
      <c r="B504">
        <v>1853</v>
      </c>
      <c r="C504">
        <v>246</v>
      </c>
      <c r="D504" t="s">
        <v>23</v>
      </c>
      <c r="E504" t="s">
        <v>16</v>
      </c>
      <c r="F504" t="s">
        <v>17</v>
      </c>
      <c r="G504" t="s">
        <v>24</v>
      </c>
      <c r="H504">
        <v>278.2</v>
      </c>
      <c r="I504">
        <v>257</v>
      </c>
      <c r="J504">
        <v>97.9</v>
      </c>
      <c r="K504">
        <v>67</v>
      </c>
      <c r="L504">
        <v>24.3</v>
      </c>
      <c r="M504">
        <v>12.5</v>
      </c>
      <c r="N504">
        <v>0.16137671434552101</v>
      </c>
      <c r="O504">
        <v>0.37330152968997699</v>
      </c>
    </row>
    <row r="505" spans="1:15" x14ac:dyDescent="0.3">
      <c r="A505">
        <v>2329</v>
      </c>
      <c r="B505">
        <v>1853</v>
      </c>
      <c r="C505">
        <v>246</v>
      </c>
      <c r="D505" t="s">
        <v>23</v>
      </c>
      <c r="E505" t="s">
        <v>16</v>
      </c>
      <c r="F505" t="s">
        <v>17</v>
      </c>
      <c r="G505" t="s">
        <v>24</v>
      </c>
      <c r="H505">
        <v>278.2</v>
      </c>
      <c r="I505">
        <v>257</v>
      </c>
      <c r="J505">
        <v>97.9</v>
      </c>
      <c r="K505">
        <v>67</v>
      </c>
      <c r="L505">
        <v>24.3</v>
      </c>
      <c r="M505">
        <v>12.5</v>
      </c>
      <c r="N505">
        <v>0.152681414913825</v>
      </c>
      <c r="O505">
        <v>0.37807164045709402</v>
      </c>
    </row>
    <row r="506" spans="1:15" x14ac:dyDescent="0.3">
      <c r="A506">
        <v>2330</v>
      </c>
      <c r="B506">
        <v>1853</v>
      </c>
      <c r="C506">
        <v>246</v>
      </c>
      <c r="D506" t="s">
        <v>23</v>
      </c>
      <c r="E506" t="s">
        <v>16</v>
      </c>
      <c r="F506" t="s">
        <v>17</v>
      </c>
      <c r="G506" t="s">
        <v>24</v>
      </c>
      <c r="H506">
        <v>278.2</v>
      </c>
      <c r="I506">
        <v>257</v>
      </c>
      <c r="J506">
        <v>97.9</v>
      </c>
      <c r="K506">
        <v>67</v>
      </c>
      <c r="L506">
        <v>24.3</v>
      </c>
      <c r="M506">
        <v>12.5</v>
      </c>
      <c r="N506">
        <v>0.14703421848166001</v>
      </c>
      <c r="O506">
        <v>0.408758791165171</v>
      </c>
    </row>
    <row r="507" spans="1:15" x14ac:dyDescent="0.3">
      <c r="A507">
        <v>2331</v>
      </c>
      <c r="B507">
        <v>1853</v>
      </c>
      <c r="C507">
        <v>246</v>
      </c>
      <c r="D507" t="s">
        <v>23</v>
      </c>
      <c r="E507" t="s">
        <v>16</v>
      </c>
      <c r="F507" t="s">
        <v>17</v>
      </c>
      <c r="G507" t="s">
        <v>24</v>
      </c>
      <c r="H507">
        <v>278.2</v>
      </c>
      <c r="I507">
        <v>257</v>
      </c>
      <c r="J507">
        <v>97.9</v>
      </c>
      <c r="K507">
        <v>67</v>
      </c>
      <c r="L507">
        <v>24.3</v>
      </c>
      <c r="M507">
        <v>12.5</v>
      </c>
      <c r="N507">
        <v>0.14707828038265</v>
      </c>
      <c r="O507">
        <v>0.39386073960547702</v>
      </c>
    </row>
    <row r="508" spans="1:15" x14ac:dyDescent="0.3">
      <c r="A508">
        <v>2332</v>
      </c>
      <c r="B508">
        <v>1853</v>
      </c>
      <c r="C508">
        <v>246</v>
      </c>
      <c r="D508" t="s">
        <v>23</v>
      </c>
      <c r="E508" t="s">
        <v>16</v>
      </c>
      <c r="F508" t="s">
        <v>17</v>
      </c>
      <c r="G508" t="s">
        <v>24</v>
      </c>
      <c r="H508">
        <v>278.2</v>
      </c>
      <c r="I508">
        <v>257</v>
      </c>
      <c r="J508">
        <v>97.9</v>
      </c>
      <c r="K508">
        <v>67</v>
      </c>
      <c r="L508">
        <v>24.3</v>
      </c>
      <c r="M508">
        <v>12.5</v>
      </c>
      <c r="N508">
        <v>0.165461710890321</v>
      </c>
      <c r="O508">
        <v>0.373193611170131</v>
      </c>
    </row>
    <row r="509" spans="1:15" x14ac:dyDescent="0.3">
      <c r="A509">
        <v>2333</v>
      </c>
      <c r="B509">
        <v>1855</v>
      </c>
      <c r="C509">
        <v>314</v>
      </c>
      <c r="D509" t="s">
        <v>19</v>
      </c>
      <c r="E509" t="s">
        <v>20</v>
      </c>
      <c r="F509" t="s">
        <v>17</v>
      </c>
      <c r="G509" t="s">
        <v>26</v>
      </c>
      <c r="H509">
        <v>273.5</v>
      </c>
      <c r="I509">
        <v>251.5</v>
      </c>
      <c r="J509">
        <v>97.5</v>
      </c>
      <c r="K509">
        <v>65</v>
      </c>
      <c r="L509">
        <v>25.5</v>
      </c>
      <c r="M509">
        <v>13</v>
      </c>
      <c r="N509">
        <v>0.210683607971658</v>
      </c>
      <c r="O509">
        <v>9.0180104817595599E-2</v>
      </c>
    </row>
    <row r="510" spans="1:15" x14ac:dyDescent="0.3">
      <c r="A510">
        <v>2334</v>
      </c>
      <c r="B510">
        <v>1855</v>
      </c>
      <c r="C510">
        <v>314</v>
      </c>
      <c r="D510" t="s">
        <v>19</v>
      </c>
      <c r="E510" t="s">
        <v>20</v>
      </c>
      <c r="F510" t="s">
        <v>17</v>
      </c>
      <c r="G510" t="s">
        <v>26</v>
      </c>
      <c r="H510">
        <v>273.5</v>
      </c>
      <c r="I510">
        <v>251.5</v>
      </c>
      <c r="J510">
        <v>97.5</v>
      </c>
      <c r="K510">
        <v>65</v>
      </c>
      <c r="L510">
        <v>25.5</v>
      </c>
      <c r="M510">
        <v>13</v>
      </c>
      <c r="N510">
        <v>0.21678492548612799</v>
      </c>
      <c r="O510">
        <v>9.1723381071539795E-2</v>
      </c>
    </row>
    <row r="511" spans="1:15" x14ac:dyDescent="0.3">
      <c r="A511">
        <v>2335</v>
      </c>
      <c r="B511">
        <v>1855</v>
      </c>
      <c r="C511">
        <v>314</v>
      </c>
      <c r="D511" t="s">
        <v>19</v>
      </c>
      <c r="E511" t="s">
        <v>20</v>
      </c>
      <c r="F511" t="s">
        <v>17</v>
      </c>
      <c r="G511" t="s">
        <v>26</v>
      </c>
      <c r="H511">
        <v>273.5</v>
      </c>
      <c r="I511">
        <v>251.5</v>
      </c>
      <c r="J511">
        <v>97.5</v>
      </c>
      <c r="K511">
        <v>65</v>
      </c>
      <c r="L511">
        <v>25.5</v>
      </c>
      <c r="M511">
        <v>13</v>
      </c>
      <c r="N511">
        <v>0.24783333695097101</v>
      </c>
      <c r="O511">
        <v>7.1965432730215204E-2</v>
      </c>
    </row>
    <row r="512" spans="1:15" x14ac:dyDescent="0.3">
      <c r="A512">
        <v>2336</v>
      </c>
      <c r="B512">
        <v>1855</v>
      </c>
      <c r="C512">
        <v>314</v>
      </c>
      <c r="D512" t="s">
        <v>19</v>
      </c>
      <c r="E512" t="s">
        <v>20</v>
      </c>
      <c r="F512" t="s">
        <v>17</v>
      </c>
      <c r="G512" t="s">
        <v>26</v>
      </c>
      <c r="H512">
        <v>273.5</v>
      </c>
      <c r="I512">
        <v>251.5</v>
      </c>
      <c r="J512">
        <v>97.5</v>
      </c>
      <c r="K512">
        <v>65</v>
      </c>
      <c r="L512">
        <v>25.5</v>
      </c>
      <c r="M512">
        <v>13</v>
      </c>
      <c r="N512">
        <v>0.24720491355054899</v>
      </c>
      <c r="O512">
        <v>6.9717480430296699E-2</v>
      </c>
    </row>
    <row r="513" spans="1:15" x14ac:dyDescent="0.3">
      <c r="A513">
        <v>2337</v>
      </c>
      <c r="B513">
        <v>1856</v>
      </c>
      <c r="C513">
        <v>335</v>
      </c>
      <c r="D513" t="s">
        <v>19</v>
      </c>
      <c r="E513" t="s">
        <v>20</v>
      </c>
      <c r="F513" t="s">
        <v>17</v>
      </c>
      <c r="G513" t="s">
        <v>26</v>
      </c>
      <c r="H513">
        <v>278.5</v>
      </c>
      <c r="I513">
        <v>240.5</v>
      </c>
      <c r="J513">
        <v>94.4</v>
      </c>
      <c r="K513">
        <v>69</v>
      </c>
      <c r="L513">
        <v>25.8</v>
      </c>
      <c r="M513">
        <v>8.5</v>
      </c>
      <c r="N513">
        <v>3.5044379798871199E-2</v>
      </c>
      <c r="O513">
        <v>4.67046386106032E-2</v>
      </c>
    </row>
    <row r="514" spans="1:15" x14ac:dyDescent="0.3">
      <c r="A514">
        <v>2338</v>
      </c>
      <c r="B514">
        <v>1856</v>
      </c>
      <c r="C514">
        <v>335</v>
      </c>
      <c r="D514" t="s">
        <v>19</v>
      </c>
      <c r="E514" t="s">
        <v>20</v>
      </c>
      <c r="F514" t="s">
        <v>17</v>
      </c>
      <c r="G514" t="s">
        <v>26</v>
      </c>
      <c r="H514">
        <v>278.5</v>
      </c>
      <c r="I514">
        <v>240.5</v>
      </c>
      <c r="J514">
        <v>94.4</v>
      </c>
      <c r="K514">
        <v>69</v>
      </c>
      <c r="L514">
        <v>25.8</v>
      </c>
      <c r="M514">
        <v>8.5</v>
      </c>
      <c r="N514">
        <v>4.6472175090227497E-2</v>
      </c>
      <c r="O514">
        <v>2.3551162798950202E-2</v>
      </c>
    </row>
    <row r="515" spans="1:15" x14ac:dyDescent="0.3">
      <c r="A515">
        <v>2360</v>
      </c>
      <c r="B515">
        <v>1863</v>
      </c>
      <c r="C515">
        <v>255</v>
      </c>
      <c r="D515" t="s">
        <v>19</v>
      </c>
      <c r="E515" t="s">
        <v>16</v>
      </c>
      <c r="F515" t="s">
        <v>17</v>
      </c>
      <c r="G515" t="s">
        <v>18</v>
      </c>
      <c r="H515">
        <v>278.2</v>
      </c>
      <c r="I515">
        <v>254.5</v>
      </c>
      <c r="J515">
        <v>94.5</v>
      </c>
      <c r="K515">
        <v>67</v>
      </c>
      <c r="L515">
        <v>27.9</v>
      </c>
      <c r="M515">
        <v>11.5</v>
      </c>
      <c r="N515">
        <v>0.28081649005376202</v>
      </c>
      <c r="O515">
        <v>0.11472115460191799</v>
      </c>
    </row>
    <row r="516" spans="1:15" x14ac:dyDescent="0.3">
      <c r="A516">
        <v>2363</v>
      </c>
      <c r="B516">
        <v>1863</v>
      </c>
      <c r="C516">
        <v>255</v>
      </c>
      <c r="D516" t="s">
        <v>19</v>
      </c>
      <c r="E516" t="s">
        <v>16</v>
      </c>
      <c r="F516" t="s">
        <v>17</v>
      </c>
      <c r="G516" t="s">
        <v>18</v>
      </c>
      <c r="H516">
        <v>278.2</v>
      </c>
      <c r="I516">
        <v>254.5</v>
      </c>
      <c r="J516">
        <v>94.5</v>
      </c>
      <c r="K516">
        <v>67</v>
      </c>
      <c r="L516">
        <v>27.9</v>
      </c>
      <c r="M516">
        <v>11.5</v>
      </c>
      <c r="N516">
        <v>0.26553860668861901</v>
      </c>
      <c r="O516">
        <v>0.13315747002574699</v>
      </c>
    </row>
    <row r="517" spans="1:15" x14ac:dyDescent="0.3">
      <c r="A517">
        <v>2373</v>
      </c>
      <c r="B517">
        <v>1866</v>
      </c>
      <c r="C517">
        <v>301</v>
      </c>
      <c r="D517" t="s">
        <v>15</v>
      </c>
      <c r="E517" t="s">
        <v>20</v>
      </c>
      <c r="F517" t="s">
        <v>21</v>
      </c>
      <c r="G517" t="s">
        <v>18</v>
      </c>
      <c r="H517">
        <v>275.5</v>
      </c>
      <c r="I517">
        <v>250</v>
      </c>
      <c r="J517">
        <v>94.4</v>
      </c>
      <c r="K517">
        <v>68.5</v>
      </c>
      <c r="L517">
        <v>22.1</v>
      </c>
      <c r="M517">
        <v>6</v>
      </c>
      <c r="N517">
        <v>0.21426313574697201</v>
      </c>
      <c r="O517">
        <v>1.2783427009875101E-2</v>
      </c>
    </row>
    <row r="518" spans="1:15" x14ac:dyDescent="0.3">
      <c r="A518">
        <v>2376</v>
      </c>
      <c r="B518">
        <v>1869</v>
      </c>
      <c r="C518">
        <v>314</v>
      </c>
      <c r="D518" t="s">
        <v>19</v>
      </c>
      <c r="E518" t="s">
        <v>20</v>
      </c>
      <c r="F518" t="s">
        <v>21</v>
      </c>
      <c r="G518" t="s">
        <v>24</v>
      </c>
      <c r="H518">
        <v>273.5</v>
      </c>
      <c r="I518">
        <v>251.5</v>
      </c>
      <c r="J518">
        <v>97.5</v>
      </c>
      <c r="K518">
        <v>65</v>
      </c>
      <c r="L518">
        <v>25.5</v>
      </c>
      <c r="M518">
        <v>13</v>
      </c>
      <c r="N518">
        <v>0.24303557014909399</v>
      </c>
      <c r="O518">
        <v>7.6164390030398293E-2</v>
      </c>
    </row>
    <row r="519" spans="1:15" x14ac:dyDescent="0.3">
      <c r="A519">
        <v>2377</v>
      </c>
      <c r="B519">
        <v>1869</v>
      </c>
      <c r="C519">
        <v>314</v>
      </c>
      <c r="D519" t="s">
        <v>19</v>
      </c>
      <c r="E519" t="s">
        <v>20</v>
      </c>
      <c r="F519" t="s">
        <v>21</v>
      </c>
      <c r="G519" t="s">
        <v>24</v>
      </c>
      <c r="H519">
        <v>273.5</v>
      </c>
      <c r="I519">
        <v>251.5</v>
      </c>
      <c r="J519">
        <v>97.5</v>
      </c>
      <c r="K519">
        <v>65</v>
      </c>
      <c r="L519">
        <v>25.5</v>
      </c>
      <c r="M519">
        <v>13</v>
      </c>
      <c r="N519">
        <v>0.25478599906104099</v>
      </c>
      <c r="O519">
        <v>8.7649923488720097E-2</v>
      </c>
    </row>
    <row r="520" spans="1:15" x14ac:dyDescent="0.3">
      <c r="A520">
        <v>2378</v>
      </c>
      <c r="B520">
        <v>187</v>
      </c>
      <c r="C520">
        <v>332</v>
      </c>
      <c r="D520" t="s">
        <v>15</v>
      </c>
      <c r="E520" t="s">
        <v>16</v>
      </c>
      <c r="F520" t="s">
        <v>21</v>
      </c>
      <c r="G520" t="s">
        <v>18</v>
      </c>
      <c r="H520">
        <v>276.8</v>
      </c>
      <c r="I520">
        <v>249.5</v>
      </c>
      <c r="J520">
        <v>91.1</v>
      </c>
      <c r="K520">
        <v>65.5</v>
      </c>
      <c r="L520">
        <v>24.7</v>
      </c>
      <c r="M520">
        <v>8.5</v>
      </c>
      <c r="N520">
        <v>0.114656054018048</v>
      </c>
      <c r="O520">
        <v>0.13243359515722</v>
      </c>
    </row>
    <row r="521" spans="1:15" x14ac:dyDescent="0.3">
      <c r="A521">
        <v>2379</v>
      </c>
      <c r="B521">
        <v>187</v>
      </c>
      <c r="C521">
        <v>332</v>
      </c>
      <c r="D521" t="s">
        <v>15</v>
      </c>
      <c r="E521" t="s">
        <v>16</v>
      </c>
      <c r="F521" t="s">
        <v>21</v>
      </c>
      <c r="G521" t="s">
        <v>18</v>
      </c>
      <c r="H521">
        <v>276.8</v>
      </c>
      <c r="I521">
        <v>249.5</v>
      </c>
      <c r="J521">
        <v>91.1</v>
      </c>
      <c r="K521">
        <v>65.5</v>
      </c>
      <c r="L521">
        <v>24.7</v>
      </c>
      <c r="M521">
        <v>8.5</v>
      </c>
      <c r="N521">
        <v>9.8115010041543105E-2</v>
      </c>
      <c r="O521">
        <v>0.12414427179306101</v>
      </c>
    </row>
    <row r="522" spans="1:15" x14ac:dyDescent="0.3">
      <c r="A522">
        <v>2380</v>
      </c>
      <c r="B522">
        <v>187</v>
      </c>
      <c r="C522">
        <v>332</v>
      </c>
      <c r="D522" t="s">
        <v>15</v>
      </c>
      <c r="E522" t="s">
        <v>16</v>
      </c>
      <c r="F522" t="s">
        <v>21</v>
      </c>
      <c r="G522" t="s">
        <v>18</v>
      </c>
      <c r="H522">
        <v>276.8</v>
      </c>
      <c r="I522">
        <v>249.5</v>
      </c>
      <c r="J522">
        <v>91.1</v>
      </c>
      <c r="K522">
        <v>65.5</v>
      </c>
      <c r="L522">
        <v>24.7</v>
      </c>
      <c r="M522">
        <v>8.5</v>
      </c>
      <c r="N522">
        <v>0.130279804291667</v>
      </c>
      <c r="O522">
        <v>0.10973162550853</v>
      </c>
    </row>
    <row r="523" spans="1:15" x14ac:dyDescent="0.3">
      <c r="A523">
        <v>2385</v>
      </c>
      <c r="B523">
        <v>1871</v>
      </c>
      <c r="C523">
        <v>135</v>
      </c>
      <c r="D523" t="s">
        <v>23</v>
      </c>
      <c r="E523" t="s">
        <v>16</v>
      </c>
      <c r="F523" t="s">
        <v>21</v>
      </c>
      <c r="G523" t="s">
        <v>22</v>
      </c>
      <c r="H523">
        <v>272.89999999999998</v>
      </c>
      <c r="I523">
        <v>240</v>
      </c>
      <c r="J523">
        <v>92.6</v>
      </c>
      <c r="K523">
        <v>67</v>
      </c>
      <c r="L523">
        <v>26.5</v>
      </c>
      <c r="M523">
        <v>12</v>
      </c>
      <c r="N523">
        <v>0.15534732458258299</v>
      </c>
      <c r="O523">
        <v>0.16969253632783499</v>
      </c>
    </row>
    <row r="524" spans="1:15" x14ac:dyDescent="0.3">
      <c r="A524">
        <v>2396</v>
      </c>
      <c r="B524">
        <v>1875</v>
      </c>
      <c r="C524">
        <v>395</v>
      </c>
      <c r="D524" t="s">
        <v>23</v>
      </c>
      <c r="E524" t="s">
        <v>20</v>
      </c>
      <c r="F524" t="s">
        <v>17</v>
      </c>
      <c r="G524" t="s">
        <v>18</v>
      </c>
      <c r="H524">
        <v>273.60000000000002</v>
      </c>
      <c r="I524">
        <v>247</v>
      </c>
      <c r="J524">
        <v>94</v>
      </c>
      <c r="K524">
        <v>68</v>
      </c>
      <c r="L524">
        <v>26.7</v>
      </c>
      <c r="M524">
        <v>7.5</v>
      </c>
      <c r="N524">
        <v>0.15655051764247499</v>
      </c>
      <c r="O524">
        <v>0.34358201468133098</v>
      </c>
    </row>
    <row r="525" spans="1:15" x14ac:dyDescent="0.3">
      <c r="A525">
        <v>2417</v>
      </c>
      <c r="B525">
        <v>1882</v>
      </c>
      <c r="C525">
        <v>325</v>
      </c>
      <c r="D525" t="s">
        <v>19</v>
      </c>
      <c r="E525" t="s">
        <v>16</v>
      </c>
      <c r="F525" t="s">
        <v>17</v>
      </c>
      <c r="G525" t="s">
        <v>18</v>
      </c>
      <c r="H525">
        <v>274</v>
      </c>
      <c r="I525">
        <v>243.5</v>
      </c>
      <c r="J525">
        <v>94.8</v>
      </c>
      <c r="K525">
        <v>65.5</v>
      </c>
      <c r="L525">
        <v>26.1</v>
      </c>
      <c r="M525">
        <v>13</v>
      </c>
      <c r="N525">
        <v>0.212491859828604</v>
      </c>
      <c r="O525">
        <v>8.2094156044613203E-2</v>
      </c>
    </row>
    <row r="526" spans="1:15" x14ac:dyDescent="0.3">
      <c r="A526">
        <v>2437</v>
      </c>
      <c r="B526">
        <v>1889</v>
      </c>
      <c r="C526">
        <v>320</v>
      </c>
      <c r="D526" t="s">
        <v>19</v>
      </c>
      <c r="E526" t="s">
        <v>20</v>
      </c>
      <c r="F526" t="s">
        <v>21</v>
      </c>
      <c r="G526" t="s">
        <v>24</v>
      </c>
      <c r="H526">
        <v>279</v>
      </c>
      <c r="I526">
        <v>253.5</v>
      </c>
      <c r="J526">
        <v>97.1</v>
      </c>
      <c r="K526">
        <v>64</v>
      </c>
      <c r="L526">
        <v>24</v>
      </c>
      <c r="M526">
        <v>8</v>
      </c>
      <c r="N526">
        <v>0.17513159367155101</v>
      </c>
      <c r="O526">
        <v>4.5775778488108099E-2</v>
      </c>
    </row>
    <row r="527" spans="1:15" x14ac:dyDescent="0.3">
      <c r="A527">
        <v>2438</v>
      </c>
      <c r="B527">
        <v>1889</v>
      </c>
      <c r="C527">
        <v>320</v>
      </c>
      <c r="D527" t="s">
        <v>19</v>
      </c>
      <c r="E527" t="s">
        <v>20</v>
      </c>
      <c r="F527" t="s">
        <v>21</v>
      </c>
      <c r="G527" t="s">
        <v>24</v>
      </c>
      <c r="H527">
        <v>279</v>
      </c>
      <c r="I527">
        <v>253.5</v>
      </c>
      <c r="J527">
        <v>97.1</v>
      </c>
      <c r="K527">
        <v>64</v>
      </c>
      <c r="L527">
        <v>24</v>
      </c>
      <c r="M527">
        <v>8</v>
      </c>
      <c r="N527">
        <v>0.14592958773519299</v>
      </c>
      <c r="O527">
        <v>2.65768690899017E-2</v>
      </c>
    </row>
    <row r="528" spans="1:15" x14ac:dyDescent="0.3">
      <c r="A528">
        <v>2439</v>
      </c>
      <c r="B528">
        <v>1889</v>
      </c>
      <c r="C528">
        <v>320</v>
      </c>
      <c r="D528" t="s">
        <v>19</v>
      </c>
      <c r="E528" t="s">
        <v>20</v>
      </c>
      <c r="F528" t="s">
        <v>21</v>
      </c>
      <c r="G528" t="s">
        <v>24</v>
      </c>
      <c r="H528">
        <v>279</v>
      </c>
      <c r="I528">
        <v>253.5</v>
      </c>
      <c r="J528">
        <v>97.1</v>
      </c>
      <c r="K528">
        <v>64</v>
      </c>
      <c r="L528">
        <v>24</v>
      </c>
      <c r="M528">
        <v>8</v>
      </c>
      <c r="N528">
        <v>0.15491657331016501</v>
      </c>
      <c r="O528">
        <v>3.1183792615715401E-2</v>
      </c>
    </row>
    <row r="529" spans="1:15" x14ac:dyDescent="0.3">
      <c r="A529">
        <v>2440</v>
      </c>
      <c r="B529">
        <v>189</v>
      </c>
      <c r="C529">
        <v>298</v>
      </c>
      <c r="D529" t="s">
        <v>19</v>
      </c>
      <c r="E529" t="s">
        <v>20</v>
      </c>
      <c r="F529" t="s">
        <v>17</v>
      </c>
      <c r="G529" t="s">
        <v>26</v>
      </c>
      <c r="H529">
        <v>275.60000000000002</v>
      </c>
      <c r="I529">
        <v>251</v>
      </c>
      <c r="J529">
        <v>95.1</v>
      </c>
      <c r="K529">
        <v>66.5</v>
      </c>
      <c r="L529">
        <v>25.3</v>
      </c>
      <c r="M529">
        <v>10.5</v>
      </c>
      <c r="N529">
        <v>0.29697834990375499</v>
      </c>
      <c r="O529">
        <v>7.2443817375381303E-2</v>
      </c>
    </row>
    <row r="530" spans="1:15" x14ac:dyDescent="0.3">
      <c r="A530">
        <v>2467</v>
      </c>
      <c r="B530">
        <v>1896</v>
      </c>
      <c r="C530">
        <v>249</v>
      </c>
      <c r="D530" t="s">
        <v>19</v>
      </c>
      <c r="E530" t="s">
        <v>16</v>
      </c>
      <c r="F530" t="s">
        <v>21</v>
      </c>
      <c r="G530" t="s">
        <v>18</v>
      </c>
      <c r="H530">
        <v>275.7</v>
      </c>
      <c r="I530">
        <v>254.5</v>
      </c>
      <c r="J530">
        <v>97.9</v>
      </c>
      <c r="K530">
        <v>66</v>
      </c>
      <c r="L530">
        <v>26.3</v>
      </c>
      <c r="M530">
        <v>9</v>
      </c>
      <c r="N530">
        <v>0.23500290298423501</v>
      </c>
      <c r="O530">
        <v>4.9815949381298102E-2</v>
      </c>
    </row>
    <row r="531" spans="1:15" x14ac:dyDescent="0.3">
      <c r="A531">
        <v>2471</v>
      </c>
      <c r="B531">
        <v>1899</v>
      </c>
      <c r="C531">
        <v>68</v>
      </c>
      <c r="D531" t="s">
        <v>19</v>
      </c>
      <c r="E531" t="s">
        <v>20</v>
      </c>
      <c r="F531" t="s">
        <v>17</v>
      </c>
      <c r="G531" t="s">
        <v>18</v>
      </c>
      <c r="H531">
        <v>275.60000000000002</v>
      </c>
      <c r="I531">
        <v>254.5</v>
      </c>
      <c r="J531">
        <v>95.5</v>
      </c>
      <c r="K531">
        <v>65.5</v>
      </c>
      <c r="L531">
        <v>29.1</v>
      </c>
      <c r="M531">
        <v>10</v>
      </c>
      <c r="N531">
        <v>0.22242869350931299</v>
      </c>
      <c r="O531">
        <v>0.17688642222260401</v>
      </c>
    </row>
    <row r="532" spans="1:15" x14ac:dyDescent="0.3">
      <c r="A532">
        <v>2490</v>
      </c>
      <c r="B532">
        <v>1904</v>
      </c>
      <c r="C532">
        <v>269</v>
      </c>
      <c r="D532" t="s">
        <v>19</v>
      </c>
      <c r="E532" t="s">
        <v>20</v>
      </c>
      <c r="F532" t="s">
        <v>17</v>
      </c>
      <c r="G532" t="s">
        <v>24</v>
      </c>
      <c r="H532">
        <v>273.8</v>
      </c>
      <c r="I532">
        <v>243</v>
      </c>
      <c r="J532">
        <v>91.5</v>
      </c>
      <c r="K532">
        <v>66</v>
      </c>
      <c r="L532">
        <v>24.8</v>
      </c>
      <c r="M532">
        <v>8.5</v>
      </c>
      <c r="N532">
        <v>6.3076322496874504E-2</v>
      </c>
      <c r="O532">
        <v>0.12888555245215999</v>
      </c>
    </row>
    <row r="533" spans="1:15" x14ac:dyDescent="0.3">
      <c r="A533">
        <v>2491</v>
      </c>
      <c r="B533">
        <v>1904</v>
      </c>
      <c r="C533">
        <v>269</v>
      </c>
      <c r="D533" t="s">
        <v>19</v>
      </c>
      <c r="E533" t="s">
        <v>20</v>
      </c>
      <c r="F533" t="s">
        <v>17</v>
      </c>
      <c r="G533" t="s">
        <v>24</v>
      </c>
      <c r="H533">
        <v>273.8</v>
      </c>
      <c r="I533">
        <v>243</v>
      </c>
      <c r="J533">
        <v>91.5</v>
      </c>
      <c r="K533">
        <v>66</v>
      </c>
      <c r="L533">
        <v>24.8</v>
      </c>
      <c r="M533">
        <v>8.5</v>
      </c>
      <c r="N533">
        <v>7.5201012609107706E-2</v>
      </c>
      <c r="O533">
        <v>0.112135997177213</v>
      </c>
    </row>
    <row r="534" spans="1:15" x14ac:dyDescent="0.3">
      <c r="A534">
        <v>2492</v>
      </c>
      <c r="B534">
        <v>1904</v>
      </c>
      <c r="C534">
        <v>269</v>
      </c>
      <c r="D534" t="s">
        <v>19</v>
      </c>
      <c r="E534" t="s">
        <v>20</v>
      </c>
      <c r="F534" t="s">
        <v>17</v>
      </c>
      <c r="G534" t="s">
        <v>24</v>
      </c>
      <c r="H534">
        <v>273.8</v>
      </c>
      <c r="I534">
        <v>243</v>
      </c>
      <c r="J534">
        <v>91.5</v>
      </c>
      <c r="K534">
        <v>66</v>
      </c>
      <c r="L534">
        <v>24.8</v>
      </c>
      <c r="M534">
        <v>8.5</v>
      </c>
      <c r="N534">
        <v>8.9089754574797106E-2</v>
      </c>
      <c r="O534">
        <v>0.11391309329490699</v>
      </c>
    </row>
    <row r="535" spans="1:15" x14ac:dyDescent="0.3">
      <c r="A535">
        <v>2493</v>
      </c>
      <c r="B535">
        <v>1904</v>
      </c>
      <c r="C535">
        <v>269</v>
      </c>
      <c r="D535" t="s">
        <v>19</v>
      </c>
      <c r="E535" t="s">
        <v>20</v>
      </c>
      <c r="F535" t="s">
        <v>17</v>
      </c>
      <c r="G535" t="s">
        <v>24</v>
      </c>
      <c r="H535">
        <v>273.8</v>
      </c>
      <c r="I535">
        <v>243</v>
      </c>
      <c r="J535">
        <v>91.5</v>
      </c>
      <c r="K535">
        <v>66</v>
      </c>
      <c r="L535">
        <v>24.8</v>
      </c>
      <c r="M535">
        <v>8.5</v>
      </c>
      <c r="N535">
        <v>8.3876636671691596E-2</v>
      </c>
      <c r="O535">
        <v>0.11404857360774601</v>
      </c>
    </row>
    <row r="536" spans="1:15" x14ac:dyDescent="0.3">
      <c r="A536">
        <v>2494</v>
      </c>
      <c r="B536">
        <v>1904</v>
      </c>
      <c r="C536">
        <v>269</v>
      </c>
      <c r="D536" t="s">
        <v>19</v>
      </c>
      <c r="E536" t="s">
        <v>20</v>
      </c>
      <c r="F536" t="s">
        <v>17</v>
      </c>
      <c r="G536" t="s">
        <v>24</v>
      </c>
      <c r="H536">
        <v>273.8</v>
      </c>
      <c r="I536">
        <v>243</v>
      </c>
      <c r="J536">
        <v>91.5</v>
      </c>
      <c r="K536">
        <v>66</v>
      </c>
      <c r="L536">
        <v>24.8</v>
      </c>
      <c r="M536">
        <v>8.5</v>
      </c>
      <c r="N536">
        <v>7.4936374503696807E-2</v>
      </c>
      <c r="O536">
        <v>0.13087154747551599</v>
      </c>
    </row>
    <row r="537" spans="1:15" x14ac:dyDescent="0.3">
      <c r="A537">
        <v>2495</v>
      </c>
      <c r="B537">
        <v>1904</v>
      </c>
      <c r="C537">
        <v>269</v>
      </c>
      <c r="D537" t="s">
        <v>19</v>
      </c>
      <c r="E537" t="s">
        <v>20</v>
      </c>
      <c r="F537" t="s">
        <v>17</v>
      </c>
      <c r="G537" t="s">
        <v>24</v>
      </c>
      <c r="H537">
        <v>273.8</v>
      </c>
      <c r="I537">
        <v>243</v>
      </c>
      <c r="J537">
        <v>91.5</v>
      </c>
      <c r="K537">
        <v>66</v>
      </c>
      <c r="L537">
        <v>24.8</v>
      </c>
      <c r="M537">
        <v>8.5</v>
      </c>
      <c r="N537">
        <v>7.6709797881503394E-2</v>
      </c>
      <c r="O537">
        <v>0.11961355995978901</v>
      </c>
    </row>
    <row r="538" spans="1:15" x14ac:dyDescent="0.3">
      <c r="A538">
        <v>2497</v>
      </c>
      <c r="B538">
        <v>1905</v>
      </c>
      <c r="C538">
        <v>483</v>
      </c>
      <c r="D538" t="s">
        <v>23</v>
      </c>
      <c r="E538" t="s">
        <v>20</v>
      </c>
      <c r="F538" t="s">
        <v>17</v>
      </c>
      <c r="G538" t="s">
        <v>24</v>
      </c>
      <c r="H538">
        <v>271.89999999999998</v>
      </c>
      <c r="I538">
        <v>246</v>
      </c>
      <c r="J538">
        <v>94.4</v>
      </c>
      <c r="K538">
        <v>60.5</v>
      </c>
      <c r="L538">
        <v>27.6</v>
      </c>
      <c r="M538">
        <v>13.5</v>
      </c>
      <c r="N538">
        <v>9.9251828940676398E-2</v>
      </c>
      <c r="O538">
        <v>0.20519533114715599</v>
      </c>
    </row>
    <row r="539" spans="1:15" x14ac:dyDescent="0.3">
      <c r="A539">
        <v>2498</v>
      </c>
      <c r="B539">
        <v>1905</v>
      </c>
      <c r="C539">
        <v>483</v>
      </c>
      <c r="D539" t="s">
        <v>23</v>
      </c>
      <c r="E539" t="s">
        <v>20</v>
      </c>
      <c r="F539" t="s">
        <v>17</v>
      </c>
      <c r="G539" t="s">
        <v>24</v>
      </c>
      <c r="H539">
        <v>271.89999999999998</v>
      </c>
      <c r="I539">
        <v>246</v>
      </c>
      <c r="J539">
        <v>94.4</v>
      </c>
      <c r="K539">
        <v>60.5</v>
      </c>
      <c r="L539">
        <v>27.6</v>
      </c>
      <c r="M539">
        <v>13.5</v>
      </c>
      <c r="N539">
        <v>0.116494088036121</v>
      </c>
      <c r="O539">
        <v>0.18408045350871299</v>
      </c>
    </row>
    <row r="540" spans="1:15" x14ac:dyDescent="0.3">
      <c r="A540">
        <v>2526</v>
      </c>
      <c r="B540">
        <v>1914</v>
      </c>
      <c r="C540">
        <v>98</v>
      </c>
      <c r="D540" t="s">
        <v>23</v>
      </c>
      <c r="E540" t="s">
        <v>20</v>
      </c>
      <c r="F540" t="s">
        <v>17</v>
      </c>
      <c r="G540" t="s">
        <v>24</v>
      </c>
      <c r="H540">
        <v>276.60000000000002</v>
      </c>
      <c r="I540">
        <v>257.5</v>
      </c>
      <c r="J540">
        <v>95.2</v>
      </c>
      <c r="K540">
        <v>67.5</v>
      </c>
      <c r="L540">
        <v>24.1</v>
      </c>
      <c r="M540">
        <v>9.5</v>
      </c>
      <c r="N540">
        <v>0.18230424489129099</v>
      </c>
      <c r="O540">
        <v>0.37469823273432101</v>
      </c>
    </row>
    <row r="541" spans="1:15" x14ac:dyDescent="0.3">
      <c r="A541">
        <v>2527</v>
      </c>
      <c r="B541">
        <v>1914</v>
      </c>
      <c r="C541">
        <v>98</v>
      </c>
      <c r="D541" t="s">
        <v>23</v>
      </c>
      <c r="E541" t="s">
        <v>20</v>
      </c>
      <c r="F541" t="s">
        <v>17</v>
      </c>
      <c r="G541" t="s">
        <v>24</v>
      </c>
      <c r="H541">
        <v>276.60000000000002</v>
      </c>
      <c r="I541">
        <v>257.5</v>
      </c>
      <c r="J541">
        <v>95.2</v>
      </c>
      <c r="K541">
        <v>67.5</v>
      </c>
      <c r="L541">
        <v>24.1</v>
      </c>
      <c r="M541">
        <v>9.5</v>
      </c>
      <c r="N541">
        <v>0.18694756668715701</v>
      </c>
      <c r="O541">
        <v>0.39221887953700602</v>
      </c>
    </row>
    <row r="542" spans="1:15" x14ac:dyDescent="0.3">
      <c r="A542">
        <v>2528</v>
      </c>
      <c r="B542">
        <v>1914</v>
      </c>
      <c r="C542">
        <v>98</v>
      </c>
      <c r="D542" t="s">
        <v>23</v>
      </c>
      <c r="E542" t="s">
        <v>20</v>
      </c>
      <c r="F542" t="s">
        <v>17</v>
      </c>
      <c r="G542" t="s">
        <v>24</v>
      </c>
      <c r="H542">
        <v>276.60000000000002</v>
      </c>
      <c r="I542">
        <v>257.5</v>
      </c>
      <c r="J542">
        <v>95.2</v>
      </c>
      <c r="K542">
        <v>67.5</v>
      </c>
      <c r="L542">
        <v>24.1</v>
      </c>
      <c r="M542">
        <v>9.5</v>
      </c>
      <c r="N542">
        <v>0.18811799196866</v>
      </c>
      <c r="O542">
        <v>0.394987370190579</v>
      </c>
    </row>
    <row r="543" spans="1:15" x14ac:dyDescent="0.3">
      <c r="A543">
        <v>2533</v>
      </c>
      <c r="B543">
        <v>1917</v>
      </c>
      <c r="C543">
        <v>149</v>
      </c>
      <c r="D543" t="s">
        <v>19</v>
      </c>
      <c r="E543" t="s">
        <v>20</v>
      </c>
      <c r="F543" t="s">
        <v>17</v>
      </c>
      <c r="G543" t="s">
        <v>26</v>
      </c>
      <c r="H543">
        <v>275.8</v>
      </c>
      <c r="I543">
        <v>245.5</v>
      </c>
      <c r="J543">
        <v>93.1</v>
      </c>
      <c r="K543">
        <v>67</v>
      </c>
      <c r="L543">
        <v>28.1</v>
      </c>
      <c r="M543">
        <v>7</v>
      </c>
      <c r="N543">
        <v>0.147377222957179</v>
      </c>
      <c r="O543">
        <v>9.8504339486082004E-2</v>
      </c>
    </row>
    <row r="544" spans="1:15" x14ac:dyDescent="0.3">
      <c r="A544">
        <v>2534</v>
      </c>
      <c r="B544">
        <v>1917</v>
      </c>
      <c r="C544">
        <v>149</v>
      </c>
      <c r="D544" t="s">
        <v>19</v>
      </c>
      <c r="E544" t="s">
        <v>20</v>
      </c>
      <c r="F544" t="s">
        <v>17</v>
      </c>
      <c r="G544" t="s">
        <v>26</v>
      </c>
      <c r="H544">
        <v>275.8</v>
      </c>
      <c r="I544">
        <v>245.5</v>
      </c>
      <c r="J544">
        <v>93.1</v>
      </c>
      <c r="K544">
        <v>67</v>
      </c>
      <c r="L544">
        <v>28.1</v>
      </c>
      <c r="M544">
        <v>7</v>
      </c>
      <c r="N544">
        <v>0.167825379798788</v>
      </c>
      <c r="O544">
        <v>0.109943261162813</v>
      </c>
    </row>
    <row r="545" spans="1:15" x14ac:dyDescent="0.3">
      <c r="A545">
        <v>2535</v>
      </c>
      <c r="B545">
        <v>1917</v>
      </c>
      <c r="C545">
        <v>149</v>
      </c>
      <c r="D545" t="s">
        <v>19</v>
      </c>
      <c r="E545" t="s">
        <v>20</v>
      </c>
      <c r="F545" t="s">
        <v>17</v>
      </c>
      <c r="G545" t="s">
        <v>26</v>
      </c>
      <c r="H545">
        <v>275.8</v>
      </c>
      <c r="I545">
        <v>245.5</v>
      </c>
      <c r="J545">
        <v>93.1</v>
      </c>
      <c r="K545">
        <v>67</v>
      </c>
      <c r="L545">
        <v>28.1</v>
      </c>
      <c r="M545">
        <v>7</v>
      </c>
      <c r="N545">
        <v>0.15656288680737299</v>
      </c>
      <c r="O545">
        <v>7.8095566922262299E-2</v>
      </c>
    </row>
    <row r="546" spans="1:15" x14ac:dyDescent="0.3">
      <c r="A546">
        <v>2536</v>
      </c>
      <c r="B546">
        <v>1917</v>
      </c>
      <c r="C546">
        <v>149</v>
      </c>
      <c r="D546" t="s">
        <v>19</v>
      </c>
      <c r="E546" t="s">
        <v>20</v>
      </c>
      <c r="F546" t="s">
        <v>17</v>
      </c>
      <c r="G546" t="s">
        <v>26</v>
      </c>
      <c r="H546">
        <v>275.8</v>
      </c>
      <c r="I546">
        <v>245.5</v>
      </c>
      <c r="J546">
        <v>93.1</v>
      </c>
      <c r="K546">
        <v>67</v>
      </c>
      <c r="L546">
        <v>28.1</v>
      </c>
      <c r="M546">
        <v>7</v>
      </c>
      <c r="N546">
        <v>0.155525408677157</v>
      </c>
      <c r="O546">
        <v>0.107486676313417</v>
      </c>
    </row>
    <row r="547" spans="1:15" x14ac:dyDescent="0.3">
      <c r="A547">
        <v>2539</v>
      </c>
      <c r="B547">
        <v>1919</v>
      </c>
      <c r="C547">
        <v>26</v>
      </c>
      <c r="D547" t="s">
        <v>23</v>
      </c>
      <c r="E547" t="s">
        <v>20</v>
      </c>
      <c r="F547" t="s">
        <v>21</v>
      </c>
      <c r="G547" t="s">
        <v>25</v>
      </c>
      <c r="H547">
        <v>270.5</v>
      </c>
      <c r="I547">
        <v>243.5</v>
      </c>
      <c r="J547">
        <v>95.9</v>
      </c>
      <c r="K547">
        <v>66</v>
      </c>
      <c r="L547">
        <v>26.9</v>
      </c>
      <c r="M547">
        <v>6</v>
      </c>
      <c r="N547">
        <v>0.186675647424414</v>
      </c>
      <c r="O547">
        <v>0.37962382095282299</v>
      </c>
    </row>
    <row r="548" spans="1:15" x14ac:dyDescent="0.3">
      <c r="A548">
        <v>2544</v>
      </c>
      <c r="B548">
        <v>1920</v>
      </c>
      <c r="C548">
        <v>388</v>
      </c>
      <c r="D548" t="s">
        <v>19</v>
      </c>
      <c r="E548" t="s">
        <v>16</v>
      </c>
      <c r="F548" t="s">
        <v>21</v>
      </c>
      <c r="G548" t="s">
        <v>26</v>
      </c>
      <c r="H548">
        <v>277.10000000000002</v>
      </c>
      <c r="I548">
        <v>244.5</v>
      </c>
      <c r="J548">
        <v>91.9</v>
      </c>
      <c r="K548">
        <v>62.5</v>
      </c>
      <c r="L548">
        <v>25.9</v>
      </c>
      <c r="M548">
        <v>7</v>
      </c>
      <c r="N548">
        <v>9.1311322552465796E-2</v>
      </c>
      <c r="O548">
        <v>6.91890385529257E-2</v>
      </c>
    </row>
    <row r="549" spans="1:15" x14ac:dyDescent="0.3">
      <c r="A549">
        <v>2564</v>
      </c>
      <c r="B549">
        <v>1928</v>
      </c>
      <c r="C549">
        <v>80</v>
      </c>
      <c r="D549" t="s">
        <v>23</v>
      </c>
      <c r="E549" t="s">
        <v>20</v>
      </c>
      <c r="F549" t="s">
        <v>17</v>
      </c>
      <c r="G549" t="s">
        <v>26</v>
      </c>
      <c r="H549">
        <v>279</v>
      </c>
      <c r="I549">
        <v>254</v>
      </c>
      <c r="J549">
        <v>97.1</v>
      </c>
      <c r="K549">
        <v>67</v>
      </c>
      <c r="L549">
        <v>24.6</v>
      </c>
      <c r="M549">
        <v>7</v>
      </c>
      <c r="N549">
        <v>0.19478574959772199</v>
      </c>
      <c r="O549">
        <v>0.34361155733634202</v>
      </c>
    </row>
    <row r="550" spans="1:15" x14ac:dyDescent="0.3">
      <c r="A550">
        <v>2565</v>
      </c>
      <c r="B550">
        <v>1928</v>
      </c>
      <c r="C550">
        <v>80</v>
      </c>
      <c r="D550" t="s">
        <v>23</v>
      </c>
      <c r="E550" t="s">
        <v>20</v>
      </c>
      <c r="F550" t="s">
        <v>17</v>
      </c>
      <c r="G550" t="s">
        <v>26</v>
      </c>
      <c r="H550">
        <v>279</v>
      </c>
      <c r="I550">
        <v>254</v>
      </c>
      <c r="J550">
        <v>97.1</v>
      </c>
      <c r="K550">
        <v>67</v>
      </c>
      <c r="L550">
        <v>24.6</v>
      </c>
      <c r="M550">
        <v>7</v>
      </c>
      <c r="N550">
        <v>0.2032241497909</v>
      </c>
      <c r="O550">
        <v>0.32614576792988198</v>
      </c>
    </row>
    <row r="551" spans="1:15" x14ac:dyDescent="0.3">
      <c r="A551">
        <v>2591</v>
      </c>
      <c r="B551">
        <v>1939</v>
      </c>
      <c r="C551">
        <v>61</v>
      </c>
      <c r="D551" t="s">
        <v>23</v>
      </c>
      <c r="E551" t="s">
        <v>20</v>
      </c>
      <c r="F551" t="s">
        <v>17</v>
      </c>
      <c r="G551" t="s">
        <v>26</v>
      </c>
      <c r="H551">
        <v>272.3</v>
      </c>
      <c r="I551">
        <v>239</v>
      </c>
      <c r="J551">
        <v>94.1</v>
      </c>
      <c r="K551">
        <v>68</v>
      </c>
      <c r="L551">
        <v>23.9</v>
      </c>
      <c r="M551">
        <v>4.5</v>
      </c>
      <c r="N551">
        <v>0.31306728154731001</v>
      </c>
      <c r="O551">
        <v>0.38340497772537202</v>
      </c>
    </row>
    <row r="552" spans="1:15" x14ac:dyDescent="0.3">
      <c r="A552">
        <v>2592</v>
      </c>
      <c r="B552">
        <v>1939</v>
      </c>
      <c r="C552">
        <v>61</v>
      </c>
      <c r="D552" t="s">
        <v>23</v>
      </c>
      <c r="E552" t="s">
        <v>20</v>
      </c>
      <c r="F552" t="s">
        <v>17</v>
      </c>
      <c r="G552" t="s">
        <v>26</v>
      </c>
      <c r="H552">
        <v>272.3</v>
      </c>
      <c r="I552">
        <v>239</v>
      </c>
      <c r="J552">
        <v>94.1</v>
      </c>
      <c r="K552">
        <v>68</v>
      </c>
      <c r="L552">
        <v>23.9</v>
      </c>
      <c r="M552">
        <v>4.5</v>
      </c>
      <c r="N552">
        <v>0.31168093126352298</v>
      </c>
      <c r="O552">
        <v>0.38132286682862798</v>
      </c>
    </row>
    <row r="553" spans="1:15" x14ac:dyDescent="0.3">
      <c r="A553">
        <v>2593</v>
      </c>
      <c r="B553">
        <v>1939</v>
      </c>
      <c r="C553">
        <v>61</v>
      </c>
      <c r="D553" t="s">
        <v>23</v>
      </c>
      <c r="E553" t="s">
        <v>20</v>
      </c>
      <c r="F553" t="s">
        <v>17</v>
      </c>
      <c r="G553" t="s">
        <v>26</v>
      </c>
      <c r="H553">
        <v>272.3</v>
      </c>
      <c r="I553">
        <v>239</v>
      </c>
      <c r="J553">
        <v>94.1</v>
      </c>
      <c r="K553">
        <v>68</v>
      </c>
      <c r="L553">
        <v>23.9</v>
      </c>
      <c r="M553">
        <v>4.5</v>
      </c>
      <c r="N553">
        <v>0.29763810680887698</v>
      </c>
      <c r="O553">
        <v>0.38956585675706701</v>
      </c>
    </row>
    <row r="554" spans="1:15" x14ac:dyDescent="0.3">
      <c r="A554">
        <v>2601</v>
      </c>
      <c r="B554">
        <v>1942</v>
      </c>
      <c r="C554">
        <v>301</v>
      </c>
      <c r="D554" t="s">
        <v>15</v>
      </c>
      <c r="E554" t="s">
        <v>20</v>
      </c>
      <c r="F554" t="s">
        <v>17</v>
      </c>
      <c r="G554" t="s">
        <v>22</v>
      </c>
      <c r="H554">
        <v>275.5</v>
      </c>
      <c r="I554">
        <v>250</v>
      </c>
      <c r="J554">
        <v>94.4</v>
      </c>
      <c r="K554">
        <v>68.5</v>
      </c>
      <c r="L554">
        <v>22.1</v>
      </c>
      <c r="M554">
        <v>6</v>
      </c>
      <c r="N554">
        <v>0.21289688323605199</v>
      </c>
      <c r="O554">
        <v>1.82437974388053E-2</v>
      </c>
    </row>
    <row r="555" spans="1:15" x14ac:dyDescent="0.3">
      <c r="A555">
        <v>2634</v>
      </c>
      <c r="B555">
        <v>1956</v>
      </c>
      <c r="C555">
        <v>322</v>
      </c>
      <c r="D555" t="s">
        <v>23</v>
      </c>
      <c r="E555" t="s">
        <v>20</v>
      </c>
      <c r="F555" t="s">
        <v>17</v>
      </c>
      <c r="G555" t="s">
        <v>24</v>
      </c>
      <c r="H555">
        <v>276.7</v>
      </c>
      <c r="I555">
        <v>250</v>
      </c>
      <c r="J555">
        <v>99.1</v>
      </c>
      <c r="K555">
        <v>67.5</v>
      </c>
      <c r="L555">
        <v>26</v>
      </c>
      <c r="M555">
        <v>5.5</v>
      </c>
      <c r="N555">
        <v>0.19246340971224499</v>
      </c>
      <c r="O555">
        <v>0.31666233991081999</v>
      </c>
    </row>
    <row r="556" spans="1:15" x14ac:dyDescent="0.3">
      <c r="A556">
        <v>2635</v>
      </c>
      <c r="B556">
        <v>1956</v>
      </c>
      <c r="C556">
        <v>322</v>
      </c>
      <c r="D556" t="s">
        <v>23</v>
      </c>
      <c r="E556" t="s">
        <v>20</v>
      </c>
      <c r="F556" t="s">
        <v>17</v>
      </c>
      <c r="G556" t="s">
        <v>24</v>
      </c>
      <c r="H556">
        <v>276.7</v>
      </c>
      <c r="I556">
        <v>250</v>
      </c>
      <c r="J556">
        <v>99.1</v>
      </c>
      <c r="K556">
        <v>67.5</v>
      </c>
      <c r="L556">
        <v>26</v>
      </c>
      <c r="M556">
        <v>5.5</v>
      </c>
      <c r="N556">
        <v>0.19266605363123099</v>
      </c>
      <c r="O556">
        <v>0.32975771635677498</v>
      </c>
    </row>
    <row r="557" spans="1:15" x14ac:dyDescent="0.3">
      <c r="A557">
        <v>2636</v>
      </c>
      <c r="B557">
        <v>1956</v>
      </c>
      <c r="C557">
        <v>322</v>
      </c>
      <c r="D557" t="s">
        <v>23</v>
      </c>
      <c r="E557" t="s">
        <v>20</v>
      </c>
      <c r="F557" t="s">
        <v>17</v>
      </c>
      <c r="G557" t="s">
        <v>24</v>
      </c>
      <c r="H557">
        <v>276.7</v>
      </c>
      <c r="I557">
        <v>250</v>
      </c>
      <c r="J557">
        <v>99.1</v>
      </c>
      <c r="K557">
        <v>67.5</v>
      </c>
      <c r="L557">
        <v>26</v>
      </c>
      <c r="M557">
        <v>5.5</v>
      </c>
      <c r="N557">
        <v>0.15883898626832901</v>
      </c>
      <c r="O557">
        <v>0.34494090868645999</v>
      </c>
    </row>
    <row r="558" spans="1:15" x14ac:dyDescent="0.3">
      <c r="A558">
        <v>2638</v>
      </c>
      <c r="B558">
        <v>1957</v>
      </c>
      <c r="C558">
        <v>31</v>
      </c>
      <c r="D558" t="s">
        <v>23</v>
      </c>
      <c r="E558" t="s">
        <v>16</v>
      </c>
      <c r="F558" t="s">
        <v>21</v>
      </c>
      <c r="G558" t="s">
        <v>22</v>
      </c>
      <c r="H558">
        <v>274</v>
      </c>
      <c r="I558">
        <v>250</v>
      </c>
      <c r="J558">
        <v>99.4</v>
      </c>
      <c r="K558">
        <v>68.5</v>
      </c>
      <c r="L558">
        <v>23.2</v>
      </c>
      <c r="M558">
        <v>10</v>
      </c>
      <c r="N558">
        <v>0.222283141964809</v>
      </c>
      <c r="O558">
        <v>0.17152764760997299</v>
      </c>
    </row>
    <row r="559" spans="1:15" x14ac:dyDescent="0.3">
      <c r="A559">
        <v>2684</v>
      </c>
      <c r="B559">
        <v>1976</v>
      </c>
      <c r="C559">
        <v>232</v>
      </c>
      <c r="D559" t="s">
        <v>19</v>
      </c>
      <c r="E559" t="s">
        <v>16</v>
      </c>
      <c r="F559" t="s">
        <v>17</v>
      </c>
      <c r="G559" t="s">
        <v>26</v>
      </c>
      <c r="H559">
        <v>277.8</v>
      </c>
      <c r="I559">
        <v>249</v>
      </c>
      <c r="J559">
        <v>95.2</v>
      </c>
      <c r="K559">
        <v>67.5</v>
      </c>
      <c r="L559">
        <v>28.4</v>
      </c>
      <c r="M559">
        <v>7.5</v>
      </c>
      <c r="N559">
        <v>0.15037194159713199</v>
      </c>
      <c r="O559">
        <v>4.3273724238175798E-2</v>
      </c>
    </row>
    <row r="560" spans="1:15" x14ac:dyDescent="0.3">
      <c r="A560">
        <v>2685</v>
      </c>
      <c r="B560">
        <v>1976</v>
      </c>
      <c r="C560">
        <v>232</v>
      </c>
      <c r="D560" t="s">
        <v>19</v>
      </c>
      <c r="E560" t="s">
        <v>16</v>
      </c>
      <c r="F560" t="s">
        <v>17</v>
      </c>
      <c r="G560" t="s">
        <v>26</v>
      </c>
      <c r="H560">
        <v>277.8</v>
      </c>
      <c r="I560">
        <v>249</v>
      </c>
      <c r="J560">
        <v>95.2</v>
      </c>
      <c r="K560">
        <v>67.5</v>
      </c>
      <c r="L560">
        <v>28.4</v>
      </c>
      <c r="M560">
        <v>7.5</v>
      </c>
      <c r="N560">
        <v>0.11605375426324301</v>
      </c>
      <c r="O560">
        <v>5.70369866827884E-2</v>
      </c>
    </row>
    <row r="561" spans="1:15" x14ac:dyDescent="0.3">
      <c r="A561">
        <v>2686</v>
      </c>
      <c r="B561">
        <v>1976</v>
      </c>
      <c r="C561">
        <v>232</v>
      </c>
      <c r="D561" t="s">
        <v>19</v>
      </c>
      <c r="E561" t="s">
        <v>16</v>
      </c>
      <c r="F561" t="s">
        <v>17</v>
      </c>
      <c r="G561" t="s">
        <v>26</v>
      </c>
      <c r="H561">
        <v>277.8</v>
      </c>
      <c r="I561">
        <v>249</v>
      </c>
      <c r="J561">
        <v>95.2</v>
      </c>
      <c r="K561">
        <v>67.5</v>
      </c>
      <c r="L561">
        <v>28.4</v>
      </c>
      <c r="M561">
        <v>7.5</v>
      </c>
      <c r="N561">
        <v>0.11784390645213</v>
      </c>
      <c r="O561">
        <v>7.6236997377321897E-2</v>
      </c>
    </row>
    <row r="562" spans="1:15" x14ac:dyDescent="0.3">
      <c r="A562">
        <v>2692</v>
      </c>
      <c r="B562">
        <v>1978</v>
      </c>
      <c r="C562">
        <v>298</v>
      </c>
      <c r="D562" t="s">
        <v>19</v>
      </c>
      <c r="E562" t="s">
        <v>20</v>
      </c>
      <c r="F562" t="s">
        <v>17</v>
      </c>
      <c r="G562" t="s">
        <v>26</v>
      </c>
      <c r="H562">
        <v>275.60000000000002</v>
      </c>
      <c r="I562">
        <v>251</v>
      </c>
      <c r="J562">
        <v>95.1</v>
      </c>
      <c r="K562">
        <v>66.5</v>
      </c>
      <c r="L562">
        <v>25.3</v>
      </c>
      <c r="M562">
        <v>10.5</v>
      </c>
      <c r="N562">
        <v>0.29201374659317098</v>
      </c>
      <c r="O562">
        <v>7.0658239535374104E-2</v>
      </c>
    </row>
    <row r="563" spans="1:15" x14ac:dyDescent="0.3">
      <c r="A563">
        <v>2699</v>
      </c>
      <c r="B563">
        <v>1980</v>
      </c>
      <c r="C563">
        <v>366</v>
      </c>
      <c r="D563" t="s">
        <v>19</v>
      </c>
      <c r="E563" t="s">
        <v>20</v>
      </c>
      <c r="F563" t="s">
        <v>21</v>
      </c>
      <c r="G563" t="s">
        <v>26</v>
      </c>
      <c r="H563">
        <v>275.89999999999998</v>
      </c>
      <c r="I563">
        <v>255</v>
      </c>
      <c r="J563">
        <v>94.9</v>
      </c>
      <c r="K563">
        <v>64</v>
      </c>
      <c r="L563">
        <v>26.8</v>
      </c>
      <c r="M563">
        <v>17</v>
      </c>
      <c r="N563">
        <v>0.17924312794292999</v>
      </c>
      <c r="O563">
        <v>0.138422358035548</v>
      </c>
    </row>
    <row r="564" spans="1:15" x14ac:dyDescent="0.3">
      <c r="A564">
        <v>2700</v>
      </c>
      <c r="B564">
        <v>1980</v>
      </c>
      <c r="C564">
        <v>366</v>
      </c>
      <c r="D564" t="s">
        <v>19</v>
      </c>
      <c r="E564" t="s">
        <v>20</v>
      </c>
      <c r="F564" t="s">
        <v>21</v>
      </c>
      <c r="G564" t="s">
        <v>26</v>
      </c>
      <c r="H564">
        <v>275.89999999999998</v>
      </c>
      <c r="I564">
        <v>255</v>
      </c>
      <c r="J564">
        <v>94.9</v>
      </c>
      <c r="K564">
        <v>64</v>
      </c>
      <c r="L564">
        <v>26.8</v>
      </c>
      <c r="M564">
        <v>17</v>
      </c>
      <c r="N564">
        <v>0.173058469421637</v>
      </c>
      <c r="O564">
        <v>0.142912905195759</v>
      </c>
    </row>
    <row r="565" spans="1:15" x14ac:dyDescent="0.3">
      <c r="A565">
        <v>2701</v>
      </c>
      <c r="B565">
        <v>1980</v>
      </c>
      <c r="C565">
        <v>366</v>
      </c>
      <c r="D565" t="s">
        <v>19</v>
      </c>
      <c r="E565" t="s">
        <v>20</v>
      </c>
      <c r="F565" t="s">
        <v>21</v>
      </c>
      <c r="G565" t="s">
        <v>26</v>
      </c>
      <c r="H565">
        <v>275.89999999999998</v>
      </c>
      <c r="I565">
        <v>255</v>
      </c>
      <c r="J565">
        <v>94.9</v>
      </c>
      <c r="K565">
        <v>64</v>
      </c>
      <c r="L565">
        <v>26.8</v>
      </c>
      <c r="M565">
        <v>17</v>
      </c>
      <c r="N565">
        <v>0.15854728601120799</v>
      </c>
      <c r="O565">
        <v>0.17155454456670299</v>
      </c>
    </row>
    <row r="566" spans="1:15" x14ac:dyDescent="0.3">
      <c r="A566">
        <v>2711</v>
      </c>
      <c r="B566">
        <v>1984</v>
      </c>
      <c r="C566">
        <v>102</v>
      </c>
      <c r="D566" t="s">
        <v>19</v>
      </c>
      <c r="E566" t="s">
        <v>20</v>
      </c>
      <c r="F566" t="s">
        <v>21</v>
      </c>
      <c r="G566" t="s">
        <v>26</v>
      </c>
      <c r="H566">
        <v>273.60000000000002</v>
      </c>
      <c r="I566">
        <v>246</v>
      </c>
      <c r="J566">
        <v>93.6</v>
      </c>
      <c r="K566">
        <v>64.5</v>
      </c>
      <c r="L566">
        <v>25.6</v>
      </c>
      <c r="M566">
        <v>1.5</v>
      </c>
      <c r="N566">
        <v>0.174084037965339</v>
      </c>
      <c r="O566">
        <v>0.17953263972258501</v>
      </c>
    </row>
    <row r="567" spans="1:15" x14ac:dyDescent="0.3">
      <c r="A567">
        <v>2712</v>
      </c>
      <c r="B567">
        <v>1985</v>
      </c>
      <c r="C567">
        <v>466</v>
      </c>
      <c r="D567" t="s">
        <v>23</v>
      </c>
      <c r="E567" t="s">
        <v>20</v>
      </c>
      <c r="F567" t="s">
        <v>21</v>
      </c>
      <c r="G567" t="s">
        <v>22</v>
      </c>
      <c r="H567">
        <v>282.10000000000002</v>
      </c>
      <c r="I567">
        <v>257</v>
      </c>
      <c r="J567">
        <v>100.3</v>
      </c>
      <c r="K567">
        <v>68.5</v>
      </c>
      <c r="L567">
        <v>27.5</v>
      </c>
      <c r="M567">
        <v>11</v>
      </c>
      <c r="N567">
        <v>4.7076162931696801E-2</v>
      </c>
      <c r="O567">
        <v>0.28030288686069199</v>
      </c>
    </row>
    <row r="568" spans="1:15" x14ac:dyDescent="0.3">
      <c r="A568">
        <v>2713</v>
      </c>
      <c r="B568">
        <v>1985</v>
      </c>
      <c r="C568">
        <v>466</v>
      </c>
      <c r="D568" t="s">
        <v>23</v>
      </c>
      <c r="E568" t="s">
        <v>20</v>
      </c>
      <c r="F568" t="s">
        <v>21</v>
      </c>
      <c r="G568" t="s">
        <v>22</v>
      </c>
      <c r="H568">
        <v>282.10000000000002</v>
      </c>
      <c r="I568">
        <v>257</v>
      </c>
      <c r="J568">
        <v>100.3</v>
      </c>
      <c r="K568">
        <v>68.5</v>
      </c>
      <c r="L568">
        <v>27.5</v>
      </c>
      <c r="M568">
        <v>11</v>
      </c>
      <c r="N568">
        <v>6.1318633509739102E-2</v>
      </c>
      <c r="O568">
        <v>0.270168008286513</v>
      </c>
    </row>
    <row r="569" spans="1:15" x14ac:dyDescent="0.3">
      <c r="A569">
        <v>2714</v>
      </c>
      <c r="B569">
        <v>1985</v>
      </c>
      <c r="C569">
        <v>466</v>
      </c>
      <c r="D569" t="s">
        <v>23</v>
      </c>
      <c r="E569" t="s">
        <v>20</v>
      </c>
      <c r="F569" t="s">
        <v>21</v>
      </c>
      <c r="G569" t="s">
        <v>22</v>
      </c>
      <c r="H569">
        <v>282.10000000000002</v>
      </c>
      <c r="I569">
        <v>257</v>
      </c>
      <c r="J569">
        <v>100.3</v>
      </c>
      <c r="K569">
        <v>68.5</v>
      </c>
      <c r="L569">
        <v>27.5</v>
      </c>
      <c r="M569">
        <v>11</v>
      </c>
      <c r="N569">
        <v>8.3107152108016696E-2</v>
      </c>
      <c r="O569">
        <v>0.30095798213764402</v>
      </c>
    </row>
    <row r="570" spans="1:15" x14ac:dyDescent="0.3">
      <c r="A570">
        <v>2715</v>
      </c>
      <c r="B570">
        <v>1985</v>
      </c>
      <c r="C570">
        <v>466</v>
      </c>
      <c r="D570" t="s">
        <v>23</v>
      </c>
      <c r="E570" t="s">
        <v>20</v>
      </c>
      <c r="F570" t="s">
        <v>21</v>
      </c>
      <c r="G570" t="s">
        <v>22</v>
      </c>
      <c r="H570">
        <v>282.10000000000002</v>
      </c>
      <c r="I570">
        <v>257</v>
      </c>
      <c r="J570">
        <v>100.3</v>
      </c>
      <c r="K570">
        <v>68.5</v>
      </c>
      <c r="L570">
        <v>27.5</v>
      </c>
      <c r="M570">
        <v>11</v>
      </c>
      <c r="N570">
        <v>4.6667667182126199E-2</v>
      </c>
      <c r="O570">
        <v>0.27323893963870499</v>
      </c>
    </row>
    <row r="571" spans="1:15" x14ac:dyDescent="0.3">
      <c r="A571">
        <v>2726</v>
      </c>
      <c r="B571">
        <v>1989</v>
      </c>
      <c r="C571">
        <v>61</v>
      </c>
      <c r="D571" t="s">
        <v>23</v>
      </c>
      <c r="E571" t="s">
        <v>20</v>
      </c>
      <c r="F571" t="s">
        <v>17</v>
      </c>
      <c r="G571" t="s">
        <v>24</v>
      </c>
      <c r="H571">
        <v>272.3</v>
      </c>
      <c r="I571">
        <v>239</v>
      </c>
      <c r="J571">
        <v>94.1</v>
      </c>
      <c r="K571">
        <v>68</v>
      </c>
      <c r="L571">
        <v>23.9</v>
      </c>
      <c r="M571">
        <v>4.5</v>
      </c>
      <c r="N571">
        <v>0.29828467581809098</v>
      </c>
      <c r="O571">
        <v>0.39729430587639702</v>
      </c>
    </row>
    <row r="572" spans="1:15" x14ac:dyDescent="0.3">
      <c r="A572">
        <v>2751</v>
      </c>
      <c r="B572">
        <v>1999</v>
      </c>
      <c r="C572">
        <v>367</v>
      </c>
      <c r="D572" t="s">
        <v>19</v>
      </c>
      <c r="E572" t="s">
        <v>20</v>
      </c>
      <c r="F572" t="s">
        <v>17</v>
      </c>
      <c r="G572" t="s">
        <v>25</v>
      </c>
      <c r="H572">
        <v>272.10000000000002</v>
      </c>
      <c r="I572">
        <v>232</v>
      </c>
      <c r="J572">
        <v>91</v>
      </c>
      <c r="K572">
        <v>65.5</v>
      </c>
      <c r="L572">
        <v>23.9</v>
      </c>
      <c r="M572">
        <v>7.5</v>
      </c>
      <c r="N572">
        <v>0.12614427712297799</v>
      </c>
      <c r="O572">
        <v>0.116962619057385</v>
      </c>
    </row>
    <row r="573" spans="1:15" x14ac:dyDescent="0.3">
      <c r="A573">
        <v>2752</v>
      </c>
      <c r="B573">
        <v>1999</v>
      </c>
      <c r="C573">
        <v>367</v>
      </c>
      <c r="D573" t="s">
        <v>19</v>
      </c>
      <c r="E573" t="s">
        <v>20</v>
      </c>
      <c r="F573" t="s">
        <v>17</v>
      </c>
      <c r="G573" t="s">
        <v>25</v>
      </c>
      <c r="H573">
        <v>272.10000000000002</v>
      </c>
      <c r="I573">
        <v>232</v>
      </c>
      <c r="J573">
        <v>91</v>
      </c>
      <c r="K573">
        <v>65.5</v>
      </c>
      <c r="L573">
        <v>23.9</v>
      </c>
      <c r="M573">
        <v>7.5</v>
      </c>
      <c r="N573">
        <v>0.14288677765039701</v>
      </c>
      <c r="O573">
        <v>7.9983440309170498E-2</v>
      </c>
    </row>
    <row r="574" spans="1:15" x14ac:dyDescent="0.3">
      <c r="A574">
        <v>2753</v>
      </c>
      <c r="B574">
        <v>1999</v>
      </c>
      <c r="C574">
        <v>367</v>
      </c>
      <c r="D574" t="s">
        <v>19</v>
      </c>
      <c r="E574" t="s">
        <v>20</v>
      </c>
      <c r="F574" t="s">
        <v>17</v>
      </c>
      <c r="G574" t="s">
        <v>25</v>
      </c>
      <c r="H574">
        <v>272.10000000000002</v>
      </c>
      <c r="I574">
        <v>232</v>
      </c>
      <c r="J574">
        <v>91</v>
      </c>
      <c r="K574">
        <v>65.5</v>
      </c>
      <c r="L574">
        <v>23.9</v>
      </c>
      <c r="M574">
        <v>7.5</v>
      </c>
      <c r="N574">
        <v>0.130254310747314</v>
      </c>
      <c r="O574">
        <v>0.102868467437479</v>
      </c>
    </row>
    <row r="575" spans="1:15" x14ac:dyDescent="0.3">
      <c r="A575">
        <v>2754</v>
      </c>
      <c r="B575">
        <v>1999</v>
      </c>
      <c r="C575">
        <v>367</v>
      </c>
      <c r="D575" t="s">
        <v>19</v>
      </c>
      <c r="E575" t="s">
        <v>20</v>
      </c>
      <c r="F575" t="s">
        <v>17</v>
      </c>
      <c r="G575" t="s">
        <v>25</v>
      </c>
      <c r="H575">
        <v>272.10000000000002</v>
      </c>
      <c r="I575">
        <v>232</v>
      </c>
      <c r="J575">
        <v>91</v>
      </c>
      <c r="K575">
        <v>65.5</v>
      </c>
      <c r="L575">
        <v>23.9</v>
      </c>
      <c r="M575">
        <v>7.5</v>
      </c>
      <c r="N575">
        <v>0.12845039993408999</v>
      </c>
      <c r="O575">
        <v>9.1344194882176905E-2</v>
      </c>
    </row>
    <row r="576" spans="1:15" x14ac:dyDescent="0.3">
      <c r="A576">
        <v>2760</v>
      </c>
      <c r="B576">
        <v>20</v>
      </c>
      <c r="C576">
        <v>149</v>
      </c>
      <c r="D576" t="s">
        <v>19</v>
      </c>
      <c r="E576" t="s">
        <v>20</v>
      </c>
      <c r="F576" t="s">
        <v>21</v>
      </c>
      <c r="G576" t="s">
        <v>25</v>
      </c>
      <c r="H576">
        <v>275.8</v>
      </c>
      <c r="I576">
        <v>245.5</v>
      </c>
      <c r="J576">
        <v>93.1</v>
      </c>
      <c r="K576">
        <v>67</v>
      </c>
      <c r="L576">
        <v>28.1</v>
      </c>
      <c r="M576">
        <v>7</v>
      </c>
      <c r="N576">
        <v>0.14698031084927099</v>
      </c>
      <c r="O576">
        <v>7.9550840107745699E-2</v>
      </c>
    </row>
    <row r="577" spans="1:15" x14ac:dyDescent="0.3">
      <c r="A577">
        <v>2779</v>
      </c>
      <c r="B577">
        <v>2006</v>
      </c>
      <c r="C577">
        <v>443</v>
      </c>
      <c r="D577" t="s">
        <v>19</v>
      </c>
      <c r="E577" t="s">
        <v>20</v>
      </c>
      <c r="F577" t="s">
        <v>17</v>
      </c>
      <c r="G577" t="s">
        <v>22</v>
      </c>
      <c r="H577">
        <v>272.5</v>
      </c>
      <c r="I577">
        <v>239.5</v>
      </c>
      <c r="J577">
        <v>96</v>
      </c>
      <c r="K577">
        <v>64.5</v>
      </c>
      <c r="L577">
        <v>20.399999999999999</v>
      </c>
      <c r="M577">
        <v>10</v>
      </c>
      <c r="N577">
        <v>0.23522344231202499</v>
      </c>
      <c r="O577">
        <v>5.1591546303186901E-2</v>
      </c>
    </row>
    <row r="578" spans="1:15" x14ac:dyDescent="0.3">
      <c r="A578">
        <v>2780</v>
      </c>
      <c r="B578">
        <v>2006</v>
      </c>
      <c r="C578">
        <v>443</v>
      </c>
      <c r="D578" t="s">
        <v>19</v>
      </c>
      <c r="E578" t="s">
        <v>20</v>
      </c>
      <c r="F578" t="s">
        <v>17</v>
      </c>
      <c r="G578" t="s">
        <v>22</v>
      </c>
      <c r="H578">
        <v>272.5</v>
      </c>
      <c r="I578">
        <v>239.5</v>
      </c>
      <c r="J578">
        <v>96</v>
      </c>
      <c r="K578">
        <v>64.5</v>
      </c>
      <c r="L578">
        <v>20.399999999999999</v>
      </c>
      <c r="M578">
        <v>10</v>
      </c>
      <c r="N578">
        <v>0.24122194221874299</v>
      </c>
      <c r="O578">
        <v>5.0595349559916701E-2</v>
      </c>
    </row>
    <row r="579" spans="1:15" x14ac:dyDescent="0.3">
      <c r="A579">
        <v>2781</v>
      </c>
      <c r="B579">
        <v>2007</v>
      </c>
      <c r="C579">
        <v>66</v>
      </c>
      <c r="D579" t="s">
        <v>23</v>
      </c>
      <c r="E579" t="s">
        <v>20</v>
      </c>
      <c r="F579" t="s">
        <v>21</v>
      </c>
      <c r="G579" t="s">
        <v>25</v>
      </c>
      <c r="H579">
        <v>276.2</v>
      </c>
      <c r="I579">
        <v>258</v>
      </c>
      <c r="J579">
        <v>95.8</v>
      </c>
      <c r="K579">
        <v>63.5</v>
      </c>
      <c r="L579">
        <v>26.4</v>
      </c>
      <c r="M579">
        <v>7</v>
      </c>
      <c r="N579">
        <v>0.15492251688687</v>
      </c>
      <c r="O579">
        <v>0.24834565758185301</v>
      </c>
    </row>
    <row r="580" spans="1:15" x14ac:dyDescent="0.3">
      <c r="A580">
        <v>2782</v>
      </c>
      <c r="B580">
        <v>2007</v>
      </c>
      <c r="C580">
        <v>66</v>
      </c>
      <c r="D580" t="s">
        <v>23</v>
      </c>
      <c r="E580" t="s">
        <v>20</v>
      </c>
      <c r="F580" t="s">
        <v>21</v>
      </c>
      <c r="G580" t="s">
        <v>25</v>
      </c>
      <c r="H580">
        <v>276.2</v>
      </c>
      <c r="I580">
        <v>258</v>
      </c>
      <c r="J580">
        <v>95.8</v>
      </c>
      <c r="K580">
        <v>63.5</v>
      </c>
      <c r="L580">
        <v>26.4</v>
      </c>
      <c r="M580">
        <v>7</v>
      </c>
      <c r="N580">
        <v>0.15814951637774699</v>
      </c>
      <c r="O580">
        <v>0.26456331783542397</v>
      </c>
    </row>
    <row r="581" spans="1:15" x14ac:dyDescent="0.3">
      <c r="A581">
        <v>2789</v>
      </c>
      <c r="B581">
        <v>201</v>
      </c>
      <c r="C581">
        <v>249</v>
      </c>
      <c r="D581" t="s">
        <v>19</v>
      </c>
      <c r="E581" t="s">
        <v>16</v>
      </c>
      <c r="F581" t="s">
        <v>21</v>
      </c>
      <c r="G581" t="s">
        <v>18</v>
      </c>
      <c r="H581">
        <v>275.7</v>
      </c>
      <c r="I581">
        <v>254.5</v>
      </c>
      <c r="J581">
        <v>97.9</v>
      </c>
      <c r="K581">
        <v>66</v>
      </c>
      <c r="L581">
        <v>26.3</v>
      </c>
      <c r="M581">
        <v>9</v>
      </c>
      <c r="N581">
        <v>0.24561239892723499</v>
      </c>
      <c r="O581">
        <v>4.1230851429120301E-2</v>
      </c>
    </row>
    <row r="582" spans="1:15" x14ac:dyDescent="0.3">
      <c r="A582">
        <v>2790</v>
      </c>
      <c r="B582">
        <v>201</v>
      </c>
      <c r="C582">
        <v>249</v>
      </c>
      <c r="D582" t="s">
        <v>19</v>
      </c>
      <c r="E582" t="s">
        <v>16</v>
      </c>
      <c r="F582" t="s">
        <v>21</v>
      </c>
      <c r="G582" t="s">
        <v>18</v>
      </c>
      <c r="H582">
        <v>275.7</v>
      </c>
      <c r="I582">
        <v>254.5</v>
      </c>
      <c r="J582">
        <v>97.9</v>
      </c>
      <c r="K582">
        <v>66</v>
      </c>
      <c r="L582">
        <v>26.3</v>
      </c>
      <c r="M582">
        <v>9</v>
      </c>
      <c r="N582">
        <v>0.22669322838602701</v>
      </c>
      <c r="O582">
        <v>4.3083751841434703E-2</v>
      </c>
    </row>
    <row r="583" spans="1:15" x14ac:dyDescent="0.3">
      <c r="A583">
        <v>2791</v>
      </c>
      <c r="B583">
        <v>201</v>
      </c>
      <c r="C583">
        <v>249</v>
      </c>
      <c r="D583" t="s">
        <v>19</v>
      </c>
      <c r="E583" t="s">
        <v>16</v>
      </c>
      <c r="F583" t="s">
        <v>21</v>
      </c>
      <c r="G583" t="s">
        <v>18</v>
      </c>
      <c r="H583">
        <v>275.7</v>
      </c>
      <c r="I583">
        <v>254.5</v>
      </c>
      <c r="J583">
        <v>97.9</v>
      </c>
      <c r="K583">
        <v>66</v>
      </c>
      <c r="L583">
        <v>26.3</v>
      </c>
      <c r="M583">
        <v>9</v>
      </c>
      <c r="N583">
        <v>0.25726113258003003</v>
      </c>
      <c r="O583">
        <v>3.7074576643524801E-2</v>
      </c>
    </row>
    <row r="584" spans="1:15" x14ac:dyDescent="0.3">
      <c r="A584">
        <v>2792</v>
      </c>
      <c r="B584">
        <v>201</v>
      </c>
      <c r="C584">
        <v>249</v>
      </c>
      <c r="D584" t="s">
        <v>19</v>
      </c>
      <c r="E584" t="s">
        <v>16</v>
      </c>
      <c r="F584" t="s">
        <v>21</v>
      </c>
      <c r="G584" t="s">
        <v>18</v>
      </c>
      <c r="H584">
        <v>275.7</v>
      </c>
      <c r="I584">
        <v>254.5</v>
      </c>
      <c r="J584">
        <v>97.9</v>
      </c>
      <c r="K584">
        <v>66</v>
      </c>
      <c r="L584">
        <v>26.3</v>
      </c>
      <c r="M584">
        <v>9</v>
      </c>
      <c r="N584">
        <v>0.25984234876267098</v>
      </c>
      <c r="O584">
        <v>6.4623016068153002E-2</v>
      </c>
    </row>
    <row r="585" spans="1:15" x14ac:dyDescent="0.3">
      <c r="A585">
        <v>2793</v>
      </c>
      <c r="B585">
        <v>201</v>
      </c>
      <c r="C585">
        <v>249</v>
      </c>
      <c r="D585" t="s">
        <v>19</v>
      </c>
      <c r="E585" t="s">
        <v>16</v>
      </c>
      <c r="F585" t="s">
        <v>21</v>
      </c>
      <c r="G585" t="s">
        <v>18</v>
      </c>
      <c r="H585">
        <v>275.7</v>
      </c>
      <c r="I585">
        <v>254.5</v>
      </c>
      <c r="J585">
        <v>97.9</v>
      </c>
      <c r="K585">
        <v>66</v>
      </c>
      <c r="L585">
        <v>26.3</v>
      </c>
      <c r="M585">
        <v>9</v>
      </c>
      <c r="N585">
        <v>0.262964562602504</v>
      </c>
      <c r="O585">
        <v>4.43708623294976E-2</v>
      </c>
    </row>
    <row r="586" spans="1:15" x14ac:dyDescent="0.3">
      <c r="A586">
        <v>2814</v>
      </c>
      <c r="B586">
        <v>2016</v>
      </c>
      <c r="C586">
        <v>368</v>
      </c>
      <c r="D586" t="s">
        <v>19</v>
      </c>
      <c r="E586" t="s">
        <v>16</v>
      </c>
      <c r="F586" t="s">
        <v>17</v>
      </c>
      <c r="G586" t="s">
        <v>26</v>
      </c>
      <c r="H586">
        <v>273.3</v>
      </c>
      <c r="I586">
        <v>249</v>
      </c>
      <c r="J586">
        <v>98.9</v>
      </c>
      <c r="K586">
        <v>68.5</v>
      </c>
      <c r="L586">
        <v>23.8</v>
      </c>
      <c r="M586">
        <v>9</v>
      </c>
      <c r="N586">
        <v>0.12229548431149</v>
      </c>
      <c r="O586">
        <v>3.1416542619967298E-2</v>
      </c>
    </row>
    <row r="587" spans="1:15" x14ac:dyDescent="0.3">
      <c r="A587">
        <v>2818</v>
      </c>
      <c r="B587">
        <v>2018</v>
      </c>
      <c r="C587">
        <v>232</v>
      </c>
      <c r="D587" t="s">
        <v>19</v>
      </c>
      <c r="E587" t="s">
        <v>16</v>
      </c>
      <c r="F587" t="s">
        <v>21</v>
      </c>
      <c r="G587" t="s">
        <v>25</v>
      </c>
      <c r="H587">
        <v>277.8</v>
      </c>
      <c r="I587">
        <v>249</v>
      </c>
      <c r="J587">
        <v>95.2</v>
      </c>
      <c r="K587">
        <v>67.5</v>
      </c>
      <c r="L587">
        <v>28.4</v>
      </c>
      <c r="M587">
        <v>7.5</v>
      </c>
      <c r="N587">
        <v>0.131839328177068</v>
      </c>
      <c r="O587">
        <v>4.9925935750987201E-2</v>
      </c>
    </row>
    <row r="588" spans="1:15" x14ac:dyDescent="0.3">
      <c r="A588">
        <v>2819</v>
      </c>
      <c r="B588">
        <v>2018</v>
      </c>
      <c r="C588">
        <v>232</v>
      </c>
      <c r="D588" t="s">
        <v>19</v>
      </c>
      <c r="E588" t="s">
        <v>16</v>
      </c>
      <c r="F588" t="s">
        <v>21</v>
      </c>
      <c r="G588" t="s">
        <v>25</v>
      </c>
      <c r="H588">
        <v>277.8</v>
      </c>
      <c r="I588">
        <v>249</v>
      </c>
      <c r="J588">
        <v>95.2</v>
      </c>
      <c r="K588">
        <v>67.5</v>
      </c>
      <c r="L588">
        <v>28.4</v>
      </c>
      <c r="M588">
        <v>7.5</v>
      </c>
      <c r="N588">
        <v>0.146422262496994</v>
      </c>
      <c r="O588">
        <v>4.7767699861053503E-2</v>
      </c>
    </row>
    <row r="589" spans="1:15" x14ac:dyDescent="0.3">
      <c r="A589">
        <v>2820</v>
      </c>
      <c r="B589">
        <v>2018</v>
      </c>
      <c r="C589">
        <v>232</v>
      </c>
      <c r="D589" t="s">
        <v>19</v>
      </c>
      <c r="E589" t="s">
        <v>16</v>
      </c>
      <c r="F589" t="s">
        <v>21</v>
      </c>
      <c r="G589" t="s">
        <v>25</v>
      </c>
      <c r="H589">
        <v>277.8</v>
      </c>
      <c r="I589">
        <v>249</v>
      </c>
      <c r="J589">
        <v>95.2</v>
      </c>
      <c r="K589">
        <v>67.5</v>
      </c>
      <c r="L589">
        <v>28.4</v>
      </c>
      <c r="M589">
        <v>7.5</v>
      </c>
      <c r="N589">
        <v>0.15556400533314299</v>
      </c>
      <c r="O589">
        <v>6.4715295962152905E-2</v>
      </c>
    </row>
    <row r="590" spans="1:15" x14ac:dyDescent="0.3">
      <c r="A590">
        <v>2821</v>
      </c>
      <c r="B590">
        <v>2018</v>
      </c>
      <c r="C590">
        <v>232</v>
      </c>
      <c r="D590" t="s">
        <v>19</v>
      </c>
      <c r="E590" t="s">
        <v>16</v>
      </c>
      <c r="F590" t="s">
        <v>21</v>
      </c>
      <c r="G590" t="s">
        <v>25</v>
      </c>
      <c r="H590">
        <v>277.8</v>
      </c>
      <c r="I590">
        <v>249</v>
      </c>
      <c r="J590">
        <v>95.2</v>
      </c>
      <c r="K590">
        <v>67.5</v>
      </c>
      <c r="L590">
        <v>28.4</v>
      </c>
      <c r="M590">
        <v>7.5</v>
      </c>
      <c r="N590">
        <v>0.134440125029019</v>
      </c>
      <c r="O590">
        <v>7.8981805919257103E-2</v>
      </c>
    </row>
    <row r="591" spans="1:15" x14ac:dyDescent="0.3">
      <c r="A591">
        <v>2827</v>
      </c>
      <c r="B591">
        <v>2020</v>
      </c>
      <c r="C591">
        <v>421</v>
      </c>
      <c r="D591" t="s">
        <v>23</v>
      </c>
      <c r="E591" t="s">
        <v>20</v>
      </c>
      <c r="F591" t="s">
        <v>17</v>
      </c>
      <c r="G591" t="s">
        <v>26</v>
      </c>
      <c r="H591">
        <v>278.8</v>
      </c>
      <c r="I591">
        <v>249.5</v>
      </c>
      <c r="J591">
        <v>96.9</v>
      </c>
      <c r="K591">
        <v>68</v>
      </c>
      <c r="L591">
        <v>28.3</v>
      </c>
      <c r="M591">
        <v>9.5</v>
      </c>
      <c r="N591">
        <v>8.6960213276395804E-2</v>
      </c>
      <c r="O591">
        <v>0.24072221407497599</v>
      </c>
    </row>
    <row r="592" spans="1:15" x14ac:dyDescent="0.3">
      <c r="A592">
        <v>2828</v>
      </c>
      <c r="B592">
        <v>2020</v>
      </c>
      <c r="C592">
        <v>421</v>
      </c>
      <c r="D592" t="s">
        <v>23</v>
      </c>
      <c r="E592" t="s">
        <v>20</v>
      </c>
      <c r="F592" t="s">
        <v>17</v>
      </c>
      <c r="G592" t="s">
        <v>26</v>
      </c>
      <c r="H592">
        <v>278.8</v>
      </c>
      <c r="I592">
        <v>249.5</v>
      </c>
      <c r="J592">
        <v>96.9</v>
      </c>
      <c r="K592">
        <v>68</v>
      </c>
      <c r="L592">
        <v>28.3</v>
      </c>
      <c r="M592">
        <v>9.5</v>
      </c>
      <c r="N592">
        <v>9.1948597631183904E-2</v>
      </c>
      <c r="O592">
        <v>0.226765387338425</v>
      </c>
    </row>
    <row r="593" spans="1:15" x14ac:dyDescent="0.3">
      <c r="A593">
        <v>2836</v>
      </c>
      <c r="B593">
        <v>2022</v>
      </c>
      <c r="C593">
        <v>325</v>
      </c>
      <c r="D593" t="s">
        <v>19</v>
      </c>
      <c r="E593" t="s">
        <v>16</v>
      </c>
      <c r="F593" t="s">
        <v>17</v>
      </c>
      <c r="G593" t="s">
        <v>24</v>
      </c>
      <c r="H593">
        <v>274</v>
      </c>
      <c r="I593">
        <v>243.5</v>
      </c>
      <c r="J593">
        <v>94.8</v>
      </c>
      <c r="K593">
        <v>65.5</v>
      </c>
      <c r="L593">
        <v>26.1</v>
      </c>
      <c r="M593">
        <v>13</v>
      </c>
      <c r="N593">
        <v>0.23164847764826699</v>
      </c>
      <c r="O593">
        <v>6.8734533414797405E-2</v>
      </c>
    </row>
    <row r="594" spans="1:15" x14ac:dyDescent="0.3">
      <c r="A594">
        <v>2837</v>
      </c>
      <c r="B594">
        <v>2022</v>
      </c>
      <c r="C594">
        <v>325</v>
      </c>
      <c r="D594" t="s">
        <v>19</v>
      </c>
      <c r="E594" t="s">
        <v>16</v>
      </c>
      <c r="F594" t="s">
        <v>17</v>
      </c>
      <c r="G594" t="s">
        <v>24</v>
      </c>
      <c r="H594">
        <v>274</v>
      </c>
      <c r="I594">
        <v>243.5</v>
      </c>
      <c r="J594">
        <v>94.8</v>
      </c>
      <c r="K594">
        <v>65.5</v>
      </c>
      <c r="L594">
        <v>26.1</v>
      </c>
      <c r="M594">
        <v>13</v>
      </c>
      <c r="N594">
        <v>0.22826042639601399</v>
      </c>
      <c r="O594">
        <v>7.8336873567253107E-2</v>
      </c>
    </row>
    <row r="595" spans="1:15" x14ac:dyDescent="0.3">
      <c r="A595">
        <v>2838</v>
      </c>
      <c r="B595">
        <v>2022</v>
      </c>
      <c r="C595">
        <v>325</v>
      </c>
      <c r="D595" t="s">
        <v>19</v>
      </c>
      <c r="E595" t="s">
        <v>16</v>
      </c>
      <c r="F595" t="s">
        <v>17</v>
      </c>
      <c r="G595" t="s">
        <v>24</v>
      </c>
      <c r="H595">
        <v>274</v>
      </c>
      <c r="I595">
        <v>243.5</v>
      </c>
      <c r="J595">
        <v>94.8</v>
      </c>
      <c r="K595">
        <v>65.5</v>
      </c>
      <c r="L595">
        <v>26.1</v>
      </c>
      <c r="M595">
        <v>13</v>
      </c>
      <c r="N595">
        <v>0.24562429016029999</v>
      </c>
      <c r="O595">
        <v>9.5807843592196906E-2</v>
      </c>
    </row>
    <row r="596" spans="1:15" x14ac:dyDescent="0.3">
      <c r="A596">
        <v>2839</v>
      </c>
      <c r="B596">
        <v>2022</v>
      </c>
      <c r="C596">
        <v>325</v>
      </c>
      <c r="D596" t="s">
        <v>19</v>
      </c>
      <c r="E596" t="s">
        <v>16</v>
      </c>
      <c r="F596" t="s">
        <v>17</v>
      </c>
      <c r="G596" t="s">
        <v>24</v>
      </c>
      <c r="H596">
        <v>274</v>
      </c>
      <c r="I596">
        <v>243.5</v>
      </c>
      <c r="J596">
        <v>94.8</v>
      </c>
      <c r="K596">
        <v>65.5</v>
      </c>
      <c r="L596">
        <v>26.1</v>
      </c>
      <c r="M596">
        <v>13</v>
      </c>
      <c r="N596">
        <v>0.21426983548039899</v>
      </c>
      <c r="O596">
        <v>7.4882796842202601E-2</v>
      </c>
    </row>
    <row r="597" spans="1:15" x14ac:dyDescent="0.3">
      <c r="A597">
        <v>2841</v>
      </c>
      <c r="B597">
        <v>2024</v>
      </c>
      <c r="C597">
        <v>232</v>
      </c>
      <c r="D597" t="s">
        <v>19</v>
      </c>
      <c r="E597" t="s">
        <v>16</v>
      </c>
      <c r="F597" t="s">
        <v>21</v>
      </c>
      <c r="G597" t="s">
        <v>18</v>
      </c>
      <c r="H597">
        <v>277.8</v>
      </c>
      <c r="I597">
        <v>249</v>
      </c>
      <c r="J597">
        <v>95.2</v>
      </c>
      <c r="K597">
        <v>67.5</v>
      </c>
      <c r="L597">
        <v>28.4</v>
      </c>
      <c r="M597">
        <v>7.5</v>
      </c>
      <c r="N597">
        <v>0.14376423337567201</v>
      </c>
      <c r="O597">
        <v>7.0577197914939799E-2</v>
      </c>
    </row>
    <row r="598" spans="1:15" x14ac:dyDescent="0.3">
      <c r="A598">
        <v>2842</v>
      </c>
      <c r="B598">
        <v>2024</v>
      </c>
      <c r="C598">
        <v>232</v>
      </c>
      <c r="D598" t="s">
        <v>19</v>
      </c>
      <c r="E598" t="s">
        <v>16</v>
      </c>
      <c r="F598" t="s">
        <v>21</v>
      </c>
      <c r="G598" t="s">
        <v>18</v>
      </c>
      <c r="H598">
        <v>277.8</v>
      </c>
      <c r="I598">
        <v>249</v>
      </c>
      <c r="J598">
        <v>95.2</v>
      </c>
      <c r="K598">
        <v>67.5</v>
      </c>
      <c r="L598">
        <v>28.4</v>
      </c>
      <c r="M598">
        <v>7.5</v>
      </c>
      <c r="N598">
        <v>0.13239392099116401</v>
      </c>
      <c r="O598">
        <v>6.6289942758338105E-2</v>
      </c>
    </row>
    <row r="599" spans="1:15" x14ac:dyDescent="0.3">
      <c r="A599">
        <v>2846</v>
      </c>
      <c r="B599">
        <v>2026</v>
      </c>
      <c r="C599">
        <v>155</v>
      </c>
      <c r="D599" t="s">
        <v>19</v>
      </c>
      <c r="E599" t="s">
        <v>16</v>
      </c>
      <c r="F599" t="s">
        <v>17</v>
      </c>
      <c r="G599" t="s">
        <v>26</v>
      </c>
      <c r="H599">
        <v>269.7</v>
      </c>
      <c r="I599">
        <v>241.5</v>
      </c>
      <c r="J599">
        <v>92.4</v>
      </c>
      <c r="K599">
        <v>66</v>
      </c>
      <c r="L599">
        <v>24.4</v>
      </c>
      <c r="M599">
        <v>6.5</v>
      </c>
      <c r="N599">
        <v>0.158749171807125</v>
      </c>
      <c r="O599">
        <v>0.23080080251020299</v>
      </c>
    </row>
    <row r="600" spans="1:15" x14ac:dyDescent="0.3">
      <c r="A600">
        <v>2850</v>
      </c>
      <c r="B600">
        <v>2029</v>
      </c>
      <c r="C600">
        <v>255</v>
      </c>
      <c r="D600" t="s">
        <v>19</v>
      </c>
      <c r="E600" t="s">
        <v>16</v>
      </c>
      <c r="F600" t="s">
        <v>21</v>
      </c>
      <c r="G600" t="s">
        <v>26</v>
      </c>
      <c r="H600">
        <v>278.2</v>
      </c>
      <c r="I600">
        <v>254.5</v>
      </c>
      <c r="J600">
        <v>94.5</v>
      </c>
      <c r="K600">
        <v>67</v>
      </c>
      <c r="L600">
        <v>27.9</v>
      </c>
      <c r="M600">
        <v>11.5</v>
      </c>
      <c r="N600">
        <v>0.27734650261977301</v>
      </c>
      <c r="O600">
        <v>0.12169786529958</v>
      </c>
    </row>
    <row r="601" spans="1:15" x14ac:dyDescent="0.3">
      <c r="A601">
        <v>2862</v>
      </c>
      <c r="B601">
        <v>2034</v>
      </c>
      <c r="C601">
        <v>400</v>
      </c>
      <c r="D601" t="s">
        <v>19</v>
      </c>
      <c r="E601" t="s">
        <v>20</v>
      </c>
      <c r="F601" t="s">
        <v>21</v>
      </c>
      <c r="G601" t="s">
        <v>26</v>
      </c>
      <c r="H601">
        <v>274.10000000000002</v>
      </c>
      <c r="I601">
        <v>253</v>
      </c>
      <c r="J601">
        <v>96.6</v>
      </c>
      <c r="K601">
        <v>66.5</v>
      </c>
      <c r="L601">
        <v>25.5</v>
      </c>
      <c r="M601">
        <v>12</v>
      </c>
      <c r="N601">
        <v>6.7598051273732696E-2</v>
      </c>
      <c r="O601">
        <v>8.82743830360503E-2</v>
      </c>
    </row>
    <row r="602" spans="1:15" x14ac:dyDescent="0.3">
      <c r="A602">
        <v>2863</v>
      </c>
      <c r="B602">
        <v>2034</v>
      </c>
      <c r="C602">
        <v>400</v>
      </c>
      <c r="D602" t="s">
        <v>19</v>
      </c>
      <c r="E602" t="s">
        <v>20</v>
      </c>
      <c r="F602" t="s">
        <v>21</v>
      </c>
      <c r="G602" t="s">
        <v>26</v>
      </c>
      <c r="H602">
        <v>274.10000000000002</v>
      </c>
      <c r="I602">
        <v>253</v>
      </c>
      <c r="J602">
        <v>96.6</v>
      </c>
      <c r="K602">
        <v>66.5</v>
      </c>
      <c r="L602">
        <v>25.5</v>
      </c>
      <c r="M602">
        <v>12</v>
      </c>
      <c r="N602">
        <v>6.4403861507895094E-2</v>
      </c>
      <c r="O602">
        <v>8.7876249673638496E-2</v>
      </c>
    </row>
    <row r="603" spans="1:15" x14ac:dyDescent="0.3">
      <c r="A603">
        <v>2864</v>
      </c>
      <c r="B603">
        <v>2034</v>
      </c>
      <c r="C603">
        <v>400</v>
      </c>
      <c r="D603" t="s">
        <v>19</v>
      </c>
      <c r="E603" t="s">
        <v>20</v>
      </c>
      <c r="F603" t="s">
        <v>21</v>
      </c>
      <c r="G603" t="s">
        <v>26</v>
      </c>
      <c r="H603">
        <v>274.10000000000002</v>
      </c>
      <c r="I603">
        <v>253</v>
      </c>
      <c r="J603">
        <v>96.6</v>
      </c>
      <c r="K603">
        <v>66.5</v>
      </c>
      <c r="L603">
        <v>25.5</v>
      </c>
      <c r="M603">
        <v>12</v>
      </c>
      <c r="N603">
        <v>6.1438487449242497E-2</v>
      </c>
      <c r="O603">
        <v>9.8832216708343495E-2</v>
      </c>
    </row>
    <row r="604" spans="1:15" x14ac:dyDescent="0.3">
      <c r="A604">
        <v>2865</v>
      </c>
      <c r="B604">
        <v>2034</v>
      </c>
      <c r="C604">
        <v>400</v>
      </c>
      <c r="D604" t="s">
        <v>19</v>
      </c>
      <c r="E604" t="s">
        <v>20</v>
      </c>
      <c r="F604" t="s">
        <v>21</v>
      </c>
      <c r="G604" t="s">
        <v>26</v>
      </c>
      <c r="H604">
        <v>274.10000000000002</v>
      </c>
      <c r="I604">
        <v>253</v>
      </c>
      <c r="J604">
        <v>96.6</v>
      </c>
      <c r="K604">
        <v>66.5</v>
      </c>
      <c r="L604">
        <v>25.5</v>
      </c>
      <c r="M604">
        <v>12</v>
      </c>
      <c r="N604">
        <v>7.8692260629122407E-2</v>
      </c>
      <c r="O604">
        <v>0.101487423920203</v>
      </c>
    </row>
    <row r="605" spans="1:15" x14ac:dyDescent="0.3">
      <c r="A605">
        <v>2871</v>
      </c>
      <c r="B605">
        <v>2037</v>
      </c>
      <c r="C605">
        <v>341</v>
      </c>
      <c r="D605" t="s">
        <v>19</v>
      </c>
      <c r="E605" t="s">
        <v>20</v>
      </c>
      <c r="F605" t="s">
        <v>17</v>
      </c>
      <c r="G605" t="s">
        <v>26</v>
      </c>
      <c r="H605">
        <v>273</v>
      </c>
      <c r="I605">
        <v>246.5</v>
      </c>
      <c r="J605">
        <v>95.4</v>
      </c>
      <c r="K605">
        <v>66.5</v>
      </c>
      <c r="L605">
        <v>26.4</v>
      </c>
      <c r="M605">
        <v>11</v>
      </c>
      <c r="N605">
        <v>0.30712481061250002</v>
      </c>
      <c r="O605">
        <v>7.8978671857824201E-2</v>
      </c>
    </row>
    <row r="606" spans="1:15" x14ac:dyDescent="0.3">
      <c r="A606">
        <v>2872</v>
      </c>
      <c r="B606">
        <v>2037</v>
      </c>
      <c r="C606">
        <v>341</v>
      </c>
      <c r="D606" t="s">
        <v>19</v>
      </c>
      <c r="E606" t="s">
        <v>20</v>
      </c>
      <c r="F606" t="s">
        <v>17</v>
      </c>
      <c r="G606" t="s">
        <v>26</v>
      </c>
      <c r="H606">
        <v>273</v>
      </c>
      <c r="I606">
        <v>246.5</v>
      </c>
      <c r="J606">
        <v>95.4</v>
      </c>
      <c r="K606">
        <v>66.5</v>
      </c>
      <c r="L606">
        <v>26.4</v>
      </c>
      <c r="M606">
        <v>11</v>
      </c>
      <c r="N606">
        <v>0.30193011316580198</v>
      </c>
      <c r="O606">
        <v>6.1847248758236002E-2</v>
      </c>
    </row>
    <row r="607" spans="1:15" x14ac:dyDescent="0.3">
      <c r="A607">
        <v>2884</v>
      </c>
      <c r="B607">
        <v>2042</v>
      </c>
      <c r="C607">
        <v>495</v>
      </c>
      <c r="D607" t="s">
        <v>19</v>
      </c>
      <c r="E607" t="s">
        <v>20</v>
      </c>
      <c r="F607" t="s">
        <v>21</v>
      </c>
      <c r="G607" t="s">
        <v>24</v>
      </c>
      <c r="H607">
        <v>276.8</v>
      </c>
      <c r="I607">
        <v>243</v>
      </c>
      <c r="J607">
        <v>94.5</v>
      </c>
      <c r="K607">
        <v>64.5</v>
      </c>
      <c r="L607">
        <v>27.6</v>
      </c>
      <c r="M607">
        <v>5.5</v>
      </c>
      <c r="N607">
        <v>0.16168402343774399</v>
      </c>
      <c r="O607">
        <v>5.7525341125504503E-2</v>
      </c>
    </row>
    <row r="608" spans="1:15" x14ac:dyDescent="0.3">
      <c r="A608">
        <v>2885</v>
      </c>
      <c r="B608">
        <v>2042</v>
      </c>
      <c r="C608">
        <v>495</v>
      </c>
      <c r="D608" t="s">
        <v>19</v>
      </c>
      <c r="E608" t="s">
        <v>20</v>
      </c>
      <c r="F608" t="s">
        <v>21</v>
      </c>
      <c r="G608" t="s">
        <v>24</v>
      </c>
      <c r="H608">
        <v>276.8</v>
      </c>
      <c r="I608">
        <v>243</v>
      </c>
      <c r="J608">
        <v>94.5</v>
      </c>
      <c r="K608">
        <v>64.5</v>
      </c>
      <c r="L608">
        <v>27.6</v>
      </c>
      <c r="M608">
        <v>5.5</v>
      </c>
      <c r="N608">
        <v>0.15425302839367899</v>
      </c>
      <c r="O608">
        <v>8.7282521648682401E-2</v>
      </c>
    </row>
    <row r="609" spans="1:15" x14ac:dyDescent="0.3">
      <c r="A609">
        <v>2886</v>
      </c>
      <c r="B609">
        <v>2042</v>
      </c>
      <c r="C609">
        <v>495</v>
      </c>
      <c r="D609" t="s">
        <v>19</v>
      </c>
      <c r="E609" t="s">
        <v>20</v>
      </c>
      <c r="F609" t="s">
        <v>21</v>
      </c>
      <c r="G609" t="s">
        <v>24</v>
      </c>
      <c r="H609">
        <v>276.8</v>
      </c>
      <c r="I609">
        <v>243</v>
      </c>
      <c r="J609">
        <v>94.5</v>
      </c>
      <c r="K609">
        <v>64.5</v>
      </c>
      <c r="L609">
        <v>27.6</v>
      </c>
      <c r="M609">
        <v>5.5</v>
      </c>
      <c r="N609">
        <v>0.172331209242712</v>
      </c>
      <c r="O609">
        <v>7.9601254795209894E-2</v>
      </c>
    </row>
    <row r="610" spans="1:15" x14ac:dyDescent="0.3">
      <c r="A610">
        <v>2887</v>
      </c>
      <c r="B610">
        <v>2042</v>
      </c>
      <c r="C610">
        <v>495</v>
      </c>
      <c r="D610" t="s">
        <v>19</v>
      </c>
      <c r="E610" t="s">
        <v>20</v>
      </c>
      <c r="F610" t="s">
        <v>21</v>
      </c>
      <c r="G610" t="s">
        <v>24</v>
      </c>
      <c r="H610">
        <v>276.8</v>
      </c>
      <c r="I610">
        <v>243</v>
      </c>
      <c r="J610">
        <v>94.5</v>
      </c>
      <c r="K610">
        <v>64.5</v>
      </c>
      <c r="L610">
        <v>27.6</v>
      </c>
      <c r="M610">
        <v>5.5</v>
      </c>
      <c r="N610">
        <v>0.171970564305994</v>
      </c>
      <c r="O610">
        <v>7.6854311354494095E-2</v>
      </c>
    </row>
    <row r="611" spans="1:15" x14ac:dyDescent="0.3">
      <c r="A611">
        <v>2888</v>
      </c>
      <c r="B611">
        <v>2042</v>
      </c>
      <c r="C611">
        <v>495</v>
      </c>
      <c r="D611" t="s">
        <v>19</v>
      </c>
      <c r="E611" t="s">
        <v>20</v>
      </c>
      <c r="F611" t="s">
        <v>21</v>
      </c>
      <c r="G611" t="s">
        <v>24</v>
      </c>
      <c r="H611">
        <v>276.8</v>
      </c>
      <c r="I611">
        <v>243</v>
      </c>
      <c r="J611">
        <v>94.5</v>
      </c>
      <c r="K611">
        <v>64.5</v>
      </c>
      <c r="L611">
        <v>27.6</v>
      </c>
      <c r="M611">
        <v>5.5</v>
      </c>
      <c r="N611">
        <v>0.140093844319408</v>
      </c>
      <c r="O611">
        <v>8.8977261479205094E-2</v>
      </c>
    </row>
    <row r="612" spans="1:15" x14ac:dyDescent="0.3">
      <c r="A612">
        <v>2899</v>
      </c>
      <c r="B612">
        <v>2046</v>
      </c>
      <c r="C612">
        <v>228</v>
      </c>
      <c r="D612" t="s">
        <v>19</v>
      </c>
      <c r="E612" t="s">
        <v>16</v>
      </c>
      <c r="F612" t="s">
        <v>17</v>
      </c>
      <c r="G612" t="s">
        <v>18</v>
      </c>
      <c r="H612">
        <v>275.39999999999998</v>
      </c>
      <c r="I612">
        <v>249.5</v>
      </c>
      <c r="J612">
        <v>93.4</v>
      </c>
      <c r="K612">
        <v>64</v>
      </c>
      <c r="L612">
        <v>28.4</v>
      </c>
      <c r="M612">
        <v>13</v>
      </c>
      <c r="N612">
        <v>7.4052238183901803E-2</v>
      </c>
      <c r="O612">
        <v>0.14399859284265901</v>
      </c>
    </row>
    <row r="613" spans="1:15" x14ac:dyDescent="0.3">
      <c r="A613">
        <v>2900</v>
      </c>
      <c r="B613">
        <v>2046</v>
      </c>
      <c r="C613">
        <v>228</v>
      </c>
      <c r="D613" t="s">
        <v>19</v>
      </c>
      <c r="E613" t="s">
        <v>16</v>
      </c>
      <c r="F613" t="s">
        <v>17</v>
      </c>
      <c r="G613" t="s">
        <v>18</v>
      </c>
      <c r="H613">
        <v>275.39999999999998</v>
      </c>
      <c r="I613">
        <v>249.5</v>
      </c>
      <c r="J613">
        <v>93.4</v>
      </c>
      <c r="K613">
        <v>64</v>
      </c>
      <c r="L613">
        <v>28.4</v>
      </c>
      <c r="M613">
        <v>13</v>
      </c>
      <c r="N613">
        <v>6.9184092716764706E-2</v>
      </c>
      <c r="O613">
        <v>0.14655141474212299</v>
      </c>
    </row>
    <row r="614" spans="1:15" x14ac:dyDescent="0.3">
      <c r="A614">
        <v>2901</v>
      </c>
      <c r="B614">
        <v>2047</v>
      </c>
      <c r="C614">
        <v>61</v>
      </c>
      <c r="D614" t="s">
        <v>23</v>
      </c>
      <c r="E614" t="s">
        <v>20</v>
      </c>
      <c r="F614" t="s">
        <v>17</v>
      </c>
      <c r="G614" t="s">
        <v>25</v>
      </c>
      <c r="H614">
        <v>272.3</v>
      </c>
      <c r="I614">
        <v>239</v>
      </c>
      <c r="J614">
        <v>94.1</v>
      </c>
      <c r="K614">
        <v>68</v>
      </c>
      <c r="L614">
        <v>23.9</v>
      </c>
      <c r="M614">
        <v>4.5</v>
      </c>
      <c r="N614">
        <v>0.29732954697671299</v>
      </c>
      <c r="O614">
        <v>0.37970584970765903</v>
      </c>
    </row>
    <row r="615" spans="1:15" x14ac:dyDescent="0.3">
      <c r="A615">
        <v>2904</v>
      </c>
      <c r="B615">
        <v>2047</v>
      </c>
      <c r="C615">
        <v>61</v>
      </c>
      <c r="D615" t="s">
        <v>23</v>
      </c>
      <c r="E615" t="s">
        <v>20</v>
      </c>
      <c r="F615" t="s">
        <v>17</v>
      </c>
      <c r="G615" t="s">
        <v>25</v>
      </c>
      <c r="H615">
        <v>272.3</v>
      </c>
      <c r="I615">
        <v>239</v>
      </c>
      <c r="J615">
        <v>94.1</v>
      </c>
      <c r="K615">
        <v>68</v>
      </c>
      <c r="L615">
        <v>23.9</v>
      </c>
      <c r="M615">
        <v>4.5</v>
      </c>
      <c r="N615">
        <v>0.30262017421418103</v>
      </c>
      <c r="O615">
        <v>0.394915252364539</v>
      </c>
    </row>
    <row r="616" spans="1:15" x14ac:dyDescent="0.3">
      <c r="A616">
        <v>2905</v>
      </c>
      <c r="B616">
        <v>2047</v>
      </c>
      <c r="C616">
        <v>61</v>
      </c>
      <c r="D616" t="s">
        <v>23</v>
      </c>
      <c r="E616" t="s">
        <v>20</v>
      </c>
      <c r="F616" t="s">
        <v>17</v>
      </c>
      <c r="G616" t="s">
        <v>25</v>
      </c>
      <c r="H616">
        <v>272.3</v>
      </c>
      <c r="I616">
        <v>239</v>
      </c>
      <c r="J616">
        <v>94.1</v>
      </c>
      <c r="K616">
        <v>68</v>
      </c>
      <c r="L616">
        <v>23.9</v>
      </c>
      <c r="M616">
        <v>4.5</v>
      </c>
      <c r="N616">
        <v>0.30356787614735298</v>
      </c>
      <c r="O616">
        <v>0.38278298352222401</v>
      </c>
    </row>
    <row r="617" spans="1:15" x14ac:dyDescent="0.3">
      <c r="A617">
        <v>2911</v>
      </c>
      <c r="B617">
        <v>205</v>
      </c>
      <c r="C617">
        <v>95</v>
      </c>
      <c r="D617" t="s">
        <v>23</v>
      </c>
      <c r="E617" t="s">
        <v>20</v>
      </c>
      <c r="F617" t="s">
        <v>21</v>
      </c>
      <c r="G617" t="s">
        <v>24</v>
      </c>
      <c r="H617">
        <v>276.60000000000002</v>
      </c>
      <c r="I617">
        <v>250.5</v>
      </c>
      <c r="J617">
        <v>100</v>
      </c>
      <c r="K617">
        <v>67</v>
      </c>
      <c r="L617">
        <v>28.2</v>
      </c>
      <c r="M617">
        <v>6.5</v>
      </c>
      <c r="N617">
        <v>0.12471856725295601</v>
      </c>
      <c r="O617">
        <v>0.34753918850827797</v>
      </c>
    </row>
    <row r="618" spans="1:15" x14ac:dyDescent="0.3">
      <c r="A618">
        <v>2912</v>
      </c>
      <c r="B618">
        <v>205</v>
      </c>
      <c r="C618">
        <v>95</v>
      </c>
      <c r="D618" t="s">
        <v>23</v>
      </c>
      <c r="E618" t="s">
        <v>20</v>
      </c>
      <c r="F618" t="s">
        <v>21</v>
      </c>
      <c r="G618" t="s">
        <v>24</v>
      </c>
      <c r="H618">
        <v>276.60000000000002</v>
      </c>
      <c r="I618">
        <v>250.5</v>
      </c>
      <c r="J618">
        <v>100</v>
      </c>
      <c r="K618">
        <v>67</v>
      </c>
      <c r="L618">
        <v>28.2</v>
      </c>
      <c r="M618">
        <v>6.5</v>
      </c>
      <c r="N618">
        <v>0.101757260968442</v>
      </c>
      <c r="O618">
        <v>0.34402689038633699</v>
      </c>
    </row>
    <row r="619" spans="1:15" x14ac:dyDescent="0.3">
      <c r="A619">
        <v>2913</v>
      </c>
      <c r="B619">
        <v>205</v>
      </c>
      <c r="C619">
        <v>95</v>
      </c>
      <c r="D619" t="s">
        <v>23</v>
      </c>
      <c r="E619" t="s">
        <v>20</v>
      </c>
      <c r="F619" t="s">
        <v>21</v>
      </c>
      <c r="G619" t="s">
        <v>24</v>
      </c>
      <c r="H619">
        <v>276.60000000000002</v>
      </c>
      <c r="I619">
        <v>250.5</v>
      </c>
      <c r="J619">
        <v>100</v>
      </c>
      <c r="K619">
        <v>67</v>
      </c>
      <c r="L619">
        <v>28.2</v>
      </c>
      <c r="M619">
        <v>6.5</v>
      </c>
      <c r="N619">
        <v>0.10588298693574801</v>
      </c>
      <c r="O619">
        <v>0.33012327661316598</v>
      </c>
    </row>
    <row r="620" spans="1:15" x14ac:dyDescent="0.3">
      <c r="A620">
        <v>2934</v>
      </c>
      <c r="B620">
        <v>2056</v>
      </c>
      <c r="C620">
        <v>267</v>
      </c>
      <c r="D620" t="s">
        <v>23</v>
      </c>
      <c r="E620" t="s">
        <v>20</v>
      </c>
      <c r="F620" t="s">
        <v>21</v>
      </c>
      <c r="G620" t="s">
        <v>18</v>
      </c>
      <c r="H620">
        <v>275.39999999999998</v>
      </c>
      <c r="I620">
        <v>244.5</v>
      </c>
      <c r="J620">
        <v>95.4</v>
      </c>
      <c r="K620">
        <v>67</v>
      </c>
      <c r="L620">
        <v>22.2</v>
      </c>
      <c r="M620">
        <v>9.5</v>
      </c>
      <c r="N620">
        <v>0.26057624217627301</v>
      </c>
      <c r="O620">
        <v>0.225804159624997</v>
      </c>
    </row>
    <row r="621" spans="1:15" x14ac:dyDescent="0.3">
      <c r="A621">
        <v>2955</v>
      </c>
      <c r="B621">
        <v>2064</v>
      </c>
      <c r="C621">
        <v>322</v>
      </c>
      <c r="D621" t="s">
        <v>23</v>
      </c>
      <c r="E621" t="s">
        <v>20</v>
      </c>
      <c r="F621" t="s">
        <v>21</v>
      </c>
      <c r="G621" t="s">
        <v>26</v>
      </c>
      <c r="H621">
        <v>276.7</v>
      </c>
      <c r="I621">
        <v>250</v>
      </c>
      <c r="J621">
        <v>99.1</v>
      </c>
      <c r="K621">
        <v>67.5</v>
      </c>
      <c r="L621">
        <v>26</v>
      </c>
      <c r="M621">
        <v>5.5</v>
      </c>
      <c r="N621">
        <v>0.19999626308926299</v>
      </c>
      <c r="O621">
        <v>0.33731755440909</v>
      </c>
    </row>
    <row r="622" spans="1:15" x14ac:dyDescent="0.3">
      <c r="A622">
        <v>2956</v>
      </c>
      <c r="B622">
        <v>2064</v>
      </c>
      <c r="C622">
        <v>322</v>
      </c>
      <c r="D622" t="s">
        <v>23</v>
      </c>
      <c r="E622" t="s">
        <v>20</v>
      </c>
      <c r="F622" t="s">
        <v>21</v>
      </c>
      <c r="G622" t="s">
        <v>26</v>
      </c>
      <c r="H622">
        <v>276.7</v>
      </c>
      <c r="I622">
        <v>250</v>
      </c>
      <c r="J622">
        <v>99.1</v>
      </c>
      <c r="K622">
        <v>67.5</v>
      </c>
      <c r="L622">
        <v>26</v>
      </c>
      <c r="M622">
        <v>5.5</v>
      </c>
      <c r="N622">
        <v>0.17034886272560501</v>
      </c>
      <c r="O622">
        <v>0.34781448245975199</v>
      </c>
    </row>
    <row r="623" spans="1:15" x14ac:dyDescent="0.3">
      <c r="A623">
        <v>2967</v>
      </c>
      <c r="B623">
        <v>2071</v>
      </c>
      <c r="C623">
        <v>340</v>
      </c>
      <c r="D623" t="s">
        <v>23</v>
      </c>
      <c r="E623" t="s">
        <v>20</v>
      </c>
      <c r="F623" t="s">
        <v>17</v>
      </c>
      <c r="G623" t="s">
        <v>24</v>
      </c>
      <c r="H623">
        <v>274.60000000000002</v>
      </c>
      <c r="I623">
        <v>261.5</v>
      </c>
      <c r="J623">
        <v>96.7</v>
      </c>
      <c r="K623">
        <v>62</v>
      </c>
      <c r="L623">
        <v>28.9</v>
      </c>
      <c r="M623">
        <v>10.5</v>
      </c>
      <c r="N623">
        <v>4.4407778889516601E-2</v>
      </c>
      <c r="O623">
        <v>0.359552565231057</v>
      </c>
    </row>
    <row r="624" spans="1:15" x14ac:dyDescent="0.3">
      <c r="A624">
        <v>2969</v>
      </c>
      <c r="B624">
        <v>2071</v>
      </c>
      <c r="C624">
        <v>340</v>
      </c>
      <c r="D624" t="s">
        <v>23</v>
      </c>
      <c r="E624" t="s">
        <v>20</v>
      </c>
      <c r="F624" t="s">
        <v>17</v>
      </c>
      <c r="G624" t="s">
        <v>24</v>
      </c>
      <c r="H624">
        <v>274.60000000000002</v>
      </c>
      <c r="I624">
        <v>261.5</v>
      </c>
      <c r="J624">
        <v>96.7</v>
      </c>
      <c r="K624">
        <v>62</v>
      </c>
      <c r="L624">
        <v>28.9</v>
      </c>
      <c r="M624">
        <v>10.5</v>
      </c>
      <c r="N624">
        <v>3.7126503281780299E-2</v>
      </c>
      <c r="O624">
        <v>0.37184990489026098</v>
      </c>
    </row>
    <row r="625" spans="1:15" x14ac:dyDescent="0.3">
      <c r="A625">
        <v>2970</v>
      </c>
      <c r="B625">
        <v>2073</v>
      </c>
      <c r="C625">
        <v>497</v>
      </c>
      <c r="D625" t="s">
        <v>23</v>
      </c>
      <c r="E625" t="s">
        <v>20</v>
      </c>
      <c r="F625" t="s">
        <v>17</v>
      </c>
      <c r="G625" t="s">
        <v>25</v>
      </c>
      <c r="H625">
        <v>269.7</v>
      </c>
      <c r="I625">
        <v>245</v>
      </c>
      <c r="J625">
        <v>94</v>
      </c>
      <c r="K625">
        <v>67</v>
      </c>
      <c r="L625">
        <v>24.2</v>
      </c>
      <c r="M625">
        <v>9</v>
      </c>
      <c r="N625">
        <v>0.20434805260005001</v>
      </c>
      <c r="O625">
        <v>0.38238455307955199</v>
      </c>
    </row>
    <row r="626" spans="1:15" x14ac:dyDescent="0.3">
      <c r="A626">
        <v>2971</v>
      </c>
      <c r="B626">
        <v>2073</v>
      </c>
      <c r="C626">
        <v>497</v>
      </c>
      <c r="D626" t="s">
        <v>23</v>
      </c>
      <c r="E626" t="s">
        <v>20</v>
      </c>
      <c r="F626" t="s">
        <v>17</v>
      </c>
      <c r="G626" t="s">
        <v>25</v>
      </c>
      <c r="H626">
        <v>269.7</v>
      </c>
      <c r="I626">
        <v>245</v>
      </c>
      <c r="J626">
        <v>94</v>
      </c>
      <c r="K626">
        <v>67</v>
      </c>
      <c r="L626">
        <v>24.2</v>
      </c>
      <c r="M626">
        <v>9</v>
      </c>
      <c r="N626">
        <v>0.209420517938643</v>
      </c>
      <c r="O626">
        <v>0.37176330746195002</v>
      </c>
    </row>
    <row r="627" spans="1:15" x14ac:dyDescent="0.3">
      <c r="A627">
        <v>2999</v>
      </c>
      <c r="B627">
        <v>2082</v>
      </c>
      <c r="C627">
        <v>102</v>
      </c>
      <c r="D627" t="s">
        <v>19</v>
      </c>
      <c r="E627" t="s">
        <v>20</v>
      </c>
      <c r="F627" t="s">
        <v>17</v>
      </c>
      <c r="G627" t="s">
        <v>22</v>
      </c>
      <c r="H627">
        <v>273.60000000000002</v>
      </c>
      <c r="I627">
        <v>246</v>
      </c>
      <c r="J627">
        <v>93.6</v>
      </c>
      <c r="K627">
        <v>64.5</v>
      </c>
      <c r="L627">
        <v>25.6</v>
      </c>
      <c r="M627">
        <v>1.5</v>
      </c>
      <c r="N627">
        <v>0.15419446067511799</v>
      </c>
      <c r="O627">
        <v>0.207895950336284</v>
      </c>
    </row>
    <row r="628" spans="1:15" x14ac:dyDescent="0.3">
      <c r="A628">
        <v>3000</v>
      </c>
      <c r="B628">
        <v>2082</v>
      </c>
      <c r="C628">
        <v>102</v>
      </c>
      <c r="D628" t="s">
        <v>19</v>
      </c>
      <c r="E628" t="s">
        <v>20</v>
      </c>
      <c r="F628" t="s">
        <v>17</v>
      </c>
      <c r="G628" t="s">
        <v>22</v>
      </c>
      <c r="H628">
        <v>273.60000000000002</v>
      </c>
      <c r="I628">
        <v>246</v>
      </c>
      <c r="J628">
        <v>93.6</v>
      </c>
      <c r="K628">
        <v>64.5</v>
      </c>
      <c r="L628">
        <v>25.6</v>
      </c>
      <c r="M628">
        <v>1.5</v>
      </c>
      <c r="N628">
        <v>0.16773202465897999</v>
      </c>
      <c r="O628">
        <v>0.187225990371994</v>
      </c>
    </row>
    <row r="629" spans="1:15" x14ac:dyDescent="0.3">
      <c r="A629">
        <v>3001</v>
      </c>
      <c r="B629">
        <v>2082</v>
      </c>
      <c r="C629">
        <v>102</v>
      </c>
      <c r="D629" t="s">
        <v>19</v>
      </c>
      <c r="E629" t="s">
        <v>20</v>
      </c>
      <c r="F629" t="s">
        <v>17</v>
      </c>
      <c r="G629" t="s">
        <v>22</v>
      </c>
      <c r="H629">
        <v>273.60000000000002</v>
      </c>
      <c r="I629">
        <v>246</v>
      </c>
      <c r="J629">
        <v>93.6</v>
      </c>
      <c r="K629">
        <v>64.5</v>
      </c>
      <c r="L629">
        <v>25.6</v>
      </c>
      <c r="M629">
        <v>1.5</v>
      </c>
      <c r="N629">
        <v>0.15368256479527101</v>
      </c>
      <c r="O629">
        <v>0.18844826248431801</v>
      </c>
    </row>
    <row r="630" spans="1:15" x14ac:dyDescent="0.3">
      <c r="A630">
        <v>3003</v>
      </c>
      <c r="B630">
        <v>2084</v>
      </c>
      <c r="C630">
        <v>255</v>
      </c>
      <c r="D630" t="s">
        <v>19</v>
      </c>
      <c r="E630" t="s">
        <v>16</v>
      </c>
      <c r="F630" t="s">
        <v>17</v>
      </c>
      <c r="G630" t="s">
        <v>25</v>
      </c>
      <c r="H630">
        <v>278.2</v>
      </c>
      <c r="I630">
        <v>254.5</v>
      </c>
      <c r="J630">
        <v>94.5</v>
      </c>
      <c r="K630">
        <v>67</v>
      </c>
      <c r="L630">
        <v>27.9</v>
      </c>
      <c r="M630">
        <v>11.5</v>
      </c>
      <c r="N630">
        <v>0.29406087497280298</v>
      </c>
      <c r="O630">
        <v>0.100926219590143</v>
      </c>
    </row>
    <row r="631" spans="1:15" x14ac:dyDescent="0.3">
      <c r="A631">
        <v>3005</v>
      </c>
      <c r="B631">
        <v>2084</v>
      </c>
      <c r="C631">
        <v>255</v>
      </c>
      <c r="D631" t="s">
        <v>19</v>
      </c>
      <c r="E631" t="s">
        <v>16</v>
      </c>
      <c r="F631" t="s">
        <v>17</v>
      </c>
      <c r="G631" t="s">
        <v>25</v>
      </c>
      <c r="H631">
        <v>278.2</v>
      </c>
      <c r="I631">
        <v>254.5</v>
      </c>
      <c r="J631">
        <v>94.5</v>
      </c>
      <c r="K631">
        <v>67</v>
      </c>
      <c r="L631">
        <v>27.9</v>
      </c>
      <c r="M631">
        <v>11.5</v>
      </c>
      <c r="N631">
        <v>0.27133714097845102</v>
      </c>
      <c r="O631">
        <v>0.11999683473664299</v>
      </c>
    </row>
    <row r="632" spans="1:15" x14ac:dyDescent="0.3">
      <c r="A632">
        <v>3029</v>
      </c>
      <c r="B632">
        <v>2093</v>
      </c>
      <c r="C632">
        <v>61</v>
      </c>
      <c r="D632" t="s">
        <v>23</v>
      </c>
      <c r="E632" t="s">
        <v>20</v>
      </c>
      <c r="F632" t="s">
        <v>17</v>
      </c>
      <c r="G632" t="s">
        <v>25</v>
      </c>
      <c r="H632">
        <v>272.3</v>
      </c>
      <c r="I632">
        <v>239</v>
      </c>
      <c r="J632">
        <v>94.1</v>
      </c>
      <c r="K632">
        <v>68</v>
      </c>
      <c r="L632">
        <v>23.9</v>
      </c>
      <c r="M632">
        <v>4.5</v>
      </c>
      <c r="N632">
        <v>0.29728249163223103</v>
      </c>
      <c r="O632">
        <v>0.39025923631510401</v>
      </c>
    </row>
    <row r="633" spans="1:15" x14ac:dyDescent="0.3">
      <c r="A633">
        <v>3032</v>
      </c>
      <c r="B633">
        <v>2095</v>
      </c>
      <c r="C633">
        <v>154</v>
      </c>
      <c r="D633" t="s">
        <v>23</v>
      </c>
      <c r="E633" t="s">
        <v>20</v>
      </c>
      <c r="F633" t="s">
        <v>21</v>
      </c>
      <c r="G633" t="s">
        <v>26</v>
      </c>
      <c r="H633">
        <v>278.39999999999998</v>
      </c>
      <c r="I633">
        <v>245</v>
      </c>
      <c r="J633">
        <v>94.5</v>
      </c>
      <c r="K633">
        <v>64</v>
      </c>
      <c r="L633">
        <v>25.4</v>
      </c>
      <c r="M633">
        <v>10.5</v>
      </c>
      <c r="N633">
        <v>0.13520295767759599</v>
      </c>
      <c r="O633">
        <v>0.32493560788752801</v>
      </c>
    </row>
    <row r="634" spans="1:15" x14ac:dyDescent="0.3">
      <c r="A634">
        <v>3033</v>
      </c>
      <c r="B634">
        <v>2095</v>
      </c>
      <c r="C634">
        <v>154</v>
      </c>
      <c r="D634" t="s">
        <v>23</v>
      </c>
      <c r="E634" t="s">
        <v>20</v>
      </c>
      <c r="F634" t="s">
        <v>21</v>
      </c>
      <c r="G634" t="s">
        <v>26</v>
      </c>
      <c r="H634">
        <v>278.39999999999998</v>
      </c>
      <c r="I634">
        <v>245</v>
      </c>
      <c r="J634">
        <v>94.5</v>
      </c>
      <c r="K634">
        <v>64</v>
      </c>
      <c r="L634">
        <v>25.4</v>
      </c>
      <c r="M634">
        <v>10.5</v>
      </c>
      <c r="N634">
        <v>0.14460508014121101</v>
      </c>
      <c r="O634">
        <v>0.31554208795601502</v>
      </c>
    </row>
    <row r="635" spans="1:15" x14ac:dyDescent="0.3">
      <c r="A635">
        <v>3034</v>
      </c>
      <c r="B635">
        <v>2095</v>
      </c>
      <c r="C635">
        <v>154</v>
      </c>
      <c r="D635" t="s">
        <v>23</v>
      </c>
      <c r="E635" t="s">
        <v>20</v>
      </c>
      <c r="F635" t="s">
        <v>21</v>
      </c>
      <c r="G635" t="s">
        <v>26</v>
      </c>
      <c r="H635">
        <v>278.39999999999998</v>
      </c>
      <c r="I635">
        <v>245</v>
      </c>
      <c r="J635">
        <v>94.5</v>
      </c>
      <c r="K635">
        <v>64</v>
      </c>
      <c r="L635">
        <v>25.4</v>
      </c>
      <c r="M635">
        <v>10.5</v>
      </c>
      <c r="N635">
        <v>0.13925315658518</v>
      </c>
      <c r="O635">
        <v>0.31201964300717</v>
      </c>
    </row>
    <row r="636" spans="1:15" x14ac:dyDescent="0.3">
      <c r="A636">
        <v>3035</v>
      </c>
      <c r="B636">
        <v>2095</v>
      </c>
      <c r="C636">
        <v>154</v>
      </c>
      <c r="D636" t="s">
        <v>23</v>
      </c>
      <c r="E636" t="s">
        <v>20</v>
      </c>
      <c r="F636" t="s">
        <v>21</v>
      </c>
      <c r="G636" t="s">
        <v>26</v>
      </c>
      <c r="H636">
        <v>278.39999999999998</v>
      </c>
      <c r="I636">
        <v>245</v>
      </c>
      <c r="J636">
        <v>94.5</v>
      </c>
      <c r="K636">
        <v>64</v>
      </c>
      <c r="L636">
        <v>25.4</v>
      </c>
      <c r="M636">
        <v>10.5</v>
      </c>
      <c r="N636">
        <v>0.15016118601238401</v>
      </c>
      <c r="O636">
        <v>0.33222923482386102</v>
      </c>
    </row>
    <row r="637" spans="1:15" x14ac:dyDescent="0.3">
      <c r="A637">
        <v>3043</v>
      </c>
      <c r="B637">
        <v>2099</v>
      </c>
      <c r="C637">
        <v>366</v>
      </c>
      <c r="D637" t="s">
        <v>19</v>
      </c>
      <c r="E637" t="s">
        <v>20</v>
      </c>
      <c r="F637" t="s">
        <v>21</v>
      </c>
      <c r="G637" t="s">
        <v>26</v>
      </c>
      <c r="H637">
        <v>275.89999999999998</v>
      </c>
      <c r="I637">
        <v>255</v>
      </c>
      <c r="J637">
        <v>94.9</v>
      </c>
      <c r="K637">
        <v>64</v>
      </c>
      <c r="L637">
        <v>26.8</v>
      </c>
      <c r="M637">
        <v>17</v>
      </c>
      <c r="N637">
        <v>0.18493242632381099</v>
      </c>
      <c r="O637">
        <v>0.154322837369052</v>
      </c>
    </row>
    <row r="638" spans="1:15" x14ac:dyDescent="0.3">
      <c r="A638">
        <v>3044</v>
      </c>
      <c r="B638">
        <v>2099</v>
      </c>
      <c r="C638">
        <v>366</v>
      </c>
      <c r="D638" t="s">
        <v>19</v>
      </c>
      <c r="E638" t="s">
        <v>20</v>
      </c>
      <c r="F638" t="s">
        <v>21</v>
      </c>
      <c r="G638" t="s">
        <v>26</v>
      </c>
      <c r="H638">
        <v>275.89999999999998</v>
      </c>
      <c r="I638">
        <v>255</v>
      </c>
      <c r="J638">
        <v>94.9</v>
      </c>
      <c r="K638">
        <v>64</v>
      </c>
      <c r="L638">
        <v>26.8</v>
      </c>
      <c r="M638">
        <v>17</v>
      </c>
      <c r="N638">
        <v>0.17478896966583299</v>
      </c>
      <c r="O638">
        <v>0.15714518642221301</v>
      </c>
    </row>
    <row r="639" spans="1:15" x14ac:dyDescent="0.3">
      <c r="A639">
        <v>3047</v>
      </c>
      <c r="B639">
        <v>210</v>
      </c>
      <c r="C639">
        <v>351</v>
      </c>
      <c r="D639" t="s">
        <v>23</v>
      </c>
      <c r="E639" t="s">
        <v>20</v>
      </c>
      <c r="F639" t="s">
        <v>17</v>
      </c>
      <c r="G639" t="s">
        <v>22</v>
      </c>
      <c r="H639">
        <v>277.60000000000002</v>
      </c>
      <c r="I639">
        <v>246.5</v>
      </c>
      <c r="J639">
        <v>93.9</v>
      </c>
      <c r="K639">
        <v>67.5</v>
      </c>
      <c r="L639">
        <v>27.5</v>
      </c>
      <c r="M639">
        <v>8</v>
      </c>
      <c r="N639">
        <v>0.16683928851245799</v>
      </c>
      <c r="O639">
        <v>0.29104621184296398</v>
      </c>
    </row>
    <row r="640" spans="1:15" x14ac:dyDescent="0.3">
      <c r="A640">
        <v>3048</v>
      </c>
      <c r="B640">
        <v>210</v>
      </c>
      <c r="C640">
        <v>351</v>
      </c>
      <c r="D640" t="s">
        <v>23</v>
      </c>
      <c r="E640" t="s">
        <v>20</v>
      </c>
      <c r="F640" t="s">
        <v>17</v>
      </c>
      <c r="G640" t="s">
        <v>22</v>
      </c>
      <c r="H640">
        <v>277.60000000000002</v>
      </c>
      <c r="I640">
        <v>246.5</v>
      </c>
      <c r="J640">
        <v>93.9</v>
      </c>
      <c r="K640">
        <v>67.5</v>
      </c>
      <c r="L640">
        <v>27.5</v>
      </c>
      <c r="M640">
        <v>8</v>
      </c>
      <c r="N640">
        <v>0.171700591701237</v>
      </c>
      <c r="O640">
        <v>0.31065989946633099</v>
      </c>
    </row>
    <row r="641" spans="1:15" x14ac:dyDescent="0.3">
      <c r="A641">
        <v>3050</v>
      </c>
      <c r="B641">
        <v>2101</v>
      </c>
      <c r="C641">
        <v>350</v>
      </c>
      <c r="D641" t="s">
        <v>23</v>
      </c>
      <c r="E641" t="s">
        <v>16</v>
      </c>
      <c r="F641" t="s">
        <v>17</v>
      </c>
      <c r="G641" t="s">
        <v>24</v>
      </c>
      <c r="H641">
        <v>271.60000000000002</v>
      </c>
      <c r="I641">
        <v>240.5</v>
      </c>
      <c r="J641">
        <v>93.3</v>
      </c>
      <c r="K641">
        <v>65</v>
      </c>
      <c r="L641">
        <v>23.4</v>
      </c>
      <c r="M641">
        <v>7.5</v>
      </c>
      <c r="N641">
        <v>0.26037302361619002</v>
      </c>
      <c r="O641">
        <v>0.375839924161192</v>
      </c>
    </row>
    <row r="642" spans="1:15" x14ac:dyDescent="0.3">
      <c r="A642">
        <v>3051</v>
      </c>
      <c r="B642">
        <v>2101</v>
      </c>
      <c r="C642">
        <v>350</v>
      </c>
      <c r="D642" t="s">
        <v>23</v>
      </c>
      <c r="E642" t="s">
        <v>16</v>
      </c>
      <c r="F642" t="s">
        <v>17</v>
      </c>
      <c r="G642" t="s">
        <v>24</v>
      </c>
      <c r="H642">
        <v>271.60000000000002</v>
      </c>
      <c r="I642">
        <v>240.5</v>
      </c>
      <c r="J642">
        <v>93.3</v>
      </c>
      <c r="K642">
        <v>65</v>
      </c>
      <c r="L642">
        <v>23.4</v>
      </c>
      <c r="M642">
        <v>7.5</v>
      </c>
      <c r="N642">
        <v>0.26721225706965002</v>
      </c>
      <c r="O642">
        <v>0.401193197518246</v>
      </c>
    </row>
    <row r="643" spans="1:15" x14ac:dyDescent="0.3">
      <c r="A643">
        <v>3052</v>
      </c>
      <c r="B643">
        <v>2101</v>
      </c>
      <c r="C643">
        <v>350</v>
      </c>
      <c r="D643" t="s">
        <v>23</v>
      </c>
      <c r="E643" t="s">
        <v>16</v>
      </c>
      <c r="F643" t="s">
        <v>17</v>
      </c>
      <c r="G643" t="s">
        <v>24</v>
      </c>
      <c r="H643">
        <v>271.60000000000002</v>
      </c>
      <c r="I643">
        <v>240.5</v>
      </c>
      <c r="J643">
        <v>93.3</v>
      </c>
      <c r="K643">
        <v>65</v>
      </c>
      <c r="L643">
        <v>23.4</v>
      </c>
      <c r="M643">
        <v>7.5</v>
      </c>
      <c r="N643">
        <v>0.257737706175793</v>
      </c>
      <c r="O643">
        <v>0.37389863954367503</v>
      </c>
    </row>
    <row r="644" spans="1:15" x14ac:dyDescent="0.3">
      <c r="A644">
        <v>3053</v>
      </c>
      <c r="B644">
        <v>2101</v>
      </c>
      <c r="C644">
        <v>350</v>
      </c>
      <c r="D644" t="s">
        <v>23</v>
      </c>
      <c r="E644" t="s">
        <v>16</v>
      </c>
      <c r="F644" t="s">
        <v>17</v>
      </c>
      <c r="G644" t="s">
        <v>24</v>
      </c>
      <c r="H644">
        <v>271.60000000000002</v>
      </c>
      <c r="I644">
        <v>240.5</v>
      </c>
      <c r="J644">
        <v>93.3</v>
      </c>
      <c r="K644">
        <v>65</v>
      </c>
      <c r="L644">
        <v>23.4</v>
      </c>
      <c r="M644">
        <v>7.5</v>
      </c>
      <c r="N644">
        <v>0.277136049457684</v>
      </c>
      <c r="O644">
        <v>0.39080705499850599</v>
      </c>
    </row>
    <row r="645" spans="1:15" x14ac:dyDescent="0.3">
      <c r="A645">
        <v>3054</v>
      </c>
      <c r="B645">
        <v>2101</v>
      </c>
      <c r="C645">
        <v>350</v>
      </c>
      <c r="D645" t="s">
        <v>23</v>
      </c>
      <c r="E645" t="s">
        <v>16</v>
      </c>
      <c r="F645" t="s">
        <v>17</v>
      </c>
      <c r="G645" t="s">
        <v>24</v>
      </c>
      <c r="H645">
        <v>271.60000000000002</v>
      </c>
      <c r="I645">
        <v>240.5</v>
      </c>
      <c r="J645">
        <v>93.3</v>
      </c>
      <c r="K645">
        <v>65</v>
      </c>
      <c r="L645">
        <v>23.4</v>
      </c>
      <c r="M645">
        <v>7.5</v>
      </c>
      <c r="N645">
        <v>0.24693454998042699</v>
      </c>
      <c r="O645">
        <v>0.39834647449762101</v>
      </c>
    </row>
    <row r="646" spans="1:15" x14ac:dyDescent="0.3">
      <c r="A646">
        <v>3055</v>
      </c>
      <c r="B646">
        <v>2101</v>
      </c>
      <c r="C646">
        <v>350</v>
      </c>
      <c r="D646" t="s">
        <v>23</v>
      </c>
      <c r="E646" t="s">
        <v>16</v>
      </c>
      <c r="F646" t="s">
        <v>17</v>
      </c>
      <c r="G646" t="s">
        <v>24</v>
      </c>
      <c r="H646">
        <v>271.60000000000002</v>
      </c>
      <c r="I646">
        <v>240.5</v>
      </c>
      <c r="J646">
        <v>93.3</v>
      </c>
      <c r="K646">
        <v>65</v>
      </c>
      <c r="L646">
        <v>23.4</v>
      </c>
      <c r="M646">
        <v>7.5</v>
      </c>
      <c r="N646">
        <v>0.26336598361837799</v>
      </c>
      <c r="O646">
        <v>0.36715163831803099</v>
      </c>
    </row>
    <row r="647" spans="1:15" x14ac:dyDescent="0.3">
      <c r="A647">
        <v>3066</v>
      </c>
      <c r="B647">
        <v>2105</v>
      </c>
      <c r="C647">
        <v>387</v>
      </c>
      <c r="D647" t="s">
        <v>19</v>
      </c>
      <c r="E647" t="s">
        <v>16</v>
      </c>
      <c r="F647" t="s">
        <v>21</v>
      </c>
      <c r="G647" t="s">
        <v>18</v>
      </c>
      <c r="H647">
        <v>275.2</v>
      </c>
      <c r="I647">
        <v>249.5</v>
      </c>
      <c r="J647">
        <v>96.8</v>
      </c>
      <c r="K647">
        <v>66</v>
      </c>
      <c r="L647">
        <v>25.3</v>
      </c>
      <c r="M647">
        <v>8.5</v>
      </c>
      <c r="N647">
        <v>8.5553235855889503E-2</v>
      </c>
      <c r="O647">
        <v>6.9144758665117795E-2</v>
      </c>
    </row>
    <row r="648" spans="1:15" x14ac:dyDescent="0.3">
      <c r="A648">
        <v>3067</v>
      </c>
      <c r="B648">
        <v>2105</v>
      </c>
      <c r="C648">
        <v>387</v>
      </c>
      <c r="D648" t="s">
        <v>19</v>
      </c>
      <c r="E648" t="s">
        <v>16</v>
      </c>
      <c r="F648" t="s">
        <v>21</v>
      </c>
      <c r="G648" t="s">
        <v>18</v>
      </c>
      <c r="H648">
        <v>275.2</v>
      </c>
      <c r="I648">
        <v>249.5</v>
      </c>
      <c r="J648">
        <v>96.8</v>
      </c>
      <c r="K648">
        <v>66</v>
      </c>
      <c r="L648">
        <v>25.3</v>
      </c>
      <c r="M648">
        <v>8.5</v>
      </c>
      <c r="N648">
        <v>7.6957620035452007E-2</v>
      </c>
      <c r="O648">
        <v>8.8558377764643204E-2</v>
      </c>
    </row>
    <row r="649" spans="1:15" x14ac:dyDescent="0.3">
      <c r="A649">
        <v>3068</v>
      </c>
      <c r="B649">
        <v>2105</v>
      </c>
      <c r="C649">
        <v>387</v>
      </c>
      <c r="D649" t="s">
        <v>19</v>
      </c>
      <c r="E649" t="s">
        <v>16</v>
      </c>
      <c r="F649" t="s">
        <v>21</v>
      </c>
      <c r="G649" t="s">
        <v>18</v>
      </c>
      <c r="H649">
        <v>275.2</v>
      </c>
      <c r="I649">
        <v>249.5</v>
      </c>
      <c r="J649">
        <v>96.8</v>
      </c>
      <c r="K649">
        <v>66</v>
      </c>
      <c r="L649">
        <v>25.3</v>
      </c>
      <c r="M649">
        <v>8.5</v>
      </c>
      <c r="N649">
        <v>8.8645793222266095E-2</v>
      </c>
      <c r="O649">
        <v>6.9396816658683302E-2</v>
      </c>
    </row>
    <row r="650" spans="1:15" x14ac:dyDescent="0.3">
      <c r="A650">
        <v>3069</v>
      </c>
      <c r="B650">
        <v>2105</v>
      </c>
      <c r="C650">
        <v>387</v>
      </c>
      <c r="D650" t="s">
        <v>19</v>
      </c>
      <c r="E650" t="s">
        <v>16</v>
      </c>
      <c r="F650" t="s">
        <v>21</v>
      </c>
      <c r="G650" t="s">
        <v>18</v>
      </c>
      <c r="H650">
        <v>275.2</v>
      </c>
      <c r="I650">
        <v>249.5</v>
      </c>
      <c r="J650">
        <v>96.8</v>
      </c>
      <c r="K650">
        <v>66</v>
      </c>
      <c r="L650">
        <v>25.3</v>
      </c>
      <c r="M650">
        <v>8.5</v>
      </c>
      <c r="N650">
        <v>9.8321510863927902E-2</v>
      </c>
      <c r="O650">
        <v>9.0904375249378999E-2</v>
      </c>
    </row>
    <row r="651" spans="1:15" x14ac:dyDescent="0.3">
      <c r="A651">
        <v>3070</v>
      </c>
      <c r="B651">
        <v>2105</v>
      </c>
      <c r="C651">
        <v>387</v>
      </c>
      <c r="D651" t="s">
        <v>19</v>
      </c>
      <c r="E651" t="s">
        <v>16</v>
      </c>
      <c r="F651" t="s">
        <v>21</v>
      </c>
      <c r="G651" t="s">
        <v>18</v>
      </c>
      <c r="H651">
        <v>275.2</v>
      </c>
      <c r="I651">
        <v>249.5</v>
      </c>
      <c r="J651">
        <v>96.8</v>
      </c>
      <c r="K651">
        <v>66</v>
      </c>
      <c r="L651">
        <v>25.3</v>
      </c>
      <c r="M651">
        <v>8.5</v>
      </c>
      <c r="N651">
        <v>8.2644958337534602E-2</v>
      </c>
      <c r="O651">
        <v>7.4914874702590395E-2</v>
      </c>
    </row>
    <row r="652" spans="1:15" x14ac:dyDescent="0.3">
      <c r="A652">
        <v>3077</v>
      </c>
      <c r="B652">
        <v>2108</v>
      </c>
      <c r="C652">
        <v>95</v>
      </c>
      <c r="D652" t="s">
        <v>23</v>
      </c>
      <c r="E652" t="s">
        <v>20</v>
      </c>
      <c r="F652" t="s">
        <v>21</v>
      </c>
      <c r="G652" t="s">
        <v>25</v>
      </c>
      <c r="H652">
        <v>276.60000000000002</v>
      </c>
      <c r="I652">
        <v>250.5</v>
      </c>
      <c r="J652">
        <v>100</v>
      </c>
      <c r="K652">
        <v>67</v>
      </c>
      <c r="L652">
        <v>28.2</v>
      </c>
      <c r="M652">
        <v>6.5</v>
      </c>
      <c r="N652">
        <v>0.114647430199288</v>
      </c>
      <c r="O652">
        <v>0.33035476639477701</v>
      </c>
    </row>
    <row r="653" spans="1:15" x14ac:dyDescent="0.3">
      <c r="A653">
        <v>3084</v>
      </c>
      <c r="B653">
        <v>2111</v>
      </c>
      <c r="C653">
        <v>6</v>
      </c>
      <c r="D653" t="s">
        <v>15</v>
      </c>
      <c r="E653" t="s">
        <v>20</v>
      </c>
      <c r="F653" t="s">
        <v>21</v>
      </c>
      <c r="G653" t="s">
        <v>18</v>
      </c>
      <c r="H653">
        <v>275.5</v>
      </c>
      <c r="I653">
        <v>250.5</v>
      </c>
      <c r="J653">
        <v>94.7</v>
      </c>
      <c r="K653">
        <v>66.5</v>
      </c>
      <c r="L653">
        <v>25.3</v>
      </c>
      <c r="M653">
        <v>7.5</v>
      </c>
      <c r="N653">
        <v>0.12579168299538501</v>
      </c>
      <c r="O653">
        <v>5.6515672844811102E-3</v>
      </c>
    </row>
    <row r="654" spans="1:15" x14ac:dyDescent="0.3">
      <c r="A654">
        <v>3085</v>
      </c>
      <c r="B654">
        <v>2111</v>
      </c>
      <c r="C654">
        <v>6</v>
      </c>
      <c r="D654" t="s">
        <v>15</v>
      </c>
      <c r="E654" t="s">
        <v>20</v>
      </c>
      <c r="F654" t="s">
        <v>21</v>
      </c>
      <c r="G654" t="s">
        <v>18</v>
      </c>
      <c r="H654">
        <v>275.5</v>
      </c>
      <c r="I654">
        <v>250.5</v>
      </c>
      <c r="J654">
        <v>94.7</v>
      </c>
      <c r="K654">
        <v>66.5</v>
      </c>
      <c r="L654">
        <v>25.3</v>
      </c>
      <c r="M654">
        <v>7.5</v>
      </c>
      <c r="N654">
        <v>0.133855196239864</v>
      </c>
      <c r="O654">
        <v>3.7596164717362102E-2</v>
      </c>
    </row>
    <row r="655" spans="1:15" x14ac:dyDescent="0.3">
      <c r="A655">
        <v>3086</v>
      </c>
      <c r="B655">
        <v>2111</v>
      </c>
      <c r="C655">
        <v>6</v>
      </c>
      <c r="D655" t="s">
        <v>15</v>
      </c>
      <c r="E655" t="s">
        <v>20</v>
      </c>
      <c r="F655" t="s">
        <v>21</v>
      </c>
      <c r="G655" t="s">
        <v>18</v>
      </c>
      <c r="H655">
        <v>275.5</v>
      </c>
      <c r="I655">
        <v>250.5</v>
      </c>
      <c r="J655">
        <v>94.7</v>
      </c>
      <c r="K655">
        <v>66.5</v>
      </c>
      <c r="L655">
        <v>25.3</v>
      </c>
      <c r="M655">
        <v>7.5</v>
      </c>
      <c r="N655">
        <v>0.123379640286363</v>
      </c>
      <c r="O655">
        <v>3.00310675054547E-2</v>
      </c>
    </row>
    <row r="656" spans="1:15" x14ac:dyDescent="0.3">
      <c r="A656">
        <v>3099</v>
      </c>
      <c r="B656">
        <v>2119</v>
      </c>
      <c r="C656">
        <v>298</v>
      </c>
      <c r="D656" t="s">
        <v>19</v>
      </c>
      <c r="E656" t="s">
        <v>20</v>
      </c>
      <c r="F656" t="s">
        <v>17</v>
      </c>
      <c r="G656" t="s">
        <v>22</v>
      </c>
      <c r="H656">
        <v>275.60000000000002</v>
      </c>
      <c r="I656">
        <v>251</v>
      </c>
      <c r="J656">
        <v>95.1</v>
      </c>
      <c r="K656">
        <v>66.5</v>
      </c>
      <c r="L656">
        <v>25.3</v>
      </c>
      <c r="M656">
        <v>10.5</v>
      </c>
      <c r="N656">
        <v>0.27117916114991802</v>
      </c>
      <c r="O656">
        <v>5.8682094745902802E-2</v>
      </c>
    </row>
    <row r="657" spans="1:15" x14ac:dyDescent="0.3">
      <c r="A657">
        <v>3100</v>
      </c>
      <c r="B657">
        <v>2119</v>
      </c>
      <c r="C657">
        <v>298</v>
      </c>
      <c r="D657" t="s">
        <v>19</v>
      </c>
      <c r="E657" t="s">
        <v>20</v>
      </c>
      <c r="F657" t="s">
        <v>17</v>
      </c>
      <c r="G657" t="s">
        <v>22</v>
      </c>
      <c r="H657">
        <v>275.60000000000002</v>
      </c>
      <c r="I657">
        <v>251</v>
      </c>
      <c r="J657">
        <v>95.1</v>
      </c>
      <c r="K657">
        <v>66.5</v>
      </c>
      <c r="L657">
        <v>25.3</v>
      </c>
      <c r="M657">
        <v>10.5</v>
      </c>
      <c r="N657">
        <v>0.28932669852234599</v>
      </c>
      <c r="O657">
        <v>4.70981775250379E-2</v>
      </c>
    </row>
    <row r="658" spans="1:15" x14ac:dyDescent="0.3">
      <c r="A658">
        <v>3101</v>
      </c>
      <c r="B658">
        <v>2119</v>
      </c>
      <c r="C658">
        <v>298</v>
      </c>
      <c r="D658" t="s">
        <v>19</v>
      </c>
      <c r="E658" t="s">
        <v>20</v>
      </c>
      <c r="F658" t="s">
        <v>17</v>
      </c>
      <c r="G658" t="s">
        <v>22</v>
      </c>
      <c r="H658">
        <v>275.60000000000002</v>
      </c>
      <c r="I658">
        <v>251</v>
      </c>
      <c r="J658">
        <v>95.1</v>
      </c>
      <c r="K658">
        <v>66.5</v>
      </c>
      <c r="L658">
        <v>25.3</v>
      </c>
      <c r="M658">
        <v>10.5</v>
      </c>
      <c r="N658">
        <v>0.28731771745492102</v>
      </c>
      <c r="O658">
        <v>7.0819620674553996E-2</v>
      </c>
    </row>
    <row r="659" spans="1:15" x14ac:dyDescent="0.3">
      <c r="A659">
        <v>3102</v>
      </c>
      <c r="B659">
        <v>2119</v>
      </c>
      <c r="C659">
        <v>298</v>
      </c>
      <c r="D659" t="s">
        <v>19</v>
      </c>
      <c r="E659" t="s">
        <v>20</v>
      </c>
      <c r="F659" t="s">
        <v>17</v>
      </c>
      <c r="G659" t="s">
        <v>22</v>
      </c>
      <c r="H659">
        <v>275.60000000000002</v>
      </c>
      <c r="I659">
        <v>251</v>
      </c>
      <c r="J659">
        <v>95.1</v>
      </c>
      <c r="K659">
        <v>66.5</v>
      </c>
      <c r="L659">
        <v>25.3</v>
      </c>
      <c r="M659">
        <v>10.5</v>
      </c>
      <c r="N659">
        <v>0.29822695146115702</v>
      </c>
      <c r="O659">
        <v>4.5402416272165402E-2</v>
      </c>
    </row>
    <row r="660" spans="1:15" x14ac:dyDescent="0.3">
      <c r="A660">
        <v>3112</v>
      </c>
      <c r="B660">
        <v>2121</v>
      </c>
      <c r="C660">
        <v>368</v>
      </c>
      <c r="D660" t="s">
        <v>19</v>
      </c>
      <c r="E660" t="s">
        <v>16</v>
      </c>
      <c r="F660" t="s">
        <v>21</v>
      </c>
      <c r="G660" t="s">
        <v>18</v>
      </c>
      <c r="H660">
        <v>273.3</v>
      </c>
      <c r="I660">
        <v>249</v>
      </c>
      <c r="J660">
        <v>98.9</v>
      </c>
      <c r="K660">
        <v>68.5</v>
      </c>
      <c r="L660">
        <v>23.8</v>
      </c>
      <c r="M660">
        <v>9</v>
      </c>
      <c r="N660">
        <v>0.14183875149245401</v>
      </c>
      <c r="O660">
        <v>4.3636323496881298E-2</v>
      </c>
    </row>
    <row r="661" spans="1:15" x14ac:dyDescent="0.3">
      <c r="A661">
        <v>3113</v>
      </c>
      <c r="B661">
        <v>2121</v>
      </c>
      <c r="C661">
        <v>368</v>
      </c>
      <c r="D661" t="s">
        <v>19</v>
      </c>
      <c r="E661" t="s">
        <v>16</v>
      </c>
      <c r="F661" t="s">
        <v>21</v>
      </c>
      <c r="G661" t="s">
        <v>18</v>
      </c>
      <c r="H661">
        <v>273.3</v>
      </c>
      <c r="I661">
        <v>249</v>
      </c>
      <c r="J661">
        <v>98.9</v>
      </c>
      <c r="K661">
        <v>68.5</v>
      </c>
      <c r="L661">
        <v>23.8</v>
      </c>
      <c r="M661">
        <v>9</v>
      </c>
      <c r="N661">
        <v>0.12267387886011</v>
      </c>
      <c r="O661">
        <v>4.6519520539050799E-2</v>
      </c>
    </row>
    <row r="662" spans="1:15" x14ac:dyDescent="0.3">
      <c r="A662">
        <v>3118</v>
      </c>
      <c r="B662">
        <v>2123</v>
      </c>
      <c r="C662">
        <v>17</v>
      </c>
      <c r="D662" t="s">
        <v>15</v>
      </c>
      <c r="E662" t="s">
        <v>16</v>
      </c>
      <c r="F662" t="s">
        <v>21</v>
      </c>
      <c r="G662" t="s">
        <v>22</v>
      </c>
      <c r="H662">
        <v>270.2</v>
      </c>
      <c r="I662">
        <v>242.5</v>
      </c>
      <c r="J662">
        <v>93.9</v>
      </c>
      <c r="K662">
        <v>65.5</v>
      </c>
      <c r="L662">
        <v>25.2</v>
      </c>
      <c r="M662">
        <v>5</v>
      </c>
      <c r="N662">
        <v>0.27113568923138098</v>
      </c>
      <c r="O662">
        <v>2.25326031511369E-2</v>
      </c>
    </row>
    <row r="663" spans="1:15" x14ac:dyDescent="0.3">
      <c r="A663">
        <v>3119</v>
      </c>
      <c r="B663">
        <v>2123</v>
      </c>
      <c r="C663">
        <v>17</v>
      </c>
      <c r="D663" t="s">
        <v>15</v>
      </c>
      <c r="E663" t="s">
        <v>16</v>
      </c>
      <c r="F663" t="s">
        <v>21</v>
      </c>
      <c r="G663" t="s">
        <v>22</v>
      </c>
      <c r="H663">
        <v>270.2</v>
      </c>
      <c r="I663">
        <v>242.5</v>
      </c>
      <c r="J663">
        <v>93.9</v>
      </c>
      <c r="K663">
        <v>65.5</v>
      </c>
      <c r="L663">
        <v>25.2</v>
      </c>
      <c r="M663">
        <v>5</v>
      </c>
      <c r="N663">
        <v>0.23769985488502801</v>
      </c>
      <c r="O663">
        <v>1.0083353195584999E-2</v>
      </c>
    </row>
    <row r="664" spans="1:15" x14ac:dyDescent="0.3">
      <c r="A664">
        <v>3140</v>
      </c>
      <c r="B664">
        <v>2133</v>
      </c>
      <c r="C664">
        <v>366</v>
      </c>
      <c r="D664" t="s">
        <v>19</v>
      </c>
      <c r="E664" t="s">
        <v>20</v>
      </c>
      <c r="F664" t="s">
        <v>21</v>
      </c>
      <c r="G664" t="s">
        <v>22</v>
      </c>
      <c r="H664">
        <v>275.89999999999998</v>
      </c>
      <c r="I664">
        <v>255</v>
      </c>
      <c r="J664">
        <v>94.9</v>
      </c>
      <c r="K664">
        <v>64</v>
      </c>
      <c r="L664">
        <v>26.8</v>
      </c>
      <c r="M664">
        <v>17</v>
      </c>
      <c r="N664">
        <v>0.18466692548578101</v>
      </c>
      <c r="O664">
        <v>0.16140479463180199</v>
      </c>
    </row>
    <row r="665" spans="1:15" x14ac:dyDescent="0.3">
      <c r="A665">
        <v>3141</v>
      </c>
      <c r="B665">
        <v>2133</v>
      </c>
      <c r="C665">
        <v>366</v>
      </c>
      <c r="D665" t="s">
        <v>19</v>
      </c>
      <c r="E665" t="s">
        <v>20</v>
      </c>
      <c r="F665" t="s">
        <v>21</v>
      </c>
      <c r="G665" t="s">
        <v>22</v>
      </c>
      <c r="H665">
        <v>275.89999999999998</v>
      </c>
      <c r="I665">
        <v>255</v>
      </c>
      <c r="J665">
        <v>94.9</v>
      </c>
      <c r="K665">
        <v>64</v>
      </c>
      <c r="L665">
        <v>26.8</v>
      </c>
      <c r="M665">
        <v>17</v>
      </c>
      <c r="N665">
        <v>0.15131575536436501</v>
      </c>
      <c r="O665">
        <v>0.16567319165264099</v>
      </c>
    </row>
    <row r="666" spans="1:15" x14ac:dyDescent="0.3">
      <c r="A666">
        <v>3142</v>
      </c>
      <c r="B666">
        <v>2133</v>
      </c>
      <c r="C666">
        <v>366</v>
      </c>
      <c r="D666" t="s">
        <v>19</v>
      </c>
      <c r="E666" t="s">
        <v>20</v>
      </c>
      <c r="F666" t="s">
        <v>21</v>
      </c>
      <c r="G666" t="s">
        <v>22</v>
      </c>
      <c r="H666">
        <v>275.89999999999998</v>
      </c>
      <c r="I666">
        <v>255</v>
      </c>
      <c r="J666">
        <v>94.9</v>
      </c>
      <c r="K666">
        <v>64</v>
      </c>
      <c r="L666">
        <v>26.8</v>
      </c>
      <c r="M666">
        <v>17</v>
      </c>
      <c r="N666">
        <v>0.167927417566686</v>
      </c>
      <c r="O666">
        <v>0.144870801811396</v>
      </c>
    </row>
    <row r="667" spans="1:15" x14ac:dyDescent="0.3">
      <c r="A667">
        <v>3143</v>
      </c>
      <c r="B667">
        <v>2133</v>
      </c>
      <c r="C667">
        <v>366</v>
      </c>
      <c r="D667" t="s">
        <v>19</v>
      </c>
      <c r="E667" t="s">
        <v>20</v>
      </c>
      <c r="F667" t="s">
        <v>21</v>
      </c>
      <c r="G667" t="s">
        <v>22</v>
      </c>
      <c r="H667">
        <v>275.89999999999998</v>
      </c>
      <c r="I667">
        <v>255</v>
      </c>
      <c r="J667">
        <v>94.9</v>
      </c>
      <c r="K667">
        <v>64</v>
      </c>
      <c r="L667">
        <v>26.8</v>
      </c>
      <c r="M667">
        <v>17</v>
      </c>
      <c r="N667">
        <v>0.156187850014357</v>
      </c>
      <c r="O667">
        <v>0.154739586616819</v>
      </c>
    </row>
    <row r="668" spans="1:15" x14ac:dyDescent="0.3">
      <c r="A668">
        <v>3144</v>
      </c>
      <c r="B668">
        <v>2133</v>
      </c>
      <c r="C668">
        <v>366</v>
      </c>
      <c r="D668" t="s">
        <v>19</v>
      </c>
      <c r="E668" t="s">
        <v>20</v>
      </c>
      <c r="F668" t="s">
        <v>21</v>
      </c>
      <c r="G668" t="s">
        <v>22</v>
      </c>
      <c r="H668">
        <v>275.89999999999998</v>
      </c>
      <c r="I668">
        <v>255</v>
      </c>
      <c r="J668">
        <v>94.9</v>
      </c>
      <c r="K668">
        <v>64</v>
      </c>
      <c r="L668">
        <v>26.8</v>
      </c>
      <c r="M668">
        <v>17</v>
      </c>
      <c r="N668">
        <v>0.170015213511544</v>
      </c>
      <c r="O668">
        <v>0.175611550082</v>
      </c>
    </row>
    <row r="669" spans="1:15" x14ac:dyDescent="0.3">
      <c r="A669">
        <v>3145</v>
      </c>
      <c r="B669">
        <v>2133</v>
      </c>
      <c r="C669">
        <v>366</v>
      </c>
      <c r="D669" t="s">
        <v>19</v>
      </c>
      <c r="E669" t="s">
        <v>20</v>
      </c>
      <c r="F669" t="s">
        <v>21</v>
      </c>
      <c r="G669" t="s">
        <v>22</v>
      </c>
      <c r="H669">
        <v>275.89999999999998</v>
      </c>
      <c r="I669">
        <v>255</v>
      </c>
      <c r="J669">
        <v>94.9</v>
      </c>
      <c r="K669">
        <v>64</v>
      </c>
      <c r="L669">
        <v>26.8</v>
      </c>
      <c r="M669">
        <v>17</v>
      </c>
      <c r="N669">
        <v>0.185042236051949</v>
      </c>
      <c r="O669">
        <v>0.14152735983002601</v>
      </c>
    </row>
    <row r="670" spans="1:15" x14ac:dyDescent="0.3">
      <c r="A670">
        <v>3146</v>
      </c>
      <c r="B670">
        <v>2134</v>
      </c>
      <c r="C670">
        <v>192</v>
      </c>
      <c r="D670" t="s">
        <v>15</v>
      </c>
      <c r="E670" t="s">
        <v>20</v>
      </c>
      <c r="F670" t="s">
        <v>17</v>
      </c>
      <c r="G670" t="s">
        <v>22</v>
      </c>
      <c r="H670">
        <v>276</v>
      </c>
      <c r="I670">
        <v>253</v>
      </c>
      <c r="J670">
        <v>94.6</v>
      </c>
      <c r="K670">
        <v>69</v>
      </c>
      <c r="L670">
        <v>28.5</v>
      </c>
      <c r="M670">
        <v>8</v>
      </c>
      <c r="N670">
        <v>3.7349484267425299E-2</v>
      </c>
      <c r="O670">
        <v>4.7814913398517699E-2</v>
      </c>
    </row>
    <row r="671" spans="1:15" x14ac:dyDescent="0.3">
      <c r="A671">
        <v>3147</v>
      </c>
      <c r="B671">
        <v>2134</v>
      </c>
      <c r="C671">
        <v>192</v>
      </c>
      <c r="D671" t="s">
        <v>15</v>
      </c>
      <c r="E671" t="s">
        <v>20</v>
      </c>
      <c r="F671" t="s">
        <v>17</v>
      </c>
      <c r="G671" t="s">
        <v>22</v>
      </c>
      <c r="H671">
        <v>276</v>
      </c>
      <c r="I671">
        <v>253</v>
      </c>
      <c r="J671">
        <v>94.6</v>
      </c>
      <c r="K671">
        <v>69</v>
      </c>
      <c r="L671">
        <v>28.5</v>
      </c>
      <c r="M671">
        <v>8</v>
      </c>
      <c r="N671">
        <v>4.1359602526300797E-2</v>
      </c>
      <c r="O671">
        <v>4.9305763107655498E-2</v>
      </c>
    </row>
    <row r="672" spans="1:15" x14ac:dyDescent="0.3">
      <c r="A672">
        <v>3148</v>
      </c>
      <c r="B672">
        <v>2134</v>
      </c>
      <c r="C672">
        <v>192</v>
      </c>
      <c r="D672" t="s">
        <v>15</v>
      </c>
      <c r="E672" t="s">
        <v>20</v>
      </c>
      <c r="F672" t="s">
        <v>17</v>
      </c>
      <c r="G672" t="s">
        <v>22</v>
      </c>
      <c r="H672">
        <v>276</v>
      </c>
      <c r="I672">
        <v>253</v>
      </c>
      <c r="J672">
        <v>94.6</v>
      </c>
      <c r="K672">
        <v>69</v>
      </c>
      <c r="L672">
        <v>28.5</v>
      </c>
      <c r="M672">
        <v>8</v>
      </c>
      <c r="N672">
        <v>3.6154404869353701E-2</v>
      </c>
      <c r="O672">
        <v>4.8380744525134002E-2</v>
      </c>
    </row>
    <row r="673" spans="1:15" x14ac:dyDescent="0.3">
      <c r="A673">
        <v>3149</v>
      </c>
      <c r="B673">
        <v>2134</v>
      </c>
      <c r="C673">
        <v>192</v>
      </c>
      <c r="D673" t="s">
        <v>15</v>
      </c>
      <c r="E673" t="s">
        <v>20</v>
      </c>
      <c r="F673" t="s">
        <v>17</v>
      </c>
      <c r="G673" t="s">
        <v>22</v>
      </c>
      <c r="H673">
        <v>276</v>
      </c>
      <c r="I673">
        <v>253</v>
      </c>
      <c r="J673">
        <v>94.6</v>
      </c>
      <c r="K673">
        <v>69</v>
      </c>
      <c r="L673">
        <v>28.5</v>
      </c>
      <c r="M673">
        <v>8</v>
      </c>
      <c r="N673">
        <v>2.74985684648224E-2</v>
      </c>
      <c r="O673">
        <v>4.1799416661580997E-2</v>
      </c>
    </row>
    <row r="674" spans="1:15" x14ac:dyDescent="0.3">
      <c r="A674">
        <v>3156</v>
      </c>
      <c r="B674">
        <v>2139</v>
      </c>
      <c r="C674">
        <v>218</v>
      </c>
      <c r="D674" t="s">
        <v>19</v>
      </c>
      <c r="E674" t="s">
        <v>16</v>
      </c>
      <c r="F674" t="s">
        <v>21</v>
      </c>
      <c r="G674" t="s">
        <v>22</v>
      </c>
      <c r="H674">
        <v>274.5</v>
      </c>
      <c r="I674">
        <v>258</v>
      </c>
      <c r="J674">
        <v>101.5</v>
      </c>
      <c r="K674">
        <v>66.5</v>
      </c>
      <c r="L674">
        <v>27.9</v>
      </c>
      <c r="M674">
        <v>10</v>
      </c>
      <c r="N674">
        <v>0.12387110744860801</v>
      </c>
      <c r="O674">
        <v>9.0294732766658697E-2</v>
      </c>
    </row>
    <row r="675" spans="1:15" x14ac:dyDescent="0.3">
      <c r="A675">
        <v>3157</v>
      </c>
      <c r="B675">
        <v>2139</v>
      </c>
      <c r="C675">
        <v>218</v>
      </c>
      <c r="D675" t="s">
        <v>19</v>
      </c>
      <c r="E675" t="s">
        <v>16</v>
      </c>
      <c r="F675" t="s">
        <v>21</v>
      </c>
      <c r="G675" t="s">
        <v>22</v>
      </c>
      <c r="H675">
        <v>274.5</v>
      </c>
      <c r="I675">
        <v>258</v>
      </c>
      <c r="J675">
        <v>101.5</v>
      </c>
      <c r="K675">
        <v>66.5</v>
      </c>
      <c r="L675">
        <v>27.9</v>
      </c>
      <c r="M675">
        <v>10</v>
      </c>
      <c r="N675">
        <v>0.12112836450211301</v>
      </c>
      <c r="O675">
        <v>0.10149215109392599</v>
      </c>
    </row>
    <row r="676" spans="1:15" x14ac:dyDescent="0.3">
      <c r="A676">
        <v>3158</v>
      </c>
      <c r="B676">
        <v>2139</v>
      </c>
      <c r="C676">
        <v>218</v>
      </c>
      <c r="D676" t="s">
        <v>19</v>
      </c>
      <c r="E676" t="s">
        <v>16</v>
      </c>
      <c r="F676" t="s">
        <v>21</v>
      </c>
      <c r="G676" t="s">
        <v>22</v>
      </c>
      <c r="H676">
        <v>274.5</v>
      </c>
      <c r="I676">
        <v>258</v>
      </c>
      <c r="J676">
        <v>101.5</v>
      </c>
      <c r="K676">
        <v>66.5</v>
      </c>
      <c r="L676">
        <v>27.9</v>
      </c>
      <c r="M676">
        <v>10</v>
      </c>
      <c r="N676">
        <v>0.12169225180433201</v>
      </c>
      <c r="O676">
        <v>0.11451850066529699</v>
      </c>
    </row>
    <row r="677" spans="1:15" x14ac:dyDescent="0.3">
      <c r="A677">
        <v>3159</v>
      </c>
      <c r="B677">
        <v>214</v>
      </c>
      <c r="C677">
        <v>112</v>
      </c>
      <c r="D677" t="s">
        <v>19</v>
      </c>
      <c r="E677" t="s">
        <v>20</v>
      </c>
      <c r="F677" t="s">
        <v>17</v>
      </c>
      <c r="G677" t="s">
        <v>25</v>
      </c>
      <c r="H677">
        <v>277.2</v>
      </c>
      <c r="I677">
        <v>249</v>
      </c>
      <c r="J677">
        <v>95</v>
      </c>
      <c r="K677">
        <v>64</v>
      </c>
      <c r="L677">
        <v>29.1</v>
      </c>
      <c r="M677">
        <v>7</v>
      </c>
      <c r="N677">
        <v>0.14598265073252001</v>
      </c>
      <c r="O677">
        <v>8.8102311621286594E-2</v>
      </c>
    </row>
    <row r="678" spans="1:15" x14ac:dyDescent="0.3">
      <c r="A678">
        <v>3160</v>
      </c>
      <c r="B678">
        <v>214</v>
      </c>
      <c r="C678">
        <v>112</v>
      </c>
      <c r="D678" t="s">
        <v>19</v>
      </c>
      <c r="E678" t="s">
        <v>20</v>
      </c>
      <c r="F678" t="s">
        <v>17</v>
      </c>
      <c r="G678" t="s">
        <v>25</v>
      </c>
      <c r="H678">
        <v>277.2</v>
      </c>
      <c r="I678">
        <v>249</v>
      </c>
      <c r="J678">
        <v>95</v>
      </c>
      <c r="K678">
        <v>64</v>
      </c>
      <c r="L678">
        <v>29.1</v>
      </c>
      <c r="M678">
        <v>7</v>
      </c>
      <c r="N678">
        <v>0.14778561630357401</v>
      </c>
      <c r="O678">
        <v>9.6113180098457998E-2</v>
      </c>
    </row>
    <row r="679" spans="1:15" x14ac:dyDescent="0.3">
      <c r="A679">
        <v>3162</v>
      </c>
      <c r="B679">
        <v>2141</v>
      </c>
      <c r="C679">
        <v>102</v>
      </c>
      <c r="D679" t="s">
        <v>19</v>
      </c>
      <c r="E679" t="s">
        <v>20</v>
      </c>
      <c r="F679" t="s">
        <v>17</v>
      </c>
      <c r="G679" t="s">
        <v>24</v>
      </c>
      <c r="H679">
        <v>273.60000000000002</v>
      </c>
      <c r="I679">
        <v>246</v>
      </c>
      <c r="J679">
        <v>93.6</v>
      </c>
      <c r="K679">
        <v>64.5</v>
      </c>
      <c r="L679">
        <v>25.6</v>
      </c>
      <c r="M679">
        <v>1.5</v>
      </c>
      <c r="N679">
        <v>0.174051539523642</v>
      </c>
      <c r="O679">
        <v>0.19833913926663599</v>
      </c>
    </row>
    <row r="680" spans="1:15" x14ac:dyDescent="0.3">
      <c r="A680">
        <v>3163</v>
      </c>
      <c r="B680">
        <v>2141</v>
      </c>
      <c r="C680">
        <v>102</v>
      </c>
      <c r="D680" t="s">
        <v>19</v>
      </c>
      <c r="E680" t="s">
        <v>20</v>
      </c>
      <c r="F680" t="s">
        <v>17</v>
      </c>
      <c r="G680" t="s">
        <v>24</v>
      </c>
      <c r="H680">
        <v>273.60000000000002</v>
      </c>
      <c r="I680">
        <v>246</v>
      </c>
      <c r="J680">
        <v>93.6</v>
      </c>
      <c r="K680">
        <v>64.5</v>
      </c>
      <c r="L680">
        <v>25.6</v>
      </c>
      <c r="M680">
        <v>1.5</v>
      </c>
      <c r="N680">
        <v>0.14654064694641</v>
      </c>
      <c r="O680">
        <v>0.18891147272704401</v>
      </c>
    </row>
    <row r="681" spans="1:15" x14ac:dyDescent="0.3">
      <c r="A681">
        <v>3164</v>
      </c>
      <c r="B681">
        <v>2141</v>
      </c>
      <c r="C681">
        <v>102</v>
      </c>
      <c r="D681" t="s">
        <v>19</v>
      </c>
      <c r="E681" t="s">
        <v>20</v>
      </c>
      <c r="F681" t="s">
        <v>17</v>
      </c>
      <c r="G681" t="s">
        <v>24</v>
      </c>
      <c r="H681">
        <v>273.60000000000002</v>
      </c>
      <c r="I681">
        <v>246</v>
      </c>
      <c r="J681">
        <v>93.6</v>
      </c>
      <c r="K681">
        <v>64.5</v>
      </c>
      <c r="L681">
        <v>25.6</v>
      </c>
      <c r="M681">
        <v>1.5</v>
      </c>
      <c r="N681">
        <v>0.16174418569694299</v>
      </c>
      <c r="O681">
        <v>0.178882582593445</v>
      </c>
    </row>
    <row r="682" spans="1:15" x14ac:dyDescent="0.3">
      <c r="A682">
        <v>3165</v>
      </c>
      <c r="B682">
        <v>2141</v>
      </c>
      <c r="C682">
        <v>102</v>
      </c>
      <c r="D682" t="s">
        <v>19</v>
      </c>
      <c r="E682" t="s">
        <v>20</v>
      </c>
      <c r="F682" t="s">
        <v>17</v>
      </c>
      <c r="G682" t="s">
        <v>24</v>
      </c>
      <c r="H682">
        <v>273.60000000000002</v>
      </c>
      <c r="I682">
        <v>246</v>
      </c>
      <c r="J682">
        <v>93.6</v>
      </c>
      <c r="K682">
        <v>64.5</v>
      </c>
      <c r="L682">
        <v>25.6</v>
      </c>
      <c r="M682">
        <v>1.5</v>
      </c>
      <c r="N682">
        <v>0.176125866176257</v>
      </c>
      <c r="O682">
        <v>0.204742913619643</v>
      </c>
    </row>
    <row r="683" spans="1:15" x14ac:dyDescent="0.3">
      <c r="A683">
        <v>3166</v>
      </c>
      <c r="B683">
        <v>2142</v>
      </c>
      <c r="C683">
        <v>320</v>
      </c>
      <c r="D683" t="s">
        <v>19</v>
      </c>
      <c r="E683" t="s">
        <v>20</v>
      </c>
      <c r="F683" t="s">
        <v>21</v>
      </c>
      <c r="G683" t="s">
        <v>18</v>
      </c>
      <c r="H683">
        <v>279</v>
      </c>
      <c r="I683">
        <v>253.5</v>
      </c>
      <c r="J683">
        <v>97.1</v>
      </c>
      <c r="K683">
        <v>64</v>
      </c>
      <c r="L683">
        <v>24</v>
      </c>
      <c r="M683">
        <v>8</v>
      </c>
      <c r="N683">
        <v>0.16178766547374501</v>
      </c>
      <c r="O683">
        <v>2.88138705496182E-2</v>
      </c>
    </row>
    <row r="684" spans="1:15" x14ac:dyDescent="0.3">
      <c r="A684">
        <v>3169</v>
      </c>
      <c r="B684">
        <v>2144</v>
      </c>
      <c r="C684">
        <v>301</v>
      </c>
      <c r="D684" t="s">
        <v>15</v>
      </c>
      <c r="E684" t="s">
        <v>20</v>
      </c>
      <c r="F684" t="s">
        <v>21</v>
      </c>
      <c r="G684" t="s">
        <v>18</v>
      </c>
      <c r="H684">
        <v>275.5</v>
      </c>
      <c r="I684">
        <v>250</v>
      </c>
      <c r="J684">
        <v>94.4</v>
      </c>
      <c r="K684">
        <v>68.5</v>
      </c>
      <c r="L684">
        <v>22.1</v>
      </c>
      <c r="M684">
        <v>6</v>
      </c>
      <c r="N684">
        <v>0.23431936134797601</v>
      </c>
      <c r="O684">
        <v>3.8951371551799001E-2</v>
      </c>
    </row>
    <row r="685" spans="1:15" x14ac:dyDescent="0.3">
      <c r="A685">
        <v>3171</v>
      </c>
      <c r="B685">
        <v>2146</v>
      </c>
      <c r="C685">
        <v>261</v>
      </c>
      <c r="D685" t="s">
        <v>23</v>
      </c>
      <c r="E685" t="s">
        <v>20</v>
      </c>
      <c r="F685" t="s">
        <v>21</v>
      </c>
      <c r="G685" t="s">
        <v>24</v>
      </c>
      <c r="H685">
        <v>276.60000000000002</v>
      </c>
      <c r="I685">
        <v>246</v>
      </c>
      <c r="J685">
        <v>96.1</v>
      </c>
      <c r="K685">
        <v>65.5</v>
      </c>
      <c r="L685">
        <v>29.4</v>
      </c>
      <c r="M685">
        <v>12</v>
      </c>
      <c r="N685">
        <v>4.1582399960549903E-2</v>
      </c>
      <c r="O685">
        <v>0.35742221557863801</v>
      </c>
    </row>
    <row r="686" spans="1:15" x14ac:dyDescent="0.3">
      <c r="A686">
        <v>3172</v>
      </c>
      <c r="B686">
        <v>2146</v>
      </c>
      <c r="C686">
        <v>261</v>
      </c>
      <c r="D686" t="s">
        <v>23</v>
      </c>
      <c r="E686" t="s">
        <v>20</v>
      </c>
      <c r="F686" t="s">
        <v>21</v>
      </c>
      <c r="G686" t="s">
        <v>24</v>
      </c>
      <c r="H686">
        <v>276.60000000000002</v>
      </c>
      <c r="I686">
        <v>246</v>
      </c>
      <c r="J686">
        <v>96.1</v>
      </c>
      <c r="K686">
        <v>65.5</v>
      </c>
      <c r="L686">
        <v>29.4</v>
      </c>
      <c r="M686">
        <v>12</v>
      </c>
      <c r="N686">
        <v>4.2369881140500797E-2</v>
      </c>
      <c r="O686">
        <v>0.35950256496496003</v>
      </c>
    </row>
    <row r="687" spans="1:15" x14ac:dyDescent="0.3">
      <c r="A687">
        <v>3173</v>
      </c>
      <c r="B687">
        <v>2146</v>
      </c>
      <c r="C687">
        <v>261</v>
      </c>
      <c r="D687" t="s">
        <v>23</v>
      </c>
      <c r="E687" t="s">
        <v>20</v>
      </c>
      <c r="F687" t="s">
        <v>21</v>
      </c>
      <c r="G687" t="s">
        <v>24</v>
      </c>
      <c r="H687">
        <v>276.60000000000002</v>
      </c>
      <c r="I687">
        <v>246</v>
      </c>
      <c r="J687">
        <v>96.1</v>
      </c>
      <c r="K687">
        <v>65.5</v>
      </c>
      <c r="L687">
        <v>29.4</v>
      </c>
      <c r="M687">
        <v>12</v>
      </c>
      <c r="N687">
        <v>2.86717748873699E-2</v>
      </c>
      <c r="O687">
        <v>0.32973755592369303</v>
      </c>
    </row>
    <row r="688" spans="1:15" x14ac:dyDescent="0.3">
      <c r="A688">
        <v>3174</v>
      </c>
      <c r="B688">
        <v>2146</v>
      </c>
      <c r="C688">
        <v>261</v>
      </c>
      <c r="D688" t="s">
        <v>23</v>
      </c>
      <c r="E688" t="s">
        <v>20</v>
      </c>
      <c r="F688" t="s">
        <v>21</v>
      </c>
      <c r="G688" t="s">
        <v>24</v>
      </c>
      <c r="H688">
        <v>276.60000000000002</v>
      </c>
      <c r="I688">
        <v>246</v>
      </c>
      <c r="J688">
        <v>96.1</v>
      </c>
      <c r="K688">
        <v>65.5</v>
      </c>
      <c r="L688">
        <v>29.4</v>
      </c>
      <c r="M688">
        <v>12</v>
      </c>
      <c r="N688">
        <v>4.2218451217044699E-2</v>
      </c>
      <c r="O688">
        <v>0.330556934807402</v>
      </c>
    </row>
    <row r="689" spans="1:15" x14ac:dyDescent="0.3">
      <c r="A689">
        <v>3175</v>
      </c>
      <c r="B689">
        <v>2147</v>
      </c>
      <c r="C689">
        <v>279</v>
      </c>
      <c r="D689" t="s">
        <v>23</v>
      </c>
      <c r="E689" t="s">
        <v>16</v>
      </c>
      <c r="F689" t="s">
        <v>21</v>
      </c>
      <c r="G689" t="s">
        <v>26</v>
      </c>
      <c r="H689">
        <v>273.8</v>
      </c>
      <c r="I689">
        <v>248.5</v>
      </c>
      <c r="J689">
        <v>97.9</v>
      </c>
      <c r="K689">
        <v>65.5</v>
      </c>
      <c r="L689">
        <v>24.9</v>
      </c>
      <c r="M689">
        <v>4</v>
      </c>
      <c r="N689">
        <v>0.229782296978807</v>
      </c>
      <c r="O689">
        <v>0.39533889667245198</v>
      </c>
    </row>
    <row r="690" spans="1:15" x14ac:dyDescent="0.3">
      <c r="A690">
        <v>3176</v>
      </c>
      <c r="B690">
        <v>2147</v>
      </c>
      <c r="C690">
        <v>279</v>
      </c>
      <c r="D690" t="s">
        <v>23</v>
      </c>
      <c r="E690" t="s">
        <v>16</v>
      </c>
      <c r="F690" t="s">
        <v>21</v>
      </c>
      <c r="G690" t="s">
        <v>26</v>
      </c>
      <c r="H690">
        <v>273.8</v>
      </c>
      <c r="I690">
        <v>248.5</v>
      </c>
      <c r="J690">
        <v>97.9</v>
      </c>
      <c r="K690">
        <v>65.5</v>
      </c>
      <c r="L690">
        <v>24.9</v>
      </c>
      <c r="M690">
        <v>4</v>
      </c>
      <c r="N690">
        <v>0.23586678942530301</v>
      </c>
      <c r="O690">
        <v>0.382168337093166</v>
      </c>
    </row>
    <row r="691" spans="1:15" x14ac:dyDescent="0.3">
      <c r="A691">
        <v>3177</v>
      </c>
      <c r="B691">
        <v>2148</v>
      </c>
      <c r="C691">
        <v>238</v>
      </c>
      <c r="D691" t="s">
        <v>19</v>
      </c>
      <c r="E691" t="s">
        <v>16</v>
      </c>
      <c r="F691" t="s">
        <v>17</v>
      </c>
      <c r="G691" t="s">
        <v>24</v>
      </c>
      <c r="H691">
        <v>273.3</v>
      </c>
      <c r="I691">
        <v>246</v>
      </c>
      <c r="J691">
        <v>92.6</v>
      </c>
      <c r="K691">
        <v>63.5</v>
      </c>
      <c r="L691">
        <v>25.5</v>
      </c>
      <c r="M691">
        <v>9.5</v>
      </c>
      <c r="N691">
        <v>0.122777209357728</v>
      </c>
      <c r="O691">
        <v>0.146959091067843</v>
      </c>
    </row>
    <row r="692" spans="1:15" x14ac:dyDescent="0.3">
      <c r="A692">
        <v>3178</v>
      </c>
      <c r="B692">
        <v>2148</v>
      </c>
      <c r="C692">
        <v>238</v>
      </c>
      <c r="D692" t="s">
        <v>19</v>
      </c>
      <c r="E692" t="s">
        <v>16</v>
      </c>
      <c r="F692" t="s">
        <v>17</v>
      </c>
      <c r="G692" t="s">
        <v>24</v>
      </c>
      <c r="H692">
        <v>273.3</v>
      </c>
      <c r="I692">
        <v>246</v>
      </c>
      <c r="J692">
        <v>92.6</v>
      </c>
      <c r="K692">
        <v>63.5</v>
      </c>
      <c r="L692">
        <v>25.5</v>
      </c>
      <c r="M692">
        <v>9.5</v>
      </c>
      <c r="N692">
        <v>9.4762153197009397E-2</v>
      </c>
      <c r="O692">
        <v>0.14246785221616201</v>
      </c>
    </row>
    <row r="693" spans="1:15" x14ac:dyDescent="0.3">
      <c r="A693">
        <v>3185</v>
      </c>
      <c r="B693">
        <v>2151</v>
      </c>
      <c r="C693">
        <v>232</v>
      </c>
      <c r="D693" t="s">
        <v>19</v>
      </c>
      <c r="E693" t="s">
        <v>16</v>
      </c>
      <c r="F693" t="s">
        <v>17</v>
      </c>
      <c r="G693" t="s">
        <v>18</v>
      </c>
      <c r="H693">
        <v>277.8</v>
      </c>
      <c r="I693">
        <v>249</v>
      </c>
      <c r="J693">
        <v>95.2</v>
      </c>
      <c r="K693">
        <v>67.5</v>
      </c>
      <c r="L693">
        <v>28.4</v>
      </c>
      <c r="M693">
        <v>7.5</v>
      </c>
      <c r="N693">
        <v>0.147109589392763</v>
      </c>
      <c r="O693">
        <v>6.5195154172156294E-2</v>
      </c>
    </row>
    <row r="694" spans="1:15" x14ac:dyDescent="0.3">
      <c r="A694">
        <v>3186</v>
      </c>
      <c r="B694">
        <v>2151</v>
      </c>
      <c r="C694">
        <v>232</v>
      </c>
      <c r="D694" t="s">
        <v>19</v>
      </c>
      <c r="E694" t="s">
        <v>16</v>
      </c>
      <c r="F694" t="s">
        <v>17</v>
      </c>
      <c r="G694" t="s">
        <v>18</v>
      </c>
      <c r="H694">
        <v>277.8</v>
      </c>
      <c r="I694">
        <v>249</v>
      </c>
      <c r="J694">
        <v>95.2</v>
      </c>
      <c r="K694">
        <v>67.5</v>
      </c>
      <c r="L694">
        <v>28.4</v>
      </c>
      <c r="M694">
        <v>7.5</v>
      </c>
      <c r="N694">
        <v>0.138378142234272</v>
      </c>
      <c r="O694">
        <v>6.3741459500940095E-2</v>
      </c>
    </row>
    <row r="695" spans="1:15" x14ac:dyDescent="0.3">
      <c r="A695">
        <v>3187</v>
      </c>
      <c r="B695">
        <v>2151</v>
      </c>
      <c r="C695">
        <v>232</v>
      </c>
      <c r="D695" t="s">
        <v>19</v>
      </c>
      <c r="E695" t="s">
        <v>16</v>
      </c>
      <c r="F695" t="s">
        <v>17</v>
      </c>
      <c r="G695" t="s">
        <v>18</v>
      </c>
      <c r="H695">
        <v>277.8</v>
      </c>
      <c r="I695">
        <v>249</v>
      </c>
      <c r="J695">
        <v>95.2</v>
      </c>
      <c r="K695">
        <v>67.5</v>
      </c>
      <c r="L695">
        <v>28.4</v>
      </c>
      <c r="M695">
        <v>7.5</v>
      </c>
      <c r="N695">
        <v>0.13762811115320001</v>
      </c>
      <c r="O695">
        <v>5.5361901808269297E-2</v>
      </c>
    </row>
    <row r="696" spans="1:15" x14ac:dyDescent="0.3">
      <c r="A696">
        <v>3188</v>
      </c>
      <c r="B696">
        <v>2151</v>
      </c>
      <c r="C696">
        <v>232</v>
      </c>
      <c r="D696" t="s">
        <v>19</v>
      </c>
      <c r="E696" t="s">
        <v>16</v>
      </c>
      <c r="F696" t="s">
        <v>17</v>
      </c>
      <c r="G696" t="s">
        <v>18</v>
      </c>
      <c r="H696">
        <v>277.8</v>
      </c>
      <c r="I696">
        <v>249</v>
      </c>
      <c r="J696">
        <v>95.2</v>
      </c>
      <c r="K696">
        <v>67.5</v>
      </c>
      <c r="L696">
        <v>28.4</v>
      </c>
      <c r="M696">
        <v>7.5</v>
      </c>
      <c r="N696">
        <v>0.125187003553202</v>
      </c>
      <c r="O696">
        <v>7.1246351458684604E-2</v>
      </c>
    </row>
    <row r="697" spans="1:15" x14ac:dyDescent="0.3">
      <c r="A697">
        <v>3201</v>
      </c>
      <c r="B697">
        <v>2157</v>
      </c>
      <c r="C697">
        <v>350</v>
      </c>
      <c r="D697" t="s">
        <v>23</v>
      </c>
      <c r="E697" t="s">
        <v>16</v>
      </c>
      <c r="F697" t="s">
        <v>21</v>
      </c>
      <c r="G697" t="s">
        <v>26</v>
      </c>
      <c r="H697">
        <v>271.60000000000002</v>
      </c>
      <c r="I697">
        <v>240.5</v>
      </c>
      <c r="J697">
        <v>93.3</v>
      </c>
      <c r="K697">
        <v>65</v>
      </c>
      <c r="L697">
        <v>23.4</v>
      </c>
      <c r="M697">
        <v>7.5</v>
      </c>
      <c r="N697">
        <v>0.25818760698330301</v>
      </c>
      <c r="O697">
        <v>0.39518300151650199</v>
      </c>
    </row>
    <row r="698" spans="1:15" x14ac:dyDescent="0.3">
      <c r="A698">
        <v>3202</v>
      </c>
      <c r="B698">
        <v>2158</v>
      </c>
      <c r="C698">
        <v>66</v>
      </c>
      <c r="D698" t="s">
        <v>23</v>
      </c>
      <c r="E698" t="s">
        <v>20</v>
      </c>
      <c r="F698" t="s">
        <v>21</v>
      </c>
      <c r="G698" t="s">
        <v>26</v>
      </c>
      <c r="H698">
        <v>276.2</v>
      </c>
      <c r="I698">
        <v>258</v>
      </c>
      <c r="J698">
        <v>95.8</v>
      </c>
      <c r="K698">
        <v>63.5</v>
      </c>
      <c r="L698">
        <v>26.4</v>
      </c>
      <c r="M698">
        <v>7</v>
      </c>
      <c r="N698">
        <v>0.18130585226118101</v>
      </c>
      <c r="O698">
        <v>0.275242806099606</v>
      </c>
    </row>
    <row r="699" spans="1:15" x14ac:dyDescent="0.3">
      <c r="A699">
        <v>3203</v>
      </c>
      <c r="B699">
        <v>2158</v>
      </c>
      <c r="C699">
        <v>66</v>
      </c>
      <c r="D699" t="s">
        <v>23</v>
      </c>
      <c r="E699" t="s">
        <v>20</v>
      </c>
      <c r="F699" t="s">
        <v>21</v>
      </c>
      <c r="G699" t="s">
        <v>26</v>
      </c>
      <c r="H699">
        <v>276.2</v>
      </c>
      <c r="I699">
        <v>258</v>
      </c>
      <c r="J699">
        <v>95.8</v>
      </c>
      <c r="K699">
        <v>63.5</v>
      </c>
      <c r="L699">
        <v>26.4</v>
      </c>
      <c r="M699">
        <v>7</v>
      </c>
      <c r="N699">
        <v>0.161765457398756</v>
      </c>
      <c r="O699">
        <v>0.24898698079874701</v>
      </c>
    </row>
    <row r="700" spans="1:15" x14ac:dyDescent="0.3">
      <c r="A700">
        <v>3204</v>
      </c>
      <c r="B700">
        <v>2158</v>
      </c>
      <c r="C700">
        <v>66</v>
      </c>
      <c r="D700" t="s">
        <v>23</v>
      </c>
      <c r="E700" t="s">
        <v>20</v>
      </c>
      <c r="F700" t="s">
        <v>21</v>
      </c>
      <c r="G700" t="s">
        <v>26</v>
      </c>
      <c r="H700">
        <v>276.2</v>
      </c>
      <c r="I700">
        <v>258</v>
      </c>
      <c r="J700">
        <v>95.8</v>
      </c>
      <c r="K700">
        <v>63.5</v>
      </c>
      <c r="L700">
        <v>26.4</v>
      </c>
      <c r="M700">
        <v>7</v>
      </c>
      <c r="N700">
        <v>0.1773784111908</v>
      </c>
      <c r="O700">
        <v>0.27609851303532001</v>
      </c>
    </row>
    <row r="701" spans="1:15" x14ac:dyDescent="0.3">
      <c r="A701">
        <v>3205</v>
      </c>
      <c r="B701">
        <v>2159</v>
      </c>
      <c r="C701">
        <v>279</v>
      </c>
      <c r="D701" t="s">
        <v>23</v>
      </c>
      <c r="E701" t="s">
        <v>16</v>
      </c>
      <c r="F701" t="s">
        <v>21</v>
      </c>
      <c r="G701" t="s">
        <v>26</v>
      </c>
      <c r="H701">
        <v>273.8</v>
      </c>
      <c r="I701">
        <v>248.5</v>
      </c>
      <c r="J701">
        <v>97.9</v>
      </c>
      <c r="K701">
        <v>65.5</v>
      </c>
      <c r="L701">
        <v>24.9</v>
      </c>
      <c r="M701">
        <v>4</v>
      </c>
      <c r="N701">
        <v>0.24379796090009001</v>
      </c>
      <c r="O701">
        <v>0.37052502507250201</v>
      </c>
    </row>
    <row r="702" spans="1:15" x14ac:dyDescent="0.3">
      <c r="A702">
        <v>3206</v>
      </c>
      <c r="B702">
        <v>2159</v>
      </c>
      <c r="C702">
        <v>279</v>
      </c>
      <c r="D702" t="s">
        <v>23</v>
      </c>
      <c r="E702" t="s">
        <v>16</v>
      </c>
      <c r="F702" t="s">
        <v>21</v>
      </c>
      <c r="G702" t="s">
        <v>26</v>
      </c>
      <c r="H702">
        <v>273.8</v>
      </c>
      <c r="I702">
        <v>248.5</v>
      </c>
      <c r="J702">
        <v>97.9</v>
      </c>
      <c r="K702">
        <v>65.5</v>
      </c>
      <c r="L702">
        <v>24.9</v>
      </c>
      <c r="M702">
        <v>4</v>
      </c>
      <c r="N702">
        <v>0.23976089794765401</v>
      </c>
      <c r="O702">
        <v>0.37594466038875801</v>
      </c>
    </row>
    <row r="703" spans="1:15" x14ac:dyDescent="0.3">
      <c r="A703">
        <v>3207</v>
      </c>
      <c r="B703">
        <v>2159</v>
      </c>
      <c r="C703">
        <v>279</v>
      </c>
      <c r="D703" t="s">
        <v>23</v>
      </c>
      <c r="E703" t="s">
        <v>16</v>
      </c>
      <c r="F703" t="s">
        <v>21</v>
      </c>
      <c r="G703" t="s">
        <v>26</v>
      </c>
      <c r="H703">
        <v>273.8</v>
      </c>
      <c r="I703">
        <v>248.5</v>
      </c>
      <c r="J703">
        <v>97.9</v>
      </c>
      <c r="K703">
        <v>65.5</v>
      </c>
      <c r="L703">
        <v>24.9</v>
      </c>
      <c r="M703">
        <v>4</v>
      </c>
      <c r="N703">
        <v>0.24035860821937499</v>
      </c>
      <c r="O703">
        <v>0.38026938980449898</v>
      </c>
    </row>
    <row r="704" spans="1:15" x14ac:dyDescent="0.3">
      <c r="A704">
        <v>3208</v>
      </c>
      <c r="B704">
        <v>2159</v>
      </c>
      <c r="C704">
        <v>279</v>
      </c>
      <c r="D704" t="s">
        <v>23</v>
      </c>
      <c r="E704" t="s">
        <v>16</v>
      </c>
      <c r="F704" t="s">
        <v>21</v>
      </c>
      <c r="G704" t="s">
        <v>26</v>
      </c>
      <c r="H704">
        <v>273.8</v>
      </c>
      <c r="I704">
        <v>248.5</v>
      </c>
      <c r="J704">
        <v>97.9</v>
      </c>
      <c r="K704">
        <v>65.5</v>
      </c>
      <c r="L704">
        <v>24.9</v>
      </c>
      <c r="M704">
        <v>4</v>
      </c>
      <c r="N704">
        <v>0.25493972591808201</v>
      </c>
      <c r="O704">
        <v>0.38323883042403101</v>
      </c>
    </row>
    <row r="705" spans="1:15" x14ac:dyDescent="0.3">
      <c r="A705">
        <v>3209</v>
      </c>
      <c r="B705">
        <v>2159</v>
      </c>
      <c r="C705">
        <v>279</v>
      </c>
      <c r="D705" t="s">
        <v>23</v>
      </c>
      <c r="E705" t="s">
        <v>16</v>
      </c>
      <c r="F705" t="s">
        <v>21</v>
      </c>
      <c r="G705" t="s">
        <v>26</v>
      </c>
      <c r="H705">
        <v>273.8</v>
      </c>
      <c r="I705">
        <v>248.5</v>
      </c>
      <c r="J705">
        <v>97.9</v>
      </c>
      <c r="K705">
        <v>65.5</v>
      </c>
      <c r="L705">
        <v>24.9</v>
      </c>
      <c r="M705">
        <v>4</v>
      </c>
      <c r="N705">
        <v>0.23672756813922399</v>
      </c>
      <c r="O705">
        <v>0.38196744204022698</v>
      </c>
    </row>
    <row r="706" spans="1:15" x14ac:dyDescent="0.3">
      <c r="A706">
        <v>3210</v>
      </c>
      <c r="B706">
        <v>216</v>
      </c>
      <c r="C706">
        <v>154</v>
      </c>
      <c r="D706" t="s">
        <v>23</v>
      </c>
      <c r="E706" t="s">
        <v>20</v>
      </c>
      <c r="F706" t="s">
        <v>17</v>
      </c>
      <c r="G706" t="s">
        <v>22</v>
      </c>
      <c r="H706">
        <v>278.39999999999998</v>
      </c>
      <c r="I706">
        <v>245</v>
      </c>
      <c r="J706">
        <v>94.5</v>
      </c>
      <c r="K706">
        <v>64</v>
      </c>
      <c r="L706">
        <v>25.4</v>
      </c>
      <c r="M706">
        <v>10.5</v>
      </c>
      <c r="N706">
        <v>0.11654394379428699</v>
      </c>
      <c r="O706">
        <v>0.33263750967699901</v>
      </c>
    </row>
    <row r="707" spans="1:15" x14ac:dyDescent="0.3">
      <c r="A707">
        <v>3211</v>
      </c>
      <c r="B707">
        <v>216</v>
      </c>
      <c r="C707">
        <v>154</v>
      </c>
      <c r="D707" t="s">
        <v>23</v>
      </c>
      <c r="E707" t="s">
        <v>20</v>
      </c>
      <c r="F707" t="s">
        <v>17</v>
      </c>
      <c r="G707" t="s">
        <v>22</v>
      </c>
      <c r="H707">
        <v>278.39999999999998</v>
      </c>
      <c r="I707">
        <v>245</v>
      </c>
      <c r="J707">
        <v>94.5</v>
      </c>
      <c r="K707">
        <v>64</v>
      </c>
      <c r="L707">
        <v>25.4</v>
      </c>
      <c r="M707">
        <v>10.5</v>
      </c>
      <c r="N707">
        <v>0.12715274717754199</v>
      </c>
      <c r="O707">
        <v>0.32547126093692103</v>
      </c>
    </row>
    <row r="708" spans="1:15" x14ac:dyDescent="0.3">
      <c r="A708">
        <v>3212</v>
      </c>
      <c r="B708">
        <v>216</v>
      </c>
      <c r="C708">
        <v>154</v>
      </c>
      <c r="D708" t="s">
        <v>23</v>
      </c>
      <c r="E708" t="s">
        <v>20</v>
      </c>
      <c r="F708" t="s">
        <v>17</v>
      </c>
      <c r="G708" t="s">
        <v>22</v>
      </c>
      <c r="H708">
        <v>278.39999999999998</v>
      </c>
      <c r="I708">
        <v>245</v>
      </c>
      <c r="J708">
        <v>94.5</v>
      </c>
      <c r="K708">
        <v>64</v>
      </c>
      <c r="L708">
        <v>25.4</v>
      </c>
      <c r="M708">
        <v>10.5</v>
      </c>
      <c r="N708">
        <v>0.13203579335125501</v>
      </c>
      <c r="O708">
        <v>0.33727429380246499</v>
      </c>
    </row>
    <row r="709" spans="1:15" x14ac:dyDescent="0.3">
      <c r="A709">
        <v>3217</v>
      </c>
      <c r="B709">
        <v>2163</v>
      </c>
      <c r="C709">
        <v>20</v>
      </c>
      <c r="D709" t="s">
        <v>23</v>
      </c>
      <c r="E709" t="s">
        <v>16</v>
      </c>
      <c r="F709" t="s">
        <v>17</v>
      </c>
      <c r="G709" t="s">
        <v>22</v>
      </c>
      <c r="H709">
        <v>282.7</v>
      </c>
      <c r="I709">
        <v>260</v>
      </c>
      <c r="J709">
        <v>103.8</v>
      </c>
      <c r="K709">
        <v>68</v>
      </c>
      <c r="L709">
        <v>26.4</v>
      </c>
      <c r="M709">
        <v>11.5</v>
      </c>
      <c r="N709">
        <v>9.6336818396392507E-2</v>
      </c>
      <c r="O709">
        <v>0.25733420388475597</v>
      </c>
    </row>
    <row r="710" spans="1:15" x14ac:dyDescent="0.3">
      <c r="A710">
        <v>3222</v>
      </c>
      <c r="B710">
        <v>2165</v>
      </c>
      <c r="C710">
        <v>367</v>
      </c>
      <c r="D710" t="s">
        <v>19</v>
      </c>
      <c r="E710" t="s">
        <v>20</v>
      </c>
      <c r="F710" t="s">
        <v>21</v>
      </c>
      <c r="G710" t="s">
        <v>24</v>
      </c>
      <c r="H710">
        <v>272.10000000000002</v>
      </c>
      <c r="I710">
        <v>232</v>
      </c>
      <c r="J710">
        <v>91</v>
      </c>
      <c r="K710">
        <v>65.5</v>
      </c>
      <c r="L710">
        <v>23.9</v>
      </c>
      <c r="M710">
        <v>7.5</v>
      </c>
      <c r="N710">
        <v>0.14999138184114999</v>
      </c>
      <c r="O710">
        <v>8.8462752809085402E-2</v>
      </c>
    </row>
    <row r="711" spans="1:15" x14ac:dyDescent="0.3">
      <c r="A711">
        <v>3223</v>
      </c>
      <c r="B711">
        <v>2165</v>
      </c>
      <c r="C711">
        <v>367</v>
      </c>
      <c r="D711" t="s">
        <v>19</v>
      </c>
      <c r="E711" t="s">
        <v>20</v>
      </c>
      <c r="F711" t="s">
        <v>21</v>
      </c>
      <c r="G711" t="s">
        <v>24</v>
      </c>
      <c r="H711">
        <v>272.10000000000002</v>
      </c>
      <c r="I711">
        <v>232</v>
      </c>
      <c r="J711">
        <v>91</v>
      </c>
      <c r="K711">
        <v>65.5</v>
      </c>
      <c r="L711">
        <v>23.9</v>
      </c>
      <c r="M711">
        <v>7.5</v>
      </c>
      <c r="N711">
        <v>0.14055171675054501</v>
      </c>
      <c r="O711">
        <v>0.118204806009593</v>
      </c>
    </row>
    <row r="712" spans="1:15" x14ac:dyDescent="0.3">
      <c r="A712">
        <v>3224</v>
      </c>
      <c r="B712">
        <v>2165</v>
      </c>
      <c r="C712">
        <v>367</v>
      </c>
      <c r="D712" t="s">
        <v>19</v>
      </c>
      <c r="E712" t="s">
        <v>20</v>
      </c>
      <c r="F712" t="s">
        <v>21</v>
      </c>
      <c r="G712" t="s">
        <v>24</v>
      </c>
      <c r="H712">
        <v>272.10000000000002</v>
      </c>
      <c r="I712">
        <v>232</v>
      </c>
      <c r="J712">
        <v>91</v>
      </c>
      <c r="K712">
        <v>65.5</v>
      </c>
      <c r="L712">
        <v>23.9</v>
      </c>
      <c r="M712">
        <v>7.5</v>
      </c>
      <c r="N712">
        <v>0.16225948259774101</v>
      </c>
      <c r="O712">
        <v>0.12400248616256</v>
      </c>
    </row>
    <row r="713" spans="1:15" x14ac:dyDescent="0.3">
      <c r="A713">
        <v>3225</v>
      </c>
      <c r="B713">
        <v>2165</v>
      </c>
      <c r="C713">
        <v>367</v>
      </c>
      <c r="D713" t="s">
        <v>19</v>
      </c>
      <c r="E713" t="s">
        <v>20</v>
      </c>
      <c r="F713" t="s">
        <v>21</v>
      </c>
      <c r="G713" t="s">
        <v>24</v>
      </c>
      <c r="H713">
        <v>272.10000000000002</v>
      </c>
      <c r="I713">
        <v>232</v>
      </c>
      <c r="J713">
        <v>91</v>
      </c>
      <c r="K713">
        <v>65.5</v>
      </c>
      <c r="L713">
        <v>23.9</v>
      </c>
      <c r="M713">
        <v>7.5</v>
      </c>
      <c r="N713">
        <v>0.15730137428531399</v>
      </c>
      <c r="O713">
        <v>0.108702269777066</v>
      </c>
    </row>
    <row r="714" spans="1:15" x14ac:dyDescent="0.3">
      <c r="A714">
        <v>3235</v>
      </c>
      <c r="B714">
        <v>2168</v>
      </c>
      <c r="C714">
        <v>366</v>
      </c>
      <c r="D714" t="s">
        <v>19</v>
      </c>
      <c r="E714" t="s">
        <v>20</v>
      </c>
      <c r="F714" t="s">
        <v>21</v>
      </c>
      <c r="G714" t="s">
        <v>18</v>
      </c>
      <c r="H714">
        <v>275.89999999999998</v>
      </c>
      <c r="I714">
        <v>255</v>
      </c>
      <c r="J714">
        <v>94.9</v>
      </c>
      <c r="K714">
        <v>64</v>
      </c>
      <c r="L714">
        <v>26.8</v>
      </c>
      <c r="M714">
        <v>17</v>
      </c>
      <c r="N714">
        <v>0.16745492526254699</v>
      </c>
      <c r="O714">
        <v>0.15851170620147201</v>
      </c>
    </row>
    <row r="715" spans="1:15" x14ac:dyDescent="0.3">
      <c r="A715">
        <v>3245</v>
      </c>
      <c r="B715">
        <v>2171</v>
      </c>
      <c r="C715">
        <v>314</v>
      </c>
      <c r="D715" t="s">
        <v>19</v>
      </c>
      <c r="E715" t="s">
        <v>20</v>
      </c>
      <c r="F715" t="s">
        <v>17</v>
      </c>
      <c r="G715" t="s">
        <v>26</v>
      </c>
      <c r="H715">
        <v>273.5</v>
      </c>
      <c r="I715">
        <v>251.5</v>
      </c>
      <c r="J715">
        <v>97.5</v>
      </c>
      <c r="K715">
        <v>65</v>
      </c>
      <c r="L715">
        <v>25.5</v>
      </c>
      <c r="M715">
        <v>13</v>
      </c>
      <c r="N715">
        <v>0.23217367349217799</v>
      </c>
      <c r="O715">
        <v>9.3751721728697501E-2</v>
      </c>
    </row>
    <row r="716" spans="1:15" x14ac:dyDescent="0.3">
      <c r="A716">
        <v>3246</v>
      </c>
      <c r="B716">
        <v>2171</v>
      </c>
      <c r="C716">
        <v>314</v>
      </c>
      <c r="D716" t="s">
        <v>19</v>
      </c>
      <c r="E716" t="s">
        <v>20</v>
      </c>
      <c r="F716" t="s">
        <v>17</v>
      </c>
      <c r="G716" t="s">
        <v>26</v>
      </c>
      <c r="H716">
        <v>273.5</v>
      </c>
      <c r="I716">
        <v>251.5</v>
      </c>
      <c r="J716">
        <v>97.5</v>
      </c>
      <c r="K716">
        <v>65</v>
      </c>
      <c r="L716">
        <v>25.5</v>
      </c>
      <c r="M716">
        <v>13</v>
      </c>
      <c r="N716">
        <v>0.24364660241414299</v>
      </c>
      <c r="O716">
        <v>6.9184920270085298E-2</v>
      </c>
    </row>
    <row r="717" spans="1:15" x14ac:dyDescent="0.3">
      <c r="A717">
        <v>3247</v>
      </c>
      <c r="B717">
        <v>2171</v>
      </c>
      <c r="C717">
        <v>314</v>
      </c>
      <c r="D717" t="s">
        <v>19</v>
      </c>
      <c r="E717" t="s">
        <v>20</v>
      </c>
      <c r="F717" t="s">
        <v>17</v>
      </c>
      <c r="G717" t="s">
        <v>26</v>
      </c>
      <c r="H717">
        <v>273.5</v>
      </c>
      <c r="I717">
        <v>251.5</v>
      </c>
      <c r="J717">
        <v>97.5</v>
      </c>
      <c r="K717">
        <v>65</v>
      </c>
      <c r="L717">
        <v>25.5</v>
      </c>
      <c r="M717">
        <v>13</v>
      </c>
      <c r="N717">
        <v>0.24945424026276</v>
      </c>
      <c r="O717">
        <v>7.4390591802748901E-2</v>
      </c>
    </row>
    <row r="718" spans="1:15" x14ac:dyDescent="0.3">
      <c r="A718">
        <v>3266</v>
      </c>
      <c r="B718">
        <v>2181</v>
      </c>
      <c r="C718">
        <v>457</v>
      </c>
      <c r="D718" t="s">
        <v>15</v>
      </c>
      <c r="E718" t="s">
        <v>16</v>
      </c>
      <c r="F718" t="s">
        <v>21</v>
      </c>
      <c r="G718" t="s">
        <v>18</v>
      </c>
      <c r="H718">
        <v>279.3</v>
      </c>
      <c r="I718">
        <v>250</v>
      </c>
      <c r="J718">
        <v>95</v>
      </c>
      <c r="K718">
        <v>67</v>
      </c>
      <c r="L718">
        <v>28.5</v>
      </c>
      <c r="M718">
        <v>7.5</v>
      </c>
      <c r="N718">
        <v>3.9305928770794897E-2</v>
      </c>
      <c r="O718">
        <v>0.17425500459895801</v>
      </c>
    </row>
    <row r="719" spans="1:15" x14ac:dyDescent="0.3">
      <c r="A719">
        <v>3277</v>
      </c>
      <c r="B719">
        <v>2186</v>
      </c>
      <c r="C719">
        <v>80</v>
      </c>
      <c r="D719" t="s">
        <v>23</v>
      </c>
      <c r="E719" t="s">
        <v>20</v>
      </c>
      <c r="F719" t="s">
        <v>21</v>
      </c>
      <c r="G719" t="s">
        <v>18</v>
      </c>
      <c r="H719">
        <v>279</v>
      </c>
      <c r="I719">
        <v>254</v>
      </c>
      <c r="J719">
        <v>97.1</v>
      </c>
      <c r="K719">
        <v>67</v>
      </c>
      <c r="L719">
        <v>24.6</v>
      </c>
      <c r="M719">
        <v>7</v>
      </c>
      <c r="N719">
        <v>0.20813365140906601</v>
      </c>
      <c r="O719">
        <v>0.33005875395887302</v>
      </c>
    </row>
    <row r="720" spans="1:15" x14ac:dyDescent="0.3">
      <c r="A720">
        <v>3278</v>
      </c>
      <c r="B720">
        <v>2186</v>
      </c>
      <c r="C720">
        <v>80</v>
      </c>
      <c r="D720" t="s">
        <v>23</v>
      </c>
      <c r="E720" t="s">
        <v>20</v>
      </c>
      <c r="F720" t="s">
        <v>21</v>
      </c>
      <c r="G720" t="s">
        <v>18</v>
      </c>
      <c r="H720">
        <v>279</v>
      </c>
      <c r="I720">
        <v>254</v>
      </c>
      <c r="J720">
        <v>97.1</v>
      </c>
      <c r="K720">
        <v>67</v>
      </c>
      <c r="L720">
        <v>24.6</v>
      </c>
      <c r="M720">
        <v>7</v>
      </c>
      <c r="N720">
        <v>0.19334257844686101</v>
      </c>
      <c r="O720">
        <v>0.35778595500701599</v>
      </c>
    </row>
    <row r="721" spans="1:15" x14ac:dyDescent="0.3">
      <c r="A721">
        <v>3280</v>
      </c>
      <c r="B721">
        <v>2189</v>
      </c>
      <c r="C721">
        <v>298</v>
      </c>
      <c r="D721" t="s">
        <v>19</v>
      </c>
      <c r="E721" t="s">
        <v>20</v>
      </c>
      <c r="F721" t="s">
        <v>21</v>
      </c>
      <c r="G721" t="s">
        <v>26</v>
      </c>
      <c r="H721">
        <v>275.60000000000002</v>
      </c>
      <c r="I721">
        <v>251</v>
      </c>
      <c r="J721">
        <v>95.1</v>
      </c>
      <c r="K721">
        <v>66.5</v>
      </c>
      <c r="L721">
        <v>25.3</v>
      </c>
      <c r="M721">
        <v>10.5</v>
      </c>
      <c r="N721">
        <v>0.29562939655311499</v>
      </c>
      <c r="O721">
        <v>6.3660626941947601E-2</v>
      </c>
    </row>
    <row r="722" spans="1:15" x14ac:dyDescent="0.3">
      <c r="A722">
        <v>3281</v>
      </c>
      <c r="B722">
        <v>2189</v>
      </c>
      <c r="C722">
        <v>298</v>
      </c>
      <c r="D722" t="s">
        <v>19</v>
      </c>
      <c r="E722" t="s">
        <v>20</v>
      </c>
      <c r="F722" t="s">
        <v>21</v>
      </c>
      <c r="G722" t="s">
        <v>26</v>
      </c>
      <c r="H722">
        <v>275.60000000000002</v>
      </c>
      <c r="I722">
        <v>251</v>
      </c>
      <c r="J722">
        <v>95.1</v>
      </c>
      <c r="K722">
        <v>66.5</v>
      </c>
      <c r="L722">
        <v>25.3</v>
      </c>
      <c r="M722">
        <v>10.5</v>
      </c>
      <c r="N722">
        <v>0.303481951290827</v>
      </c>
      <c r="O722">
        <v>5.0240336978668601E-2</v>
      </c>
    </row>
    <row r="723" spans="1:15" x14ac:dyDescent="0.3">
      <c r="A723">
        <v>3282</v>
      </c>
      <c r="B723">
        <v>2189</v>
      </c>
      <c r="C723">
        <v>298</v>
      </c>
      <c r="D723" t="s">
        <v>19</v>
      </c>
      <c r="E723" t="s">
        <v>20</v>
      </c>
      <c r="F723" t="s">
        <v>21</v>
      </c>
      <c r="G723" t="s">
        <v>26</v>
      </c>
      <c r="H723">
        <v>275.60000000000002</v>
      </c>
      <c r="I723">
        <v>251</v>
      </c>
      <c r="J723">
        <v>95.1</v>
      </c>
      <c r="K723">
        <v>66.5</v>
      </c>
      <c r="L723">
        <v>25.3</v>
      </c>
      <c r="M723">
        <v>10.5</v>
      </c>
      <c r="N723">
        <v>0.30713191602809597</v>
      </c>
      <c r="O723">
        <v>4.4870281276728999E-2</v>
      </c>
    </row>
    <row r="724" spans="1:15" x14ac:dyDescent="0.3">
      <c r="A724">
        <v>3285</v>
      </c>
      <c r="B724">
        <v>2192</v>
      </c>
      <c r="C724">
        <v>114</v>
      </c>
      <c r="D724" t="s">
        <v>19</v>
      </c>
      <c r="E724" t="s">
        <v>16</v>
      </c>
      <c r="F724" t="s">
        <v>21</v>
      </c>
      <c r="G724" t="s">
        <v>24</v>
      </c>
      <c r="H724">
        <v>275.89999999999998</v>
      </c>
      <c r="I724">
        <v>254</v>
      </c>
      <c r="J724">
        <v>97.2</v>
      </c>
      <c r="K724">
        <v>66.5</v>
      </c>
      <c r="L724">
        <v>28.5</v>
      </c>
      <c r="M724">
        <v>5.5</v>
      </c>
      <c r="N724">
        <v>0.13880896570576801</v>
      </c>
      <c r="O724">
        <v>0.23036103614150399</v>
      </c>
    </row>
    <row r="725" spans="1:15" x14ac:dyDescent="0.3">
      <c r="A725">
        <v>3286</v>
      </c>
      <c r="B725">
        <v>2192</v>
      </c>
      <c r="C725">
        <v>114</v>
      </c>
      <c r="D725" t="s">
        <v>19</v>
      </c>
      <c r="E725" t="s">
        <v>16</v>
      </c>
      <c r="F725" t="s">
        <v>21</v>
      </c>
      <c r="G725" t="s">
        <v>24</v>
      </c>
      <c r="H725">
        <v>275.89999999999998</v>
      </c>
      <c r="I725">
        <v>254</v>
      </c>
      <c r="J725">
        <v>97.2</v>
      </c>
      <c r="K725">
        <v>66.5</v>
      </c>
      <c r="L725">
        <v>28.5</v>
      </c>
      <c r="M725">
        <v>5.5</v>
      </c>
      <c r="N725">
        <v>0.11165715541153499</v>
      </c>
      <c r="O725">
        <v>0.20492989153227101</v>
      </c>
    </row>
    <row r="726" spans="1:15" x14ac:dyDescent="0.3">
      <c r="A726">
        <v>3287</v>
      </c>
      <c r="B726">
        <v>2192</v>
      </c>
      <c r="C726">
        <v>114</v>
      </c>
      <c r="D726" t="s">
        <v>19</v>
      </c>
      <c r="E726" t="s">
        <v>16</v>
      </c>
      <c r="F726" t="s">
        <v>21</v>
      </c>
      <c r="G726" t="s">
        <v>24</v>
      </c>
      <c r="H726">
        <v>275.89999999999998</v>
      </c>
      <c r="I726">
        <v>254</v>
      </c>
      <c r="J726">
        <v>97.2</v>
      </c>
      <c r="K726">
        <v>66.5</v>
      </c>
      <c r="L726">
        <v>28.5</v>
      </c>
      <c r="M726">
        <v>5.5</v>
      </c>
      <c r="N726">
        <v>0.12238225240982301</v>
      </c>
      <c r="O726">
        <v>0.21299702836791801</v>
      </c>
    </row>
    <row r="727" spans="1:15" x14ac:dyDescent="0.3">
      <c r="A727">
        <v>3294</v>
      </c>
      <c r="B727">
        <v>2196</v>
      </c>
      <c r="C727">
        <v>99</v>
      </c>
      <c r="D727" t="s">
        <v>19</v>
      </c>
      <c r="E727" t="s">
        <v>20</v>
      </c>
      <c r="F727" t="s">
        <v>21</v>
      </c>
      <c r="G727" t="s">
        <v>22</v>
      </c>
      <c r="H727">
        <v>277</v>
      </c>
      <c r="I727">
        <v>257</v>
      </c>
      <c r="J727">
        <v>99.7</v>
      </c>
      <c r="K727">
        <v>69</v>
      </c>
      <c r="L727">
        <v>26.4</v>
      </c>
      <c r="M727">
        <v>7.5</v>
      </c>
      <c r="N727">
        <v>0.114187159391219</v>
      </c>
      <c r="O727">
        <v>2.7453427062471999E-2</v>
      </c>
    </row>
    <row r="728" spans="1:15" x14ac:dyDescent="0.3">
      <c r="A728">
        <v>3295</v>
      </c>
      <c r="B728">
        <v>2196</v>
      </c>
      <c r="C728">
        <v>99</v>
      </c>
      <c r="D728" t="s">
        <v>19</v>
      </c>
      <c r="E728" t="s">
        <v>20</v>
      </c>
      <c r="F728" t="s">
        <v>21</v>
      </c>
      <c r="G728" t="s">
        <v>22</v>
      </c>
      <c r="H728">
        <v>277</v>
      </c>
      <c r="I728">
        <v>257</v>
      </c>
      <c r="J728">
        <v>99.7</v>
      </c>
      <c r="K728">
        <v>69</v>
      </c>
      <c r="L728">
        <v>26.4</v>
      </c>
      <c r="M728">
        <v>7.5</v>
      </c>
      <c r="N728">
        <v>0.10242170937765301</v>
      </c>
      <c r="O728">
        <v>4.5617689677274399E-2</v>
      </c>
    </row>
    <row r="729" spans="1:15" x14ac:dyDescent="0.3">
      <c r="A729">
        <v>3303</v>
      </c>
      <c r="B729">
        <v>22</v>
      </c>
      <c r="C729">
        <v>66</v>
      </c>
      <c r="D729" t="s">
        <v>23</v>
      </c>
      <c r="E729" t="s">
        <v>20</v>
      </c>
      <c r="F729" t="s">
        <v>17</v>
      </c>
      <c r="G729" t="s">
        <v>22</v>
      </c>
      <c r="H729">
        <v>276.2</v>
      </c>
      <c r="I729">
        <v>258</v>
      </c>
      <c r="J729">
        <v>95.8</v>
      </c>
      <c r="K729">
        <v>63.5</v>
      </c>
      <c r="L729">
        <v>26.4</v>
      </c>
      <c r="M729">
        <v>7</v>
      </c>
      <c r="N729">
        <v>0.14799621432269899</v>
      </c>
      <c r="O729">
        <v>0.23470231148430301</v>
      </c>
    </row>
    <row r="730" spans="1:15" x14ac:dyDescent="0.3">
      <c r="A730">
        <v>3309</v>
      </c>
      <c r="B730">
        <v>2201</v>
      </c>
      <c r="C730">
        <v>320</v>
      </c>
      <c r="D730" t="s">
        <v>19</v>
      </c>
      <c r="E730" t="s">
        <v>20</v>
      </c>
      <c r="F730" t="s">
        <v>17</v>
      </c>
      <c r="G730" t="s">
        <v>18</v>
      </c>
      <c r="H730">
        <v>279</v>
      </c>
      <c r="I730">
        <v>253.5</v>
      </c>
      <c r="J730">
        <v>97.1</v>
      </c>
      <c r="K730">
        <v>64</v>
      </c>
      <c r="L730">
        <v>24</v>
      </c>
      <c r="M730">
        <v>8</v>
      </c>
      <c r="N730">
        <v>0.12917837126100601</v>
      </c>
      <c r="O730">
        <v>3.7661910838876003E-2</v>
      </c>
    </row>
    <row r="731" spans="1:15" x14ac:dyDescent="0.3">
      <c r="A731">
        <v>3310</v>
      </c>
      <c r="B731">
        <v>2201</v>
      </c>
      <c r="C731">
        <v>320</v>
      </c>
      <c r="D731" t="s">
        <v>19</v>
      </c>
      <c r="E731" t="s">
        <v>20</v>
      </c>
      <c r="F731" t="s">
        <v>17</v>
      </c>
      <c r="G731" t="s">
        <v>18</v>
      </c>
      <c r="H731">
        <v>279</v>
      </c>
      <c r="I731">
        <v>253.5</v>
      </c>
      <c r="J731">
        <v>97.1</v>
      </c>
      <c r="K731">
        <v>64</v>
      </c>
      <c r="L731">
        <v>24</v>
      </c>
      <c r="M731">
        <v>8</v>
      </c>
      <c r="N731">
        <v>0.12932119062158501</v>
      </c>
      <c r="O731">
        <v>3.5524322759447197E-2</v>
      </c>
    </row>
    <row r="732" spans="1:15" x14ac:dyDescent="0.3">
      <c r="A732">
        <v>3321</v>
      </c>
      <c r="B732">
        <v>2207</v>
      </c>
      <c r="C732">
        <v>466</v>
      </c>
      <c r="D732" t="s">
        <v>23</v>
      </c>
      <c r="E732" t="s">
        <v>20</v>
      </c>
      <c r="F732" t="s">
        <v>21</v>
      </c>
      <c r="G732" t="s">
        <v>25</v>
      </c>
      <c r="H732">
        <v>282.10000000000002</v>
      </c>
      <c r="I732">
        <v>257</v>
      </c>
      <c r="J732">
        <v>100.3</v>
      </c>
      <c r="K732">
        <v>68.5</v>
      </c>
      <c r="L732">
        <v>27.5</v>
      </c>
      <c r="M732">
        <v>11</v>
      </c>
      <c r="N732">
        <v>8.2571450637462102E-2</v>
      </c>
      <c r="O732">
        <v>0.30100214058883501</v>
      </c>
    </row>
    <row r="733" spans="1:15" x14ac:dyDescent="0.3">
      <c r="A733">
        <v>3322</v>
      </c>
      <c r="B733">
        <v>2207</v>
      </c>
      <c r="C733">
        <v>466</v>
      </c>
      <c r="D733" t="s">
        <v>23</v>
      </c>
      <c r="E733" t="s">
        <v>20</v>
      </c>
      <c r="F733" t="s">
        <v>21</v>
      </c>
      <c r="G733" t="s">
        <v>25</v>
      </c>
      <c r="H733">
        <v>282.10000000000002</v>
      </c>
      <c r="I733">
        <v>257</v>
      </c>
      <c r="J733">
        <v>100.3</v>
      </c>
      <c r="K733">
        <v>68.5</v>
      </c>
      <c r="L733">
        <v>27.5</v>
      </c>
      <c r="M733">
        <v>11</v>
      </c>
      <c r="N733">
        <v>7.4079294121308398E-2</v>
      </c>
      <c r="O733">
        <v>0.27026940207875</v>
      </c>
    </row>
    <row r="734" spans="1:15" x14ac:dyDescent="0.3">
      <c r="A734">
        <v>3323</v>
      </c>
      <c r="B734">
        <v>2207</v>
      </c>
      <c r="C734">
        <v>466</v>
      </c>
      <c r="D734" t="s">
        <v>23</v>
      </c>
      <c r="E734" t="s">
        <v>20</v>
      </c>
      <c r="F734" t="s">
        <v>21</v>
      </c>
      <c r="G734" t="s">
        <v>25</v>
      </c>
      <c r="H734">
        <v>282.10000000000002</v>
      </c>
      <c r="I734">
        <v>257</v>
      </c>
      <c r="J734">
        <v>100.3</v>
      </c>
      <c r="K734">
        <v>68.5</v>
      </c>
      <c r="L734">
        <v>27.5</v>
      </c>
      <c r="M734">
        <v>11</v>
      </c>
      <c r="N734">
        <v>6.8950028849562098E-2</v>
      </c>
      <c r="O734">
        <v>0.28139645018169901</v>
      </c>
    </row>
    <row r="735" spans="1:15" x14ac:dyDescent="0.3">
      <c r="A735">
        <v>3326</v>
      </c>
      <c r="B735">
        <v>2209</v>
      </c>
      <c r="C735">
        <v>388</v>
      </c>
      <c r="D735" t="s">
        <v>19</v>
      </c>
      <c r="E735" t="s">
        <v>16</v>
      </c>
      <c r="F735" t="s">
        <v>17</v>
      </c>
      <c r="G735" t="s">
        <v>24</v>
      </c>
      <c r="H735">
        <v>277.10000000000002</v>
      </c>
      <c r="I735">
        <v>244.5</v>
      </c>
      <c r="J735">
        <v>91.9</v>
      </c>
      <c r="K735">
        <v>62.5</v>
      </c>
      <c r="L735">
        <v>25.9</v>
      </c>
      <c r="M735">
        <v>7</v>
      </c>
      <c r="N735">
        <v>0.11284875400314399</v>
      </c>
      <c r="O735">
        <v>4.8948900022573898E-2</v>
      </c>
    </row>
    <row r="736" spans="1:15" x14ac:dyDescent="0.3">
      <c r="A736">
        <v>3333</v>
      </c>
      <c r="B736">
        <v>2212</v>
      </c>
      <c r="C736">
        <v>99</v>
      </c>
      <c r="D736" t="s">
        <v>19</v>
      </c>
      <c r="E736" t="s">
        <v>20</v>
      </c>
      <c r="F736" t="s">
        <v>17</v>
      </c>
      <c r="G736" t="s">
        <v>18</v>
      </c>
      <c r="H736">
        <v>277</v>
      </c>
      <c r="I736">
        <v>257</v>
      </c>
      <c r="J736">
        <v>99.7</v>
      </c>
      <c r="K736">
        <v>69</v>
      </c>
      <c r="L736">
        <v>26.4</v>
      </c>
      <c r="M736">
        <v>7.5</v>
      </c>
      <c r="N736">
        <v>0.113199079664989</v>
      </c>
      <c r="O736">
        <v>3.5283208565715402E-2</v>
      </c>
    </row>
    <row r="737" spans="1:15" x14ac:dyDescent="0.3">
      <c r="A737">
        <v>3334</v>
      </c>
      <c r="B737">
        <v>2212</v>
      </c>
      <c r="C737">
        <v>99</v>
      </c>
      <c r="D737" t="s">
        <v>19</v>
      </c>
      <c r="E737" t="s">
        <v>20</v>
      </c>
      <c r="F737" t="s">
        <v>17</v>
      </c>
      <c r="G737" t="s">
        <v>18</v>
      </c>
      <c r="H737">
        <v>277</v>
      </c>
      <c r="I737">
        <v>257</v>
      </c>
      <c r="J737">
        <v>99.7</v>
      </c>
      <c r="K737">
        <v>69</v>
      </c>
      <c r="L737">
        <v>26.4</v>
      </c>
      <c r="M737">
        <v>7.5</v>
      </c>
      <c r="N737">
        <v>0.10962999731890601</v>
      </c>
      <c r="O737">
        <v>5.6962406174526997E-2</v>
      </c>
    </row>
    <row r="738" spans="1:15" x14ac:dyDescent="0.3">
      <c r="A738">
        <v>3335</v>
      </c>
      <c r="B738">
        <v>2213</v>
      </c>
      <c r="C738">
        <v>453</v>
      </c>
      <c r="D738" t="s">
        <v>23</v>
      </c>
      <c r="E738" t="s">
        <v>20</v>
      </c>
      <c r="F738" t="s">
        <v>21</v>
      </c>
      <c r="G738" t="s">
        <v>18</v>
      </c>
      <c r="H738">
        <v>281.60000000000002</v>
      </c>
      <c r="I738">
        <v>255.5</v>
      </c>
      <c r="J738">
        <v>100.4</v>
      </c>
      <c r="K738">
        <v>70</v>
      </c>
      <c r="L738">
        <v>25.7</v>
      </c>
      <c r="M738">
        <v>10</v>
      </c>
      <c r="N738">
        <v>0.166303037497089</v>
      </c>
      <c r="O738">
        <v>0.41571388920280999</v>
      </c>
    </row>
    <row r="739" spans="1:15" x14ac:dyDescent="0.3">
      <c r="A739">
        <v>3336</v>
      </c>
      <c r="B739">
        <v>2213</v>
      </c>
      <c r="C739">
        <v>453</v>
      </c>
      <c r="D739" t="s">
        <v>23</v>
      </c>
      <c r="E739" t="s">
        <v>20</v>
      </c>
      <c r="F739" t="s">
        <v>21</v>
      </c>
      <c r="G739" t="s">
        <v>18</v>
      </c>
      <c r="H739">
        <v>281.60000000000002</v>
      </c>
      <c r="I739">
        <v>255.5</v>
      </c>
      <c r="J739">
        <v>100.4</v>
      </c>
      <c r="K739">
        <v>70</v>
      </c>
      <c r="L739">
        <v>25.7</v>
      </c>
      <c r="M739">
        <v>10</v>
      </c>
      <c r="N739">
        <v>0.128093894866943</v>
      </c>
      <c r="O739">
        <v>0.41339058965042202</v>
      </c>
    </row>
    <row r="740" spans="1:15" x14ac:dyDescent="0.3">
      <c r="A740">
        <v>3337</v>
      </c>
      <c r="B740">
        <v>2213</v>
      </c>
      <c r="C740">
        <v>453</v>
      </c>
      <c r="D740" t="s">
        <v>23</v>
      </c>
      <c r="E740" t="s">
        <v>20</v>
      </c>
      <c r="F740" t="s">
        <v>21</v>
      </c>
      <c r="G740" t="s">
        <v>18</v>
      </c>
      <c r="H740">
        <v>281.60000000000002</v>
      </c>
      <c r="I740">
        <v>255.5</v>
      </c>
      <c r="J740">
        <v>100.4</v>
      </c>
      <c r="K740">
        <v>70</v>
      </c>
      <c r="L740">
        <v>25.7</v>
      </c>
      <c r="M740">
        <v>10</v>
      </c>
      <c r="N740">
        <v>0.15803240265778801</v>
      </c>
      <c r="O740">
        <v>0.3996641646802</v>
      </c>
    </row>
    <row r="741" spans="1:15" x14ac:dyDescent="0.3">
      <c r="A741">
        <v>3341</v>
      </c>
      <c r="B741">
        <v>2215</v>
      </c>
      <c r="C741">
        <v>269</v>
      </c>
      <c r="D741" t="s">
        <v>19</v>
      </c>
      <c r="E741" t="s">
        <v>20</v>
      </c>
      <c r="F741" t="s">
        <v>17</v>
      </c>
      <c r="G741" t="s">
        <v>25</v>
      </c>
      <c r="H741">
        <v>273.8</v>
      </c>
      <c r="I741">
        <v>243</v>
      </c>
      <c r="J741">
        <v>91.5</v>
      </c>
      <c r="K741">
        <v>66</v>
      </c>
      <c r="L741">
        <v>24.8</v>
      </c>
      <c r="M741">
        <v>8.5</v>
      </c>
      <c r="N741">
        <v>0.100473906799228</v>
      </c>
      <c r="O741">
        <v>0.121334480055896</v>
      </c>
    </row>
    <row r="742" spans="1:15" x14ac:dyDescent="0.3">
      <c r="A742">
        <v>3342</v>
      </c>
      <c r="B742">
        <v>2215</v>
      </c>
      <c r="C742">
        <v>269</v>
      </c>
      <c r="D742" t="s">
        <v>19</v>
      </c>
      <c r="E742" t="s">
        <v>20</v>
      </c>
      <c r="F742" t="s">
        <v>17</v>
      </c>
      <c r="G742" t="s">
        <v>25</v>
      </c>
      <c r="H742">
        <v>273.8</v>
      </c>
      <c r="I742">
        <v>243</v>
      </c>
      <c r="J742">
        <v>91.5</v>
      </c>
      <c r="K742">
        <v>66</v>
      </c>
      <c r="L742">
        <v>24.8</v>
      </c>
      <c r="M742">
        <v>8.5</v>
      </c>
      <c r="N742">
        <v>0.101734100638762</v>
      </c>
      <c r="O742">
        <v>0.13662838125069099</v>
      </c>
    </row>
    <row r="743" spans="1:15" x14ac:dyDescent="0.3">
      <c r="A743">
        <v>3343</v>
      </c>
      <c r="B743">
        <v>2216</v>
      </c>
      <c r="C743">
        <v>32</v>
      </c>
      <c r="D743" t="s">
        <v>19</v>
      </c>
      <c r="E743" t="s">
        <v>20</v>
      </c>
      <c r="F743" t="s">
        <v>17</v>
      </c>
      <c r="G743" t="s">
        <v>26</v>
      </c>
      <c r="H743">
        <v>274.8</v>
      </c>
      <c r="I743">
        <v>261</v>
      </c>
      <c r="J743">
        <v>101</v>
      </c>
      <c r="K743">
        <v>66</v>
      </c>
      <c r="L743">
        <v>24.4</v>
      </c>
      <c r="M743">
        <v>8.5</v>
      </c>
      <c r="N743">
        <v>0.10844712443975001</v>
      </c>
      <c r="O743">
        <v>0.15046313449771601</v>
      </c>
    </row>
    <row r="744" spans="1:15" x14ac:dyDescent="0.3">
      <c r="A744">
        <v>3344</v>
      </c>
      <c r="B744">
        <v>2216</v>
      </c>
      <c r="C744">
        <v>32</v>
      </c>
      <c r="D744" t="s">
        <v>19</v>
      </c>
      <c r="E744" t="s">
        <v>20</v>
      </c>
      <c r="F744" t="s">
        <v>17</v>
      </c>
      <c r="G744" t="s">
        <v>26</v>
      </c>
      <c r="H744">
        <v>274.8</v>
      </c>
      <c r="I744">
        <v>261</v>
      </c>
      <c r="J744">
        <v>101</v>
      </c>
      <c r="K744">
        <v>66</v>
      </c>
      <c r="L744">
        <v>24.4</v>
      </c>
      <c r="M744">
        <v>8.5</v>
      </c>
      <c r="N744">
        <v>9.7964652977103203E-2</v>
      </c>
      <c r="O744">
        <v>0.123089032106094</v>
      </c>
    </row>
    <row r="745" spans="1:15" x14ac:dyDescent="0.3">
      <c r="A745">
        <v>3380</v>
      </c>
      <c r="B745">
        <v>2227</v>
      </c>
      <c r="C745">
        <v>192</v>
      </c>
      <c r="D745" t="s">
        <v>15</v>
      </c>
      <c r="E745" t="s">
        <v>20</v>
      </c>
      <c r="F745" t="s">
        <v>17</v>
      </c>
      <c r="G745" t="s">
        <v>22</v>
      </c>
      <c r="H745">
        <v>276</v>
      </c>
      <c r="I745">
        <v>253</v>
      </c>
      <c r="J745">
        <v>94.6</v>
      </c>
      <c r="K745">
        <v>69</v>
      </c>
      <c r="L745">
        <v>28.5</v>
      </c>
      <c r="M745">
        <v>8</v>
      </c>
      <c r="N745">
        <v>4.4258426636382797E-2</v>
      </c>
      <c r="O745">
        <v>7.2512150985114807E-2</v>
      </c>
    </row>
    <row r="746" spans="1:15" x14ac:dyDescent="0.3">
      <c r="A746">
        <v>3381</v>
      </c>
      <c r="B746">
        <v>2227</v>
      </c>
      <c r="C746">
        <v>192</v>
      </c>
      <c r="D746" t="s">
        <v>15</v>
      </c>
      <c r="E746" t="s">
        <v>20</v>
      </c>
      <c r="F746" t="s">
        <v>17</v>
      </c>
      <c r="G746" t="s">
        <v>22</v>
      </c>
      <c r="H746">
        <v>276</v>
      </c>
      <c r="I746">
        <v>253</v>
      </c>
      <c r="J746">
        <v>94.6</v>
      </c>
      <c r="K746">
        <v>69</v>
      </c>
      <c r="L746">
        <v>28.5</v>
      </c>
      <c r="M746">
        <v>8</v>
      </c>
      <c r="N746">
        <v>2.8798544336400202E-2</v>
      </c>
      <c r="O746">
        <v>7.3387463884072496E-2</v>
      </c>
    </row>
    <row r="747" spans="1:15" x14ac:dyDescent="0.3">
      <c r="A747">
        <v>3382</v>
      </c>
      <c r="B747">
        <v>2227</v>
      </c>
      <c r="C747">
        <v>192</v>
      </c>
      <c r="D747" t="s">
        <v>15</v>
      </c>
      <c r="E747" t="s">
        <v>20</v>
      </c>
      <c r="F747" t="s">
        <v>17</v>
      </c>
      <c r="G747" t="s">
        <v>22</v>
      </c>
      <c r="H747">
        <v>276</v>
      </c>
      <c r="I747">
        <v>253</v>
      </c>
      <c r="J747">
        <v>94.6</v>
      </c>
      <c r="K747">
        <v>69</v>
      </c>
      <c r="L747">
        <v>28.5</v>
      </c>
      <c r="M747">
        <v>8</v>
      </c>
      <c r="N747">
        <v>1.90331792585599E-2</v>
      </c>
      <c r="O747">
        <v>4.3069383799289103E-2</v>
      </c>
    </row>
    <row r="748" spans="1:15" x14ac:dyDescent="0.3">
      <c r="A748">
        <v>3383</v>
      </c>
      <c r="B748">
        <v>2227</v>
      </c>
      <c r="C748">
        <v>192</v>
      </c>
      <c r="D748" t="s">
        <v>15</v>
      </c>
      <c r="E748" t="s">
        <v>20</v>
      </c>
      <c r="F748" t="s">
        <v>17</v>
      </c>
      <c r="G748" t="s">
        <v>22</v>
      </c>
      <c r="H748">
        <v>276</v>
      </c>
      <c r="I748">
        <v>253</v>
      </c>
      <c r="J748">
        <v>94.6</v>
      </c>
      <c r="K748">
        <v>69</v>
      </c>
      <c r="L748">
        <v>28.5</v>
      </c>
      <c r="M748">
        <v>8</v>
      </c>
      <c r="N748">
        <v>4.2904721272424097E-2</v>
      </c>
      <c r="O748">
        <v>7.1402390311794198E-2</v>
      </c>
    </row>
    <row r="749" spans="1:15" x14ac:dyDescent="0.3">
      <c r="A749">
        <v>3385</v>
      </c>
      <c r="B749">
        <v>2228</v>
      </c>
      <c r="C749">
        <v>233</v>
      </c>
      <c r="D749" t="s">
        <v>19</v>
      </c>
      <c r="E749" t="s">
        <v>20</v>
      </c>
      <c r="F749" t="s">
        <v>21</v>
      </c>
      <c r="G749" t="s">
        <v>18</v>
      </c>
      <c r="H749">
        <v>274.7</v>
      </c>
      <c r="I749">
        <v>248.5</v>
      </c>
      <c r="J749">
        <v>95.9</v>
      </c>
      <c r="K749">
        <v>63.5</v>
      </c>
      <c r="L749">
        <v>27.6</v>
      </c>
      <c r="M749">
        <v>11</v>
      </c>
      <c r="N749">
        <v>3.6211126601326402E-2</v>
      </c>
      <c r="O749">
        <v>0.114975089377087</v>
      </c>
    </row>
    <row r="750" spans="1:15" x14ac:dyDescent="0.3">
      <c r="A750">
        <v>3387</v>
      </c>
      <c r="B750">
        <v>2228</v>
      </c>
      <c r="C750">
        <v>233</v>
      </c>
      <c r="D750" t="s">
        <v>19</v>
      </c>
      <c r="E750" t="s">
        <v>20</v>
      </c>
      <c r="F750" t="s">
        <v>21</v>
      </c>
      <c r="G750" t="s">
        <v>18</v>
      </c>
      <c r="H750">
        <v>274.7</v>
      </c>
      <c r="I750">
        <v>248.5</v>
      </c>
      <c r="J750">
        <v>95.9</v>
      </c>
      <c r="K750">
        <v>63.5</v>
      </c>
      <c r="L750">
        <v>27.6</v>
      </c>
      <c r="M750">
        <v>11</v>
      </c>
      <c r="N750">
        <v>3.9082632684283698E-2</v>
      </c>
      <c r="O750">
        <v>0.114363289269256</v>
      </c>
    </row>
    <row r="751" spans="1:15" x14ac:dyDescent="0.3">
      <c r="A751">
        <v>3389</v>
      </c>
      <c r="B751">
        <v>2229</v>
      </c>
      <c r="C751">
        <v>18</v>
      </c>
      <c r="D751" t="s">
        <v>19</v>
      </c>
      <c r="E751" t="s">
        <v>20</v>
      </c>
      <c r="F751" t="s">
        <v>21</v>
      </c>
      <c r="G751" t="s">
        <v>25</v>
      </c>
      <c r="H751">
        <v>271.39999999999998</v>
      </c>
      <c r="I751">
        <v>244</v>
      </c>
      <c r="J751">
        <v>97.3</v>
      </c>
      <c r="K751">
        <v>64</v>
      </c>
      <c r="L751">
        <v>23.3</v>
      </c>
      <c r="M751">
        <v>6.5</v>
      </c>
      <c r="N751">
        <v>0.25815019815770801</v>
      </c>
      <c r="O751">
        <v>2.6167680385230398E-2</v>
      </c>
    </row>
    <row r="752" spans="1:15" x14ac:dyDescent="0.3">
      <c r="A752">
        <v>3390</v>
      </c>
      <c r="B752">
        <v>2229</v>
      </c>
      <c r="C752">
        <v>18</v>
      </c>
      <c r="D752" t="s">
        <v>19</v>
      </c>
      <c r="E752" t="s">
        <v>20</v>
      </c>
      <c r="F752" t="s">
        <v>21</v>
      </c>
      <c r="G752" t="s">
        <v>25</v>
      </c>
      <c r="H752">
        <v>271.39999999999998</v>
      </c>
      <c r="I752">
        <v>244</v>
      </c>
      <c r="J752">
        <v>97.3</v>
      </c>
      <c r="K752">
        <v>64</v>
      </c>
      <c r="L752">
        <v>23.3</v>
      </c>
      <c r="M752">
        <v>6.5</v>
      </c>
      <c r="N752">
        <v>0.246302351693686</v>
      </c>
      <c r="O752">
        <v>2.4094467749893999E-2</v>
      </c>
    </row>
    <row r="753" spans="1:15" x14ac:dyDescent="0.3">
      <c r="A753">
        <v>3391</v>
      </c>
      <c r="B753">
        <v>2229</v>
      </c>
      <c r="C753">
        <v>18</v>
      </c>
      <c r="D753" t="s">
        <v>19</v>
      </c>
      <c r="E753" t="s">
        <v>20</v>
      </c>
      <c r="F753" t="s">
        <v>21</v>
      </c>
      <c r="G753" t="s">
        <v>25</v>
      </c>
      <c r="H753">
        <v>271.39999999999998</v>
      </c>
      <c r="I753">
        <v>244</v>
      </c>
      <c r="J753">
        <v>97.3</v>
      </c>
      <c r="K753">
        <v>64</v>
      </c>
      <c r="L753">
        <v>23.3</v>
      </c>
      <c r="M753">
        <v>6.5</v>
      </c>
      <c r="N753">
        <v>0.23514788951566201</v>
      </c>
      <c r="O753">
        <v>2.6425859543060801E-2</v>
      </c>
    </row>
    <row r="754" spans="1:15" x14ac:dyDescent="0.3">
      <c r="A754">
        <v>3392</v>
      </c>
      <c r="B754">
        <v>223</v>
      </c>
      <c r="C754">
        <v>147</v>
      </c>
      <c r="D754" t="s">
        <v>19</v>
      </c>
      <c r="E754" t="s">
        <v>20</v>
      </c>
      <c r="F754" t="s">
        <v>21</v>
      </c>
      <c r="G754" t="s">
        <v>26</v>
      </c>
      <c r="H754">
        <v>274.7</v>
      </c>
      <c r="I754">
        <v>246</v>
      </c>
      <c r="J754">
        <v>94.8</v>
      </c>
      <c r="K754">
        <v>66.5</v>
      </c>
      <c r="L754">
        <v>23.6</v>
      </c>
      <c r="M754">
        <v>10.5</v>
      </c>
      <c r="N754">
        <v>0.12265834061289201</v>
      </c>
      <c r="O754">
        <v>0.119680580478623</v>
      </c>
    </row>
    <row r="755" spans="1:15" x14ac:dyDescent="0.3">
      <c r="A755">
        <v>3393</v>
      </c>
      <c r="B755">
        <v>223</v>
      </c>
      <c r="C755">
        <v>147</v>
      </c>
      <c r="D755" t="s">
        <v>19</v>
      </c>
      <c r="E755" t="s">
        <v>20</v>
      </c>
      <c r="F755" t="s">
        <v>21</v>
      </c>
      <c r="G755" t="s">
        <v>26</v>
      </c>
      <c r="H755">
        <v>274.7</v>
      </c>
      <c r="I755">
        <v>246</v>
      </c>
      <c r="J755">
        <v>94.8</v>
      </c>
      <c r="K755">
        <v>66.5</v>
      </c>
      <c r="L755">
        <v>23.6</v>
      </c>
      <c r="M755">
        <v>10.5</v>
      </c>
      <c r="N755">
        <v>0.13710704419665801</v>
      </c>
      <c r="O755">
        <v>0.13382908575698199</v>
      </c>
    </row>
    <row r="756" spans="1:15" x14ac:dyDescent="0.3">
      <c r="A756">
        <v>3397</v>
      </c>
      <c r="B756">
        <v>2233</v>
      </c>
      <c r="C756">
        <v>368</v>
      </c>
      <c r="D756" t="s">
        <v>19</v>
      </c>
      <c r="E756" t="s">
        <v>16</v>
      </c>
      <c r="F756" t="s">
        <v>17</v>
      </c>
      <c r="G756" t="s">
        <v>24</v>
      </c>
      <c r="H756">
        <v>273.3</v>
      </c>
      <c r="I756">
        <v>249</v>
      </c>
      <c r="J756">
        <v>98.9</v>
      </c>
      <c r="K756">
        <v>68.5</v>
      </c>
      <c r="L756">
        <v>23.8</v>
      </c>
      <c r="M756">
        <v>9</v>
      </c>
      <c r="N756">
        <v>0.115537479854309</v>
      </c>
      <c r="O756">
        <v>3.3035004423070599E-2</v>
      </c>
    </row>
    <row r="757" spans="1:15" x14ac:dyDescent="0.3">
      <c r="A757">
        <v>3398</v>
      </c>
      <c r="B757">
        <v>2233</v>
      </c>
      <c r="C757">
        <v>368</v>
      </c>
      <c r="D757" t="s">
        <v>19</v>
      </c>
      <c r="E757" t="s">
        <v>16</v>
      </c>
      <c r="F757" t="s">
        <v>17</v>
      </c>
      <c r="G757" t="s">
        <v>24</v>
      </c>
      <c r="H757">
        <v>273.3</v>
      </c>
      <c r="I757">
        <v>249</v>
      </c>
      <c r="J757">
        <v>98.9</v>
      </c>
      <c r="K757">
        <v>68.5</v>
      </c>
      <c r="L757">
        <v>23.8</v>
      </c>
      <c r="M757">
        <v>9</v>
      </c>
      <c r="N757">
        <v>0.113191092097951</v>
      </c>
      <c r="O757">
        <v>4.11161592828235E-2</v>
      </c>
    </row>
    <row r="758" spans="1:15" x14ac:dyDescent="0.3">
      <c r="A758">
        <v>3399</v>
      </c>
      <c r="B758">
        <v>2234</v>
      </c>
      <c r="C758">
        <v>395</v>
      </c>
      <c r="D758" t="s">
        <v>23</v>
      </c>
      <c r="E758" t="s">
        <v>20</v>
      </c>
      <c r="F758" t="s">
        <v>17</v>
      </c>
      <c r="G758" t="s">
        <v>18</v>
      </c>
      <c r="H758">
        <v>273.60000000000002</v>
      </c>
      <c r="I758">
        <v>247</v>
      </c>
      <c r="J758">
        <v>94</v>
      </c>
      <c r="K758">
        <v>68</v>
      </c>
      <c r="L758">
        <v>26.7</v>
      </c>
      <c r="M758">
        <v>7.5</v>
      </c>
      <c r="N758">
        <v>0.182008216969853</v>
      </c>
      <c r="O758">
        <v>0.36255495628778101</v>
      </c>
    </row>
    <row r="759" spans="1:15" x14ac:dyDescent="0.3">
      <c r="A759">
        <v>3400</v>
      </c>
      <c r="B759">
        <v>2234</v>
      </c>
      <c r="C759">
        <v>395</v>
      </c>
      <c r="D759" t="s">
        <v>23</v>
      </c>
      <c r="E759" t="s">
        <v>20</v>
      </c>
      <c r="F759" t="s">
        <v>17</v>
      </c>
      <c r="G759" t="s">
        <v>18</v>
      </c>
      <c r="H759">
        <v>273.60000000000002</v>
      </c>
      <c r="I759">
        <v>247</v>
      </c>
      <c r="J759">
        <v>94</v>
      </c>
      <c r="K759">
        <v>68</v>
      </c>
      <c r="L759">
        <v>26.7</v>
      </c>
      <c r="M759">
        <v>7.5</v>
      </c>
      <c r="N759">
        <v>0.15042708013592601</v>
      </c>
      <c r="O759">
        <v>0.35509850728798498</v>
      </c>
    </row>
    <row r="760" spans="1:15" x14ac:dyDescent="0.3">
      <c r="A760">
        <v>3401</v>
      </c>
      <c r="B760">
        <v>2234</v>
      </c>
      <c r="C760">
        <v>395</v>
      </c>
      <c r="D760" t="s">
        <v>23</v>
      </c>
      <c r="E760" t="s">
        <v>20</v>
      </c>
      <c r="F760" t="s">
        <v>17</v>
      </c>
      <c r="G760" t="s">
        <v>18</v>
      </c>
      <c r="H760">
        <v>273.60000000000002</v>
      </c>
      <c r="I760">
        <v>247</v>
      </c>
      <c r="J760">
        <v>94</v>
      </c>
      <c r="K760">
        <v>68</v>
      </c>
      <c r="L760">
        <v>26.7</v>
      </c>
      <c r="M760">
        <v>7.5</v>
      </c>
      <c r="N760">
        <v>0.147525757379662</v>
      </c>
      <c r="O760">
        <v>0.335112035241458</v>
      </c>
    </row>
    <row r="761" spans="1:15" x14ac:dyDescent="0.3">
      <c r="A761">
        <v>3422</v>
      </c>
      <c r="B761">
        <v>2239</v>
      </c>
      <c r="C761">
        <v>320</v>
      </c>
      <c r="D761" t="s">
        <v>19</v>
      </c>
      <c r="E761" t="s">
        <v>20</v>
      </c>
      <c r="F761" t="s">
        <v>17</v>
      </c>
      <c r="G761" t="s">
        <v>25</v>
      </c>
      <c r="H761">
        <v>279</v>
      </c>
      <c r="I761">
        <v>253.5</v>
      </c>
      <c r="J761">
        <v>97.1</v>
      </c>
      <c r="K761">
        <v>64</v>
      </c>
      <c r="L761">
        <v>24</v>
      </c>
      <c r="M761">
        <v>8</v>
      </c>
      <c r="N761">
        <v>0.16620472373718501</v>
      </c>
      <c r="O761">
        <v>2.2520169939257598E-2</v>
      </c>
    </row>
    <row r="762" spans="1:15" x14ac:dyDescent="0.3">
      <c r="A762">
        <v>3424</v>
      </c>
      <c r="B762">
        <v>2240</v>
      </c>
      <c r="C762">
        <v>395</v>
      </c>
      <c r="D762" t="s">
        <v>23</v>
      </c>
      <c r="E762" t="s">
        <v>20</v>
      </c>
      <c r="F762" t="s">
        <v>17</v>
      </c>
      <c r="G762" t="s">
        <v>24</v>
      </c>
      <c r="H762">
        <v>273.60000000000002</v>
      </c>
      <c r="I762">
        <v>247</v>
      </c>
      <c r="J762">
        <v>94</v>
      </c>
      <c r="K762">
        <v>68</v>
      </c>
      <c r="L762">
        <v>26.7</v>
      </c>
      <c r="M762">
        <v>7.5</v>
      </c>
      <c r="N762">
        <v>0.14602235608511899</v>
      </c>
      <c r="O762">
        <v>0.33863654904507701</v>
      </c>
    </row>
    <row r="763" spans="1:15" x14ac:dyDescent="0.3">
      <c r="A763">
        <v>3425</v>
      </c>
      <c r="B763">
        <v>2240</v>
      </c>
      <c r="C763">
        <v>395</v>
      </c>
      <c r="D763" t="s">
        <v>23</v>
      </c>
      <c r="E763" t="s">
        <v>20</v>
      </c>
      <c r="F763" t="s">
        <v>17</v>
      </c>
      <c r="G763" t="s">
        <v>24</v>
      </c>
      <c r="H763">
        <v>273.60000000000002</v>
      </c>
      <c r="I763">
        <v>247</v>
      </c>
      <c r="J763">
        <v>94</v>
      </c>
      <c r="K763">
        <v>68</v>
      </c>
      <c r="L763">
        <v>26.7</v>
      </c>
      <c r="M763">
        <v>7.5</v>
      </c>
      <c r="N763">
        <v>0.17415485455548399</v>
      </c>
      <c r="O763">
        <v>0.36291614053634702</v>
      </c>
    </row>
    <row r="764" spans="1:15" x14ac:dyDescent="0.3">
      <c r="A764">
        <v>3439</v>
      </c>
      <c r="B764">
        <v>2245</v>
      </c>
      <c r="C764">
        <v>335</v>
      </c>
      <c r="D764" t="s">
        <v>19</v>
      </c>
      <c r="E764" t="s">
        <v>20</v>
      </c>
      <c r="F764" t="s">
        <v>17</v>
      </c>
      <c r="G764" t="s">
        <v>18</v>
      </c>
      <c r="H764">
        <v>278.5</v>
      </c>
      <c r="I764">
        <v>240.5</v>
      </c>
      <c r="J764">
        <v>94.4</v>
      </c>
      <c r="K764">
        <v>69</v>
      </c>
      <c r="L764">
        <v>25.8</v>
      </c>
      <c r="M764">
        <v>8.5</v>
      </c>
      <c r="N764">
        <v>4.8925979690897403E-2</v>
      </c>
      <c r="O764">
        <v>1.4346637782757601E-2</v>
      </c>
    </row>
    <row r="765" spans="1:15" x14ac:dyDescent="0.3">
      <c r="A765">
        <v>3440</v>
      </c>
      <c r="B765">
        <v>2245</v>
      </c>
      <c r="C765">
        <v>335</v>
      </c>
      <c r="D765" t="s">
        <v>19</v>
      </c>
      <c r="E765" t="s">
        <v>20</v>
      </c>
      <c r="F765" t="s">
        <v>17</v>
      </c>
      <c r="G765" t="s">
        <v>18</v>
      </c>
      <c r="H765">
        <v>278.5</v>
      </c>
      <c r="I765">
        <v>240.5</v>
      </c>
      <c r="J765">
        <v>94.4</v>
      </c>
      <c r="K765">
        <v>69</v>
      </c>
      <c r="L765">
        <v>25.8</v>
      </c>
      <c r="M765">
        <v>8.5</v>
      </c>
      <c r="N765">
        <v>5.1392306472359699E-2</v>
      </c>
      <c r="O765">
        <v>1.8170950937080502E-2</v>
      </c>
    </row>
    <row r="766" spans="1:15" x14ac:dyDescent="0.3">
      <c r="A766">
        <v>3441</v>
      </c>
      <c r="B766">
        <v>2245</v>
      </c>
      <c r="C766">
        <v>335</v>
      </c>
      <c r="D766" t="s">
        <v>19</v>
      </c>
      <c r="E766" t="s">
        <v>20</v>
      </c>
      <c r="F766" t="s">
        <v>17</v>
      </c>
      <c r="G766" t="s">
        <v>18</v>
      </c>
      <c r="H766">
        <v>278.5</v>
      </c>
      <c r="I766">
        <v>240.5</v>
      </c>
      <c r="J766">
        <v>94.4</v>
      </c>
      <c r="K766">
        <v>69</v>
      </c>
      <c r="L766">
        <v>25.8</v>
      </c>
      <c r="M766">
        <v>8.5</v>
      </c>
      <c r="N766">
        <v>1.78652227068428E-2</v>
      </c>
      <c r="O766">
        <v>3.2304523732242699E-2</v>
      </c>
    </row>
    <row r="767" spans="1:15" x14ac:dyDescent="0.3">
      <c r="A767">
        <v>3442</v>
      </c>
      <c r="B767">
        <v>2245</v>
      </c>
      <c r="C767">
        <v>335</v>
      </c>
      <c r="D767" t="s">
        <v>19</v>
      </c>
      <c r="E767" t="s">
        <v>20</v>
      </c>
      <c r="F767" t="s">
        <v>17</v>
      </c>
      <c r="G767" t="s">
        <v>18</v>
      </c>
      <c r="H767">
        <v>278.5</v>
      </c>
      <c r="I767">
        <v>240.5</v>
      </c>
      <c r="J767">
        <v>94.4</v>
      </c>
      <c r="K767">
        <v>69</v>
      </c>
      <c r="L767">
        <v>25.8</v>
      </c>
      <c r="M767">
        <v>8.5</v>
      </c>
      <c r="N767">
        <v>3.81104639987929E-2</v>
      </c>
      <c r="O767">
        <v>1.88217221024073E-2</v>
      </c>
    </row>
    <row r="768" spans="1:15" x14ac:dyDescent="0.3">
      <c r="A768">
        <v>3445</v>
      </c>
      <c r="B768">
        <v>2249</v>
      </c>
      <c r="C768">
        <v>335</v>
      </c>
      <c r="D768" t="s">
        <v>19</v>
      </c>
      <c r="E768" t="s">
        <v>20</v>
      </c>
      <c r="F768" t="s">
        <v>21</v>
      </c>
      <c r="G768" t="s">
        <v>18</v>
      </c>
      <c r="H768">
        <v>278.5</v>
      </c>
      <c r="I768">
        <v>240.5</v>
      </c>
      <c r="J768">
        <v>94.4</v>
      </c>
      <c r="K768">
        <v>69</v>
      </c>
      <c r="L768">
        <v>25.8</v>
      </c>
      <c r="M768">
        <v>8.5</v>
      </c>
      <c r="N768">
        <v>5.1312093956539802E-2</v>
      </c>
      <c r="O768">
        <v>4.1989803782290697E-2</v>
      </c>
    </row>
    <row r="769" spans="1:15" x14ac:dyDescent="0.3">
      <c r="A769">
        <v>3446</v>
      </c>
      <c r="B769">
        <v>2249</v>
      </c>
      <c r="C769">
        <v>335</v>
      </c>
      <c r="D769" t="s">
        <v>19</v>
      </c>
      <c r="E769" t="s">
        <v>20</v>
      </c>
      <c r="F769" t="s">
        <v>21</v>
      </c>
      <c r="G769" t="s">
        <v>18</v>
      </c>
      <c r="H769">
        <v>278.5</v>
      </c>
      <c r="I769">
        <v>240.5</v>
      </c>
      <c r="J769">
        <v>94.4</v>
      </c>
      <c r="K769">
        <v>69</v>
      </c>
      <c r="L769">
        <v>25.8</v>
      </c>
      <c r="M769">
        <v>8.5</v>
      </c>
      <c r="N769">
        <v>2.6763856904728101E-2</v>
      </c>
      <c r="O769">
        <v>3.3191416375437301E-2</v>
      </c>
    </row>
    <row r="770" spans="1:15" x14ac:dyDescent="0.3">
      <c r="A770">
        <v>3448</v>
      </c>
      <c r="B770">
        <v>2250</v>
      </c>
      <c r="C770">
        <v>26</v>
      </c>
      <c r="D770" t="s">
        <v>23</v>
      </c>
      <c r="E770" t="s">
        <v>20</v>
      </c>
      <c r="F770" t="s">
        <v>21</v>
      </c>
      <c r="G770" t="s">
        <v>24</v>
      </c>
      <c r="H770">
        <v>270.5</v>
      </c>
      <c r="I770">
        <v>243.5</v>
      </c>
      <c r="J770">
        <v>95.9</v>
      </c>
      <c r="K770">
        <v>66</v>
      </c>
      <c r="L770">
        <v>26.9</v>
      </c>
      <c r="M770">
        <v>6</v>
      </c>
      <c r="N770">
        <v>0.19937527732580501</v>
      </c>
      <c r="O770">
        <v>0.39180221608221499</v>
      </c>
    </row>
    <row r="771" spans="1:15" x14ac:dyDescent="0.3">
      <c r="A771">
        <v>3450</v>
      </c>
      <c r="B771">
        <v>2253</v>
      </c>
      <c r="C771">
        <v>147</v>
      </c>
      <c r="D771" t="s">
        <v>19</v>
      </c>
      <c r="E771" t="s">
        <v>20</v>
      </c>
      <c r="F771" t="s">
        <v>17</v>
      </c>
      <c r="G771" t="s">
        <v>22</v>
      </c>
      <c r="H771">
        <v>274.7</v>
      </c>
      <c r="I771">
        <v>246</v>
      </c>
      <c r="J771">
        <v>94.8</v>
      </c>
      <c r="K771">
        <v>66.5</v>
      </c>
      <c r="L771">
        <v>23.6</v>
      </c>
      <c r="M771">
        <v>10.5</v>
      </c>
      <c r="N771">
        <v>0.125535890063842</v>
      </c>
      <c r="O771">
        <v>0.12991250985755201</v>
      </c>
    </row>
    <row r="772" spans="1:15" x14ac:dyDescent="0.3">
      <c r="A772">
        <v>3453</v>
      </c>
      <c r="B772">
        <v>2255</v>
      </c>
      <c r="C772">
        <v>32</v>
      </c>
      <c r="D772" t="s">
        <v>19</v>
      </c>
      <c r="E772" t="s">
        <v>20</v>
      </c>
      <c r="F772" t="s">
        <v>21</v>
      </c>
      <c r="G772" t="s">
        <v>22</v>
      </c>
      <c r="H772">
        <v>274.8</v>
      </c>
      <c r="I772">
        <v>261</v>
      </c>
      <c r="J772">
        <v>101</v>
      </c>
      <c r="K772">
        <v>66</v>
      </c>
      <c r="L772">
        <v>24.4</v>
      </c>
      <c r="M772">
        <v>8.5</v>
      </c>
      <c r="N772">
        <v>0.12474513402584</v>
      </c>
      <c r="O772">
        <v>0.16118010393543999</v>
      </c>
    </row>
    <row r="773" spans="1:15" x14ac:dyDescent="0.3">
      <c r="A773">
        <v>3454</v>
      </c>
      <c r="B773">
        <v>2255</v>
      </c>
      <c r="C773">
        <v>32</v>
      </c>
      <c r="D773" t="s">
        <v>19</v>
      </c>
      <c r="E773" t="s">
        <v>20</v>
      </c>
      <c r="F773" t="s">
        <v>21</v>
      </c>
      <c r="G773" t="s">
        <v>22</v>
      </c>
      <c r="H773">
        <v>274.8</v>
      </c>
      <c r="I773">
        <v>261</v>
      </c>
      <c r="J773">
        <v>101</v>
      </c>
      <c r="K773">
        <v>66</v>
      </c>
      <c r="L773">
        <v>24.4</v>
      </c>
      <c r="M773">
        <v>8.5</v>
      </c>
      <c r="N773">
        <v>0.13425427993816899</v>
      </c>
      <c r="O773">
        <v>0.159324093786128</v>
      </c>
    </row>
    <row r="774" spans="1:15" x14ac:dyDescent="0.3">
      <c r="A774">
        <v>3455</v>
      </c>
      <c r="B774">
        <v>2255</v>
      </c>
      <c r="C774">
        <v>32</v>
      </c>
      <c r="D774" t="s">
        <v>19</v>
      </c>
      <c r="E774" t="s">
        <v>20</v>
      </c>
      <c r="F774" t="s">
        <v>21</v>
      </c>
      <c r="G774" t="s">
        <v>22</v>
      </c>
      <c r="H774">
        <v>274.8</v>
      </c>
      <c r="I774">
        <v>261</v>
      </c>
      <c r="J774">
        <v>101</v>
      </c>
      <c r="K774">
        <v>66</v>
      </c>
      <c r="L774">
        <v>24.4</v>
      </c>
      <c r="M774">
        <v>8.5</v>
      </c>
      <c r="N774">
        <v>0.14079984740926199</v>
      </c>
      <c r="O774">
        <v>0.15718038076693799</v>
      </c>
    </row>
    <row r="775" spans="1:15" x14ac:dyDescent="0.3">
      <c r="A775">
        <v>3458</v>
      </c>
      <c r="B775">
        <v>2257</v>
      </c>
      <c r="C775">
        <v>322</v>
      </c>
      <c r="D775" t="s">
        <v>23</v>
      </c>
      <c r="E775" t="s">
        <v>20</v>
      </c>
      <c r="F775" t="s">
        <v>17</v>
      </c>
      <c r="G775" t="s">
        <v>22</v>
      </c>
      <c r="H775">
        <v>276.7</v>
      </c>
      <c r="I775">
        <v>250</v>
      </c>
      <c r="J775">
        <v>99.1</v>
      </c>
      <c r="K775">
        <v>67.5</v>
      </c>
      <c r="L775">
        <v>26</v>
      </c>
      <c r="M775">
        <v>5.5</v>
      </c>
      <c r="N775">
        <v>0.17485486468450001</v>
      </c>
      <c r="O775">
        <v>0.34275106127847599</v>
      </c>
    </row>
    <row r="776" spans="1:15" x14ac:dyDescent="0.3">
      <c r="A776">
        <v>3459</v>
      </c>
      <c r="B776">
        <v>2257</v>
      </c>
      <c r="C776">
        <v>322</v>
      </c>
      <c r="D776" t="s">
        <v>23</v>
      </c>
      <c r="E776" t="s">
        <v>20</v>
      </c>
      <c r="F776" t="s">
        <v>17</v>
      </c>
      <c r="G776" t="s">
        <v>22</v>
      </c>
      <c r="H776">
        <v>276.7</v>
      </c>
      <c r="I776">
        <v>250</v>
      </c>
      <c r="J776">
        <v>99.1</v>
      </c>
      <c r="K776">
        <v>67.5</v>
      </c>
      <c r="L776">
        <v>26</v>
      </c>
      <c r="M776">
        <v>5.5</v>
      </c>
      <c r="N776">
        <v>0.16641580982295201</v>
      </c>
      <c r="O776">
        <v>0.34021381082584101</v>
      </c>
    </row>
    <row r="777" spans="1:15" x14ac:dyDescent="0.3">
      <c r="A777">
        <v>3460</v>
      </c>
      <c r="B777">
        <v>2257</v>
      </c>
      <c r="C777">
        <v>322</v>
      </c>
      <c r="D777" t="s">
        <v>23</v>
      </c>
      <c r="E777" t="s">
        <v>20</v>
      </c>
      <c r="F777" t="s">
        <v>17</v>
      </c>
      <c r="G777" t="s">
        <v>22</v>
      </c>
      <c r="H777">
        <v>276.7</v>
      </c>
      <c r="I777">
        <v>250</v>
      </c>
      <c r="J777">
        <v>99.1</v>
      </c>
      <c r="K777">
        <v>67.5</v>
      </c>
      <c r="L777">
        <v>26</v>
      </c>
      <c r="M777">
        <v>5.5</v>
      </c>
      <c r="N777">
        <v>0.193077384366032</v>
      </c>
      <c r="O777">
        <v>0.352309614609706</v>
      </c>
    </row>
    <row r="778" spans="1:15" x14ac:dyDescent="0.3">
      <c r="A778">
        <v>3461</v>
      </c>
      <c r="B778">
        <v>2257</v>
      </c>
      <c r="C778">
        <v>322</v>
      </c>
      <c r="D778" t="s">
        <v>23</v>
      </c>
      <c r="E778" t="s">
        <v>20</v>
      </c>
      <c r="F778" t="s">
        <v>17</v>
      </c>
      <c r="G778" t="s">
        <v>22</v>
      </c>
      <c r="H778">
        <v>276.7</v>
      </c>
      <c r="I778">
        <v>250</v>
      </c>
      <c r="J778">
        <v>99.1</v>
      </c>
      <c r="K778">
        <v>67.5</v>
      </c>
      <c r="L778">
        <v>26</v>
      </c>
      <c r="M778">
        <v>5.5</v>
      </c>
      <c r="N778">
        <v>0.184331348555274</v>
      </c>
      <c r="O778">
        <v>0.31624842209614501</v>
      </c>
    </row>
    <row r="779" spans="1:15" x14ac:dyDescent="0.3">
      <c r="A779">
        <v>3489</v>
      </c>
      <c r="B779">
        <v>2266</v>
      </c>
      <c r="C779">
        <v>170</v>
      </c>
      <c r="D779" t="s">
        <v>15</v>
      </c>
      <c r="E779" t="s">
        <v>20</v>
      </c>
      <c r="F779" t="s">
        <v>17</v>
      </c>
      <c r="G779" t="s">
        <v>22</v>
      </c>
      <c r="H779">
        <v>277.10000000000002</v>
      </c>
      <c r="I779">
        <v>250</v>
      </c>
      <c r="J779">
        <v>96.8</v>
      </c>
      <c r="K779">
        <v>69</v>
      </c>
      <c r="L779">
        <v>27.6</v>
      </c>
      <c r="M779">
        <v>10</v>
      </c>
      <c r="N779">
        <v>4.7615891350146197E-2</v>
      </c>
      <c r="O779">
        <v>0.146609726636136</v>
      </c>
    </row>
    <row r="780" spans="1:15" x14ac:dyDescent="0.3">
      <c r="A780">
        <v>3490</v>
      </c>
      <c r="B780">
        <v>2266</v>
      </c>
      <c r="C780">
        <v>170</v>
      </c>
      <c r="D780" t="s">
        <v>15</v>
      </c>
      <c r="E780" t="s">
        <v>20</v>
      </c>
      <c r="F780" t="s">
        <v>17</v>
      </c>
      <c r="G780" t="s">
        <v>22</v>
      </c>
      <c r="H780">
        <v>277.10000000000002</v>
      </c>
      <c r="I780">
        <v>250</v>
      </c>
      <c r="J780">
        <v>96.8</v>
      </c>
      <c r="K780">
        <v>69</v>
      </c>
      <c r="L780">
        <v>27.6</v>
      </c>
      <c r="M780">
        <v>10</v>
      </c>
      <c r="N780">
        <v>1.8663541068282399E-2</v>
      </c>
      <c r="O780">
        <v>0.158507402443962</v>
      </c>
    </row>
    <row r="781" spans="1:15" x14ac:dyDescent="0.3">
      <c r="A781">
        <v>3508</v>
      </c>
      <c r="B781">
        <v>2271</v>
      </c>
      <c r="C781">
        <v>483</v>
      </c>
      <c r="D781" t="s">
        <v>23</v>
      </c>
      <c r="E781" t="s">
        <v>20</v>
      </c>
      <c r="F781" t="s">
        <v>21</v>
      </c>
      <c r="G781" t="s">
        <v>18</v>
      </c>
      <c r="H781">
        <v>271.89999999999998</v>
      </c>
      <c r="I781">
        <v>246</v>
      </c>
      <c r="J781">
        <v>94.4</v>
      </c>
      <c r="K781">
        <v>60.5</v>
      </c>
      <c r="L781">
        <v>27.6</v>
      </c>
      <c r="M781">
        <v>13.5</v>
      </c>
      <c r="N781">
        <v>0.113706911060799</v>
      </c>
      <c r="O781">
        <v>0.20331126856989201</v>
      </c>
    </row>
    <row r="782" spans="1:15" x14ac:dyDescent="0.3">
      <c r="A782">
        <v>3509</v>
      </c>
      <c r="B782">
        <v>2271</v>
      </c>
      <c r="C782">
        <v>483</v>
      </c>
      <c r="D782" t="s">
        <v>23</v>
      </c>
      <c r="E782" t="s">
        <v>20</v>
      </c>
      <c r="F782" t="s">
        <v>21</v>
      </c>
      <c r="G782" t="s">
        <v>18</v>
      </c>
      <c r="H782">
        <v>271.89999999999998</v>
      </c>
      <c r="I782">
        <v>246</v>
      </c>
      <c r="J782">
        <v>94.4</v>
      </c>
      <c r="K782">
        <v>60.5</v>
      </c>
      <c r="L782">
        <v>27.6</v>
      </c>
      <c r="M782">
        <v>13.5</v>
      </c>
      <c r="N782">
        <v>0.102515692253471</v>
      </c>
      <c r="O782">
        <v>0.20369259708465301</v>
      </c>
    </row>
    <row r="783" spans="1:15" x14ac:dyDescent="0.3">
      <c r="A783">
        <v>3510</v>
      </c>
      <c r="B783">
        <v>2271</v>
      </c>
      <c r="C783">
        <v>483</v>
      </c>
      <c r="D783" t="s">
        <v>23</v>
      </c>
      <c r="E783" t="s">
        <v>20</v>
      </c>
      <c r="F783" t="s">
        <v>21</v>
      </c>
      <c r="G783" t="s">
        <v>18</v>
      </c>
      <c r="H783">
        <v>271.89999999999998</v>
      </c>
      <c r="I783">
        <v>246</v>
      </c>
      <c r="J783">
        <v>94.4</v>
      </c>
      <c r="K783">
        <v>60.5</v>
      </c>
      <c r="L783">
        <v>27.6</v>
      </c>
      <c r="M783">
        <v>13.5</v>
      </c>
      <c r="N783">
        <v>9.7579814108508897E-2</v>
      </c>
      <c r="O783">
        <v>0.20558257155926901</v>
      </c>
    </row>
    <row r="784" spans="1:15" x14ac:dyDescent="0.3">
      <c r="A784">
        <v>3520</v>
      </c>
      <c r="B784">
        <v>2273</v>
      </c>
      <c r="C784">
        <v>28</v>
      </c>
      <c r="D784" t="s">
        <v>19</v>
      </c>
      <c r="E784" t="s">
        <v>20</v>
      </c>
      <c r="F784" t="s">
        <v>21</v>
      </c>
      <c r="G784" t="s">
        <v>24</v>
      </c>
      <c r="H784">
        <v>274.39999999999998</v>
      </c>
      <c r="I784">
        <v>243.5</v>
      </c>
      <c r="J784">
        <v>94.3</v>
      </c>
      <c r="K784">
        <v>65.5</v>
      </c>
      <c r="L784">
        <v>28</v>
      </c>
      <c r="M784">
        <v>5.5</v>
      </c>
      <c r="N784">
        <v>0.30171157897341699</v>
      </c>
      <c r="O784">
        <v>8.3169094072532104E-2</v>
      </c>
    </row>
    <row r="785" spans="1:15" x14ac:dyDescent="0.3">
      <c r="A785">
        <v>3521</v>
      </c>
      <c r="B785">
        <v>2274</v>
      </c>
      <c r="C785">
        <v>443</v>
      </c>
      <c r="D785" t="s">
        <v>19</v>
      </c>
      <c r="E785" t="s">
        <v>20</v>
      </c>
      <c r="F785" t="s">
        <v>21</v>
      </c>
      <c r="G785" t="s">
        <v>25</v>
      </c>
      <c r="H785">
        <v>272.5</v>
      </c>
      <c r="I785">
        <v>239.5</v>
      </c>
      <c r="J785">
        <v>96</v>
      </c>
      <c r="K785">
        <v>64.5</v>
      </c>
      <c r="L785">
        <v>20.399999999999999</v>
      </c>
      <c r="M785">
        <v>10</v>
      </c>
      <c r="N785">
        <v>0.241432795887976</v>
      </c>
      <c r="O785">
        <v>7.3450351350585599E-2</v>
      </c>
    </row>
    <row r="786" spans="1:15" x14ac:dyDescent="0.3">
      <c r="A786">
        <v>3522</v>
      </c>
      <c r="B786">
        <v>2274</v>
      </c>
      <c r="C786">
        <v>443</v>
      </c>
      <c r="D786" t="s">
        <v>19</v>
      </c>
      <c r="E786" t="s">
        <v>20</v>
      </c>
      <c r="F786" t="s">
        <v>21</v>
      </c>
      <c r="G786" t="s">
        <v>25</v>
      </c>
      <c r="H786">
        <v>272.5</v>
      </c>
      <c r="I786">
        <v>239.5</v>
      </c>
      <c r="J786">
        <v>96</v>
      </c>
      <c r="K786">
        <v>64.5</v>
      </c>
      <c r="L786">
        <v>20.399999999999999</v>
      </c>
      <c r="M786">
        <v>10</v>
      </c>
      <c r="N786">
        <v>0.266732786658887</v>
      </c>
      <c r="O786">
        <v>6.1181170342153403E-2</v>
      </c>
    </row>
    <row r="787" spans="1:15" x14ac:dyDescent="0.3">
      <c r="A787">
        <v>3523</v>
      </c>
      <c r="B787">
        <v>2274</v>
      </c>
      <c r="C787">
        <v>443</v>
      </c>
      <c r="D787" t="s">
        <v>19</v>
      </c>
      <c r="E787" t="s">
        <v>20</v>
      </c>
      <c r="F787" t="s">
        <v>21</v>
      </c>
      <c r="G787" t="s">
        <v>25</v>
      </c>
      <c r="H787">
        <v>272.5</v>
      </c>
      <c r="I787">
        <v>239.5</v>
      </c>
      <c r="J787">
        <v>96</v>
      </c>
      <c r="K787">
        <v>64.5</v>
      </c>
      <c r="L787">
        <v>20.399999999999999</v>
      </c>
      <c r="M787">
        <v>10</v>
      </c>
      <c r="N787">
        <v>0.256443847975037</v>
      </c>
      <c r="O787">
        <v>6.1167037690188601E-2</v>
      </c>
    </row>
    <row r="788" spans="1:15" x14ac:dyDescent="0.3">
      <c r="A788">
        <v>3524</v>
      </c>
      <c r="B788">
        <v>2274</v>
      </c>
      <c r="C788">
        <v>443</v>
      </c>
      <c r="D788" t="s">
        <v>19</v>
      </c>
      <c r="E788" t="s">
        <v>20</v>
      </c>
      <c r="F788" t="s">
        <v>21</v>
      </c>
      <c r="G788" t="s">
        <v>25</v>
      </c>
      <c r="H788">
        <v>272.5</v>
      </c>
      <c r="I788">
        <v>239.5</v>
      </c>
      <c r="J788">
        <v>96</v>
      </c>
      <c r="K788">
        <v>64.5</v>
      </c>
      <c r="L788">
        <v>20.399999999999999</v>
      </c>
      <c r="M788">
        <v>10</v>
      </c>
      <c r="N788">
        <v>0.26872876450385802</v>
      </c>
      <c r="O788">
        <v>6.2258278825967801E-2</v>
      </c>
    </row>
    <row r="789" spans="1:15" x14ac:dyDescent="0.3">
      <c r="A789">
        <v>3531</v>
      </c>
      <c r="B789">
        <v>2276</v>
      </c>
      <c r="C789">
        <v>466</v>
      </c>
      <c r="D789" t="s">
        <v>23</v>
      </c>
      <c r="E789" t="s">
        <v>20</v>
      </c>
      <c r="F789" t="s">
        <v>17</v>
      </c>
      <c r="G789" t="s">
        <v>24</v>
      </c>
      <c r="H789">
        <v>282.10000000000002</v>
      </c>
      <c r="I789">
        <v>257</v>
      </c>
      <c r="J789">
        <v>100.3</v>
      </c>
      <c r="K789">
        <v>68.5</v>
      </c>
      <c r="L789">
        <v>27.5</v>
      </c>
      <c r="M789">
        <v>11</v>
      </c>
      <c r="N789">
        <v>4.2191483284260201E-2</v>
      </c>
      <c r="O789">
        <v>0.28960700701531</v>
      </c>
    </row>
    <row r="790" spans="1:15" x14ac:dyDescent="0.3">
      <c r="A790">
        <v>3532</v>
      </c>
      <c r="B790">
        <v>2276</v>
      </c>
      <c r="C790">
        <v>466</v>
      </c>
      <c r="D790" t="s">
        <v>23</v>
      </c>
      <c r="E790" t="s">
        <v>20</v>
      </c>
      <c r="F790" t="s">
        <v>17</v>
      </c>
      <c r="G790" t="s">
        <v>24</v>
      </c>
      <c r="H790">
        <v>282.10000000000002</v>
      </c>
      <c r="I790">
        <v>257</v>
      </c>
      <c r="J790">
        <v>100.3</v>
      </c>
      <c r="K790">
        <v>68.5</v>
      </c>
      <c r="L790">
        <v>27.5</v>
      </c>
      <c r="M790">
        <v>11</v>
      </c>
      <c r="N790">
        <v>7.2585032324827201E-2</v>
      </c>
      <c r="O790">
        <v>0.27365962095033902</v>
      </c>
    </row>
    <row r="791" spans="1:15" x14ac:dyDescent="0.3">
      <c r="A791">
        <v>3533</v>
      </c>
      <c r="B791">
        <v>2276</v>
      </c>
      <c r="C791">
        <v>466</v>
      </c>
      <c r="D791" t="s">
        <v>23</v>
      </c>
      <c r="E791" t="s">
        <v>20</v>
      </c>
      <c r="F791" t="s">
        <v>17</v>
      </c>
      <c r="G791" t="s">
        <v>24</v>
      </c>
      <c r="H791">
        <v>282.10000000000002</v>
      </c>
      <c r="I791">
        <v>257</v>
      </c>
      <c r="J791">
        <v>100.3</v>
      </c>
      <c r="K791">
        <v>68.5</v>
      </c>
      <c r="L791">
        <v>27.5</v>
      </c>
      <c r="M791">
        <v>11</v>
      </c>
      <c r="N791">
        <v>5.3328062735518399E-2</v>
      </c>
      <c r="O791">
        <v>0.28308835395346699</v>
      </c>
    </row>
    <row r="792" spans="1:15" x14ac:dyDescent="0.3">
      <c r="A792">
        <v>3534</v>
      </c>
      <c r="B792">
        <v>2276</v>
      </c>
      <c r="C792">
        <v>466</v>
      </c>
      <c r="D792" t="s">
        <v>23</v>
      </c>
      <c r="E792" t="s">
        <v>20</v>
      </c>
      <c r="F792" t="s">
        <v>17</v>
      </c>
      <c r="G792" t="s">
        <v>24</v>
      </c>
      <c r="H792">
        <v>282.10000000000002</v>
      </c>
      <c r="I792">
        <v>257</v>
      </c>
      <c r="J792">
        <v>100.3</v>
      </c>
      <c r="K792">
        <v>68.5</v>
      </c>
      <c r="L792">
        <v>27.5</v>
      </c>
      <c r="M792">
        <v>11</v>
      </c>
      <c r="N792">
        <v>4.4882267151108803E-2</v>
      </c>
      <c r="O792">
        <v>0.265816127199894</v>
      </c>
    </row>
    <row r="793" spans="1:15" x14ac:dyDescent="0.3">
      <c r="A793">
        <v>3535</v>
      </c>
      <c r="B793">
        <v>2276</v>
      </c>
      <c r="C793">
        <v>466</v>
      </c>
      <c r="D793" t="s">
        <v>23</v>
      </c>
      <c r="E793" t="s">
        <v>20</v>
      </c>
      <c r="F793" t="s">
        <v>17</v>
      </c>
      <c r="G793" t="s">
        <v>24</v>
      </c>
      <c r="H793">
        <v>282.10000000000002</v>
      </c>
      <c r="I793">
        <v>257</v>
      </c>
      <c r="J793">
        <v>100.3</v>
      </c>
      <c r="K793">
        <v>68.5</v>
      </c>
      <c r="L793">
        <v>27.5</v>
      </c>
      <c r="M793">
        <v>11</v>
      </c>
      <c r="N793">
        <v>5.2909125646345E-2</v>
      </c>
      <c r="O793">
        <v>0.29205447248716399</v>
      </c>
    </row>
    <row r="794" spans="1:15" x14ac:dyDescent="0.3">
      <c r="A794">
        <v>3536</v>
      </c>
      <c r="B794">
        <v>2276</v>
      </c>
      <c r="C794">
        <v>466</v>
      </c>
      <c r="D794" t="s">
        <v>23</v>
      </c>
      <c r="E794" t="s">
        <v>20</v>
      </c>
      <c r="F794" t="s">
        <v>17</v>
      </c>
      <c r="G794" t="s">
        <v>24</v>
      </c>
      <c r="H794">
        <v>282.10000000000002</v>
      </c>
      <c r="I794">
        <v>257</v>
      </c>
      <c r="J794">
        <v>100.3</v>
      </c>
      <c r="K794">
        <v>68.5</v>
      </c>
      <c r="L794">
        <v>27.5</v>
      </c>
      <c r="M794">
        <v>11</v>
      </c>
      <c r="N794">
        <v>7.6091944801303102E-2</v>
      </c>
      <c r="O794">
        <v>0.26899084163996201</v>
      </c>
    </row>
    <row r="795" spans="1:15" x14ac:dyDescent="0.3">
      <c r="A795">
        <v>3548</v>
      </c>
      <c r="B795">
        <v>2280</v>
      </c>
      <c r="C795">
        <v>388</v>
      </c>
      <c r="D795" t="s">
        <v>19</v>
      </c>
      <c r="E795" t="s">
        <v>16</v>
      </c>
      <c r="F795" t="s">
        <v>21</v>
      </c>
      <c r="G795" t="s">
        <v>18</v>
      </c>
      <c r="H795">
        <v>277.10000000000002</v>
      </c>
      <c r="I795">
        <v>244.5</v>
      </c>
      <c r="J795">
        <v>91.9</v>
      </c>
      <c r="K795">
        <v>62.5</v>
      </c>
      <c r="L795">
        <v>25.9</v>
      </c>
      <c r="M795">
        <v>7</v>
      </c>
      <c r="N795">
        <v>0.104620565591172</v>
      </c>
      <c r="O795">
        <v>6.1034942748368001E-2</v>
      </c>
    </row>
    <row r="796" spans="1:15" x14ac:dyDescent="0.3">
      <c r="A796">
        <v>3549</v>
      </c>
      <c r="B796">
        <v>2280</v>
      </c>
      <c r="C796">
        <v>388</v>
      </c>
      <c r="D796" t="s">
        <v>19</v>
      </c>
      <c r="E796" t="s">
        <v>16</v>
      </c>
      <c r="F796" t="s">
        <v>21</v>
      </c>
      <c r="G796" t="s">
        <v>18</v>
      </c>
      <c r="H796">
        <v>277.10000000000002</v>
      </c>
      <c r="I796">
        <v>244.5</v>
      </c>
      <c r="J796">
        <v>91.9</v>
      </c>
      <c r="K796">
        <v>62.5</v>
      </c>
      <c r="L796">
        <v>25.9</v>
      </c>
      <c r="M796">
        <v>7</v>
      </c>
      <c r="N796">
        <v>0.1190978960858</v>
      </c>
      <c r="O796">
        <v>6.7417604913378698E-2</v>
      </c>
    </row>
    <row r="797" spans="1:15" x14ac:dyDescent="0.3">
      <c r="A797">
        <v>3550</v>
      </c>
      <c r="B797">
        <v>2280</v>
      </c>
      <c r="C797">
        <v>388</v>
      </c>
      <c r="D797" t="s">
        <v>19</v>
      </c>
      <c r="E797" t="s">
        <v>16</v>
      </c>
      <c r="F797" t="s">
        <v>21</v>
      </c>
      <c r="G797" t="s">
        <v>18</v>
      </c>
      <c r="H797">
        <v>277.10000000000002</v>
      </c>
      <c r="I797">
        <v>244.5</v>
      </c>
      <c r="J797">
        <v>91.9</v>
      </c>
      <c r="K797">
        <v>62.5</v>
      </c>
      <c r="L797">
        <v>25.9</v>
      </c>
      <c r="M797">
        <v>7</v>
      </c>
      <c r="N797">
        <v>9.9955870474237499E-2</v>
      </c>
      <c r="O797">
        <v>7.9977345092935498E-2</v>
      </c>
    </row>
    <row r="798" spans="1:15" x14ac:dyDescent="0.3">
      <c r="A798">
        <v>3572</v>
      </c>
      <c r="B798">
        <v>2288</v>
      </c>
      <c r="C798">
        <v>89</v>
      </c>
      <c r="D798" t="s">
        <v>19</v>
      </c>
      <c r="E798" t="s">
        <v>20</v>
      </c>
      <c r="F798" t="s">
        <v>17</v>
      </c>
      <c r="G798" t="s">
        <v>22</v>
      </c>
      <c r="H798">
        <v>275.89999999999998</v>
      </c>
      <c r="I798">
        <v>245.5</v>
      </c>
      <c r="J798">
        <v>92.8</v>
      </c>
      <c r="K798">
        <v>66.5</v>
      </c>
      <c r="L798">
        <v>26.7</v>
      </c>
      <c r="M798">
        <v>12.5</v>
      </c>
      <c r="N798">
        <v>7.1958741951835298E-2</v>
      </c>
      <c r="O798">
        <v>9.4821807279160994E-2</v>
      </c>
    </row>
    <row r="799" spans="1:15" x14ac:dyDescent="0.3">
      <c r="A799">
        <v>3573</v>
      </c>
      <c r="B799">
        <v>2288</v>
      </c>
      <c r="C799">
        <v>89</v>
      </c>
      <c r="D799" t="s">
        <v>19</v>
      </c>
      <c r="E799" t="s">
        <v>20</v>
      </c>
      <c r="F799" t="s">
        <v>17</v>
      </c>
      <c r="G799" t="s">
        <v>22</v>
      </c>
      <c r="H799">
        <v>275.89999999999998</v>
      </c>
      <c r="I799">
        <v>245.5</v>
      </c>
      <c r="J799">
        <v>92.8</v>
      </c>
      <c r="K799">
        <v>66.5</v>
      </c>
      <c r="L799">
        <v>26.7</v>
      </c>
      <c r="M799">
        <v>12.5</v>
      </c>
      <c r="N799">
        <v>6.7549447398719903E-2</v>
      </c>
      <c r="O799">
        <v>8.6792965308209097E-2</v>
      </c>
    </row>
    <row r="800" spans="1:15" x14ac:dyDescent="0.3">
      <c r="A800">
        <v>3574</v>
      </c>
      <c r="B800">
        <v>2288</v>
      </c>
      <c r="C800">
        <v>89</v>
      </c>
      <c r="D800" t="s">
        <v>19</v>
      </c>
      <c r="E800" t="s">
        <v>20</v>
      </c>
      <c r="F800" t="s">
        <v>17</v>
      </c>
      <c r="G800" t="s">
        <v>22</v>
      </c>
      <c r="H800">
        <v>275.89999999999998</v>
      </c>
      <c r="I800">
        <v>245.5</v>
      </c>
      <c r="J800">
        <v>92.8</v>
      </c>
      <c r="K800">
        <v>66.5</v>
      </c>
      <c r="L800">
        <v>26.7</v>
      </c>
      <c r="M800">
        <v>12.5</v>
      </c>
      <c r="N800">
        <v>6.4355135155274898E-2</v>
      </c>
      <c r="O800">
        <v>0.101635733936791</v>
      </c>
    </row>
    <row r="801" spans="1:15" x14ac:dyDescent="0.3">
      <c r="A801">
        <v>3585</v>
      </c>
      <c r="B801">
        <v>2292</v>
      </c>
      <c r="C801">
        <v>453</v>
      </c>
      <c r="D801" t="s">
        <v>23</v>
      </c>
      <c r="E801" t="s">
        <v>20</v>
      </c>
      <c r="F801" t="s">
        <v>17</v>
      </c>
      <c r="G801" t="s">
        <v>24</v>
      </c>
      <c r="H801">
        <v>281.60000000000002</v>
      </c>
      <c r="I801">
        <v>255.5</v>
      </c>
      <c r="J801">
        <v>100.4</v>
      </c>
      <c r="K801">
        <v>70</v>
      </c>
      <c r="L801">
        <v>25.7</v>
      </c>
      <c r="M801">
        <v>10</v>
      </c>
      <c r="N801">
        <v>0.139664862287912</v>
      </c>
      <c r="O801">
        <v>0.39490963641954302</v>
      </c>
    </row>
    <row r="802" spans="1:15" x14ac:dyDescent="0.3">
      <c r="A802">
        <v>3600</v>
      </c>
      <c r="B802">
        <v>23</v>
      </c>
      <c r="C802">
        <v>298</v>
      </c>
      <c r="D802" t="s">
        <v>19</v>
      </c>
      <c r="E802" t="s">
        <v>20</v>
      </c>
      <c r="F802" t="s">
        <v>17</v>
      </c>
      <c r="G802" t="s">
        <v>22</v>
      </c>
      <c r="H802">
        <v>275.60000000000002</v>
      </c>
      <c r="I802">
        <v>251</v>
      </c>
      <c r="J802">
        <v>95.1</v>
      </c>
      <c r="K802">
        <v>66.5</v>
      </c>
      <c r="L802">
        <v>25.3</v>
      </c>
      <c r="M802">
        <v>10.5</v>
      </c>
      <c r="N802">
        <v>0.27216209590228102</v>
      </c>
      <c r="O802">
        <v>4.6809697428582098E-2</v>
      </c>
    </row>
    <row r="803" spans="1:15" x14ac:dyDescent="0.3">
      <c r="A803">
        <v>3610</v>
      </c>
      <c r="B803">
        <v>2304</v>
      </c>
      <c r="C803">
        <v>161</v>
      </c>
      <c r="D803" t="s">
        <v>15</v>
      </c>
      <c r="E803" t="s">
        <v>20</v>
      </c>
      <c r="F803" t="s">
        <v>17</v>
      </c>
      <c r="G803" t="s">
        <v>22</v>
      </c>
      <c r="H803">
        <v>274.8</v>
      </c>
      <c r="I803">
        <v>251.5</v>
      </c>
      <c r="J803">
        <v>97.3</v>
      </c>
      <c r="K803">
        <v>68.5</v>
      </c>
      <c r="L803">
        <v>27.2</v>
      </c>
      <c r="M803">
        <v>10.5</v>
      </c>
      <c r="N803">
        <v>4.93120060219095E-2</v>
      </c>
      <c r="O803">
        <v>9.4716502832240895E-2</v>
      </c>
    </row>
    <row r="804" spans="1:15" x14ac:dyDescent="0.3">
      <c r="A804">
        <v>3615</v>
      </c>
      <c r="B804">
        <v>2307</v>
      </c>
      <c r="C804">
        <v>68</v>
      </c>
      <c r="D804" t="s">
        <v>19</v>
      </c>
      <c r="E804" t="s">
        <v>20</v>
      </c>
      <c r="F804" t="s">
        <v>17</v>
      </c>
      <c r="G804" t="s">
        <v>22</v>
      </c>
      <c r="H804">
        <v>275.60000000000002</v>
      </c>
      <c r="I804">
        <v>254.5</v>
      </c>
      <c r="J804">
        <v>95.5</v>
      </c>
      <c r="K804">
        <v>65.5</v>
      </c>
      <c r="L804">
        <v>29.1</v>
      </c>
      <c r="M804">
        <v>10</v>
      </c>
      <c r="N804">
        <v>0.21954231065877899</v>
      </c>
      <c r="O804">
        <v>0.17572462640387601</v>
      </c>
    </row>
    <row r="805" spans="1:15" x14ac:dyDescent="0.3">
      <c r="A805">
        <v>3616</v>
      </c>
      <c r="B805">
        <v>2307</v>
      </c>
      <c r="C805">
        <v>68</v>
      </c>
      <c r="D805" t="s">
        <v>19</v>
      </c>
      <c r="E805" t="s">
        <v>20</v>
      </c>
      <c r="F805" t="s">
        <v>17</v>
      </c>
      <c r="G805" t="s">
        <v>22</v>
      </c>
      <c r="H805">
        <v>275.60000000000002</v>
      </c>
      <c r="I805">
        <v>254.5</v>
      </c>
      <c r="J805">
        <v>95.5</v>
      </c>
      <c r="K805">
        <v>65.5</v>
      </c>
      <c r="L805">
        <v>29.1</v>
      </c>
      <c r="M805">
        <v>10</v>
      </c>
      <c r="N805">
        <v>0.22122082247958</v>
      </c>
      <c r="O805">
        <v>0.17432243327233499</v>
      </c>
    </row>
    <row r="806" spans="1:15" x14ac:dyDescent="0.3">
      <c r="A806">
        <v>3621</v>
      </c>
      <c r="B806">
        <v>2310</v>
      </c>
      <c r="C806">
        <v>218</v>
      </c>
      <c r="D806" t="s">
        <v>19</v>
      </c>
      <c r="E806" t="s">
        <v>16</v>
      </c>
      <c r="F806" t="s">
        <v>21</v>
      </c>
      <c r="G806" t="s">
        <v>26</v>
      </c>
      <c r="H806">
        <v>274.5</v>
      </c>
      <c r="I806">
        <v>258</v>
      </c>
      <c r="J806">
        <v>101.5</v>
      </c>
      <c r="K806">
        <v>66.5</v>
      </c>
      <c r="L806">
        <v>27.9</v>
      </c>
      <c r="M806">
        <v>10</v>
      </c>
      <c r="N806">
        <v>0.15545684797482601</v>
      </c>
      <c r="O806">
        <v>0.109217356042979</v>
      </c>
    </row>
    <row r="807" spans="1:15" x14ac:dyDescent="0.3">
      <c r="A807">
        <v>3622</v>
      </c>
      <c r="B807">
        <v>2310</v>
      </c>
      <c r="C807">
        <v>218</v>
      </c>
      <c r="D807" t="s">
        <v>19</v>
      </c>
      <c r="E807" t="s">
        <v>16</v>
      </c>
      <c r="F807" t="s">
        <v>21</v>
      </c>
      <c r="G807" t="s">
        <v>26</v>
      </c>
      <c r="H807">
        <v>274.5</v>
      </c>
      <c r="I807">
        <v>258</v>
      </c>
      <c r="J807">
        <v>101.5</v>
      </c>
      <c r="K807">
        <v>66.5</v>
      </c>
      <c r="L807">
        <v>27.9</v>
      </c>
      <c r="M807">
        <v>10</v>
      </c>
      <c r="N807">
        <v>0.11816448055892401</v>
      </c>
      <c r="O807">
        <v>0.11113741111556801</v>
      </c>
    </row>
    <row r="808" spans="1:15" x14ac:dyDescent="0.3">
      <c r="A808">
        <v>3623</v>
      </c>
      <c r="B808">
        <v>2310</v>
      </c>
      <c r="C808">
        <v>218</v>
      </c>
      <c r="D808" t="s">
        <v>19</v>
      </c>
      <c r="E808" t="s">
        <v>16</v>
      </c>
      <c r="F808" t="s">
        <v>21</v>
      </c>
      <c r="G808" t="s">
        <v>26</v>
      </c>
      <c r="H808">
        <v>274.5</v>
      </c>
      <c r="I808">
        <v>258</v>
      </c>
      <c r="J808">
        <v>101.5</v>
      </c>
      <c r="K808">
        <v>66.5</v>
      </c>
      <c r="L808">
        <v>27.9</v>
      </c>
      <c r="M808">
        <v>10</v>
      </c>
      <c r="N808">
        <v>0.13986016078485999</v>
      </c>
      <c r="O808">
        <v>0.118268356897595</v>
      </c>
    </row>
    <row r="809" spans="1:15" x14ac:dyDescent="0.3">
      <c r="A809">
        <v>3632</v>
      </c>
      <c r="B809">
        <v>2314</v>
      </c>
      <c r="C809">
        <v>31</v>
      </c>
      <c r="D809" t="s">
        <v>23</v>
      </c>
      <c r="E809" t="s">
        <v>16</v>
      </c>
      <c r="F809" t="s">
        <v>17</v>
      </c>
      <c r="G809" t="s">
        <v>25</v>
      </c>
      <c r="H809">
        <v>274</v>
      </c>
      <c r="I809">
        <v>250</v>
      </c>
      <c r="J809">
        <v>99.4</v>
      </c>
      <c r="K809">
        <v>68.5</v>
      </c>
      <c r="L809">
        <v>23.2</v>
      </c>
      <c r="M809">
        <v>10</v>
      </c>
      <c r="N809">
        <v>0.19457100425253801</v>
      </c>
      <c r="O809">
        <v>0.153317375341952</v>
      </c>
    </row>
    <row r="810" spans="1:15" x14ac:dyDescent="0.3">
      <c r="A810">
        <v>3633</v>
      </c>
      <c r="B810">
        <v>2314</v>
      </c>
      <c r="C810">
        <v>31</v>
      </c>
      <c r="D810" t="s">
        <v>23</v>
      </c>
      <c r="E810" t="s">
        <v>16</v>
      </c>
      <c r="F810" t="s">
        <v>17</v>
      </c>
      <c r="G810" t="s">
        <v>25</v>
      </c>
      <c r="H810">
        <v>274</v>
      </c>
      <c r="I810">
        <v>250</v>
      </c>
      <c r="J810">
        <v>99.4</v>
      </c>
      <c r="K810">
        <v>68.5</v>
      </c>
      <c r="L810">
        <v>23.2</v>
      </c>
      <c r="M810">
        <v>10</v>
      </c>
      <c r="N810">
        <v>0.198137569452151</v>
      </c>
      <c r="O810">
        <v>0.144617126865731</v>
      </c>
    </row>
    <row r="811" spans="1:15" x14ac:dyDescent="0.3">
      <c r="A811">
        <v>3634</v>
      </c>
      <c r="B811">
        <v>2314</v>
      </c>
      <c r="C811">
        <v>31</v>
      </c>
      <c r="D811" t="s">
        <v>23</v>
      </c>
      <c r="E811" t="s">
        <v>16</v>
      </c>
      <c r="F811" t="s">
        <v>17</v>
      </c>
      <c r="G811" t="s">
        <v>25</v>
      </c>
      <c r="H811">
        <v>274</v>
      </c>
      <c r="I811">
        <v>250</v>
      </c>
      <c r="J811">
        <v>99.4</v>
      </c>
      <c r="K811">
        <v>68.5</v>
      </c>
      <c r="L811">
        <v>23.2</v>
      </c>
      <c r="M811">
        <v>10</v>
      </c>
      <c r="N811">
        <v>0.204094140467142</v>
      </c>
      <c r="O811">
        <v>0.159988824781362</v>
      </c>
    </row>
    <row r="812" spans="1:15" x14ac:dyDescent="0.3">
      <c r="A812">
        <v>3635</v>
      </c>
      <c r="B812">
        <v>2314</v>
      </c>
      <c r="C812">
        <v>31</v>
      </c>
      <c r="D812" t="s">
        <v>23</v>
      </c>
      <c r="E812" t="s">
        <v>16</v>
      </c>
      <c r="F812" t="s">
        <v>17</v>
      </c>
      <c r="G812" t="s">
        <v>25</v>
      </c>
      <c r="H812">
        <v>274</v>
      </c>
      <c r="I812">
        <v>250</v>
      </c>
      <c r="J812">
        <v>99.4</v>
      </c>
      <c r="K812">
        <v>68.5</v>
      </c>
      <c r="L812">
        <v>23.2</v>
      </c>
      <c r="M812">
        <v>10</v>
      </c>
      <c r="N812">
        <v>0.198179815285458</v>
      </c>
      <c r="O812">
        <v>0.16070241872136101</v>
      </c>
    </row>
    <row r="813" spans="1:15" x14ac:dyDescent="0.3">
      <c r="A813">
        <v>3636</v>
      </c>
      <c r="B813">
        <v>2315</v>
      </c>
      <c r="C813">
        <v>20</v>
      </c>
      <c r="D813" t="s">
        <v>23</v>
      </c>
      <c r="E813" t="s">
        <v>16</v>
      </c>
      <c r="F813" t="s">
        <v>21</v>
      </c>
      <c r="G813" t="s">
        <v>24</v>
      </c>
      <c r="H813">
        <v>282.7</v>
      </c>
      <c r="I813">
        <v>260</v>
      </c>
      <c r="J813">
        <v>103.8</v>
      </c>
      <c r="K813">
        <v>68</v>
      </c>
      <c r="L813">
        <v>26.4</v>
      </c>
      <c r="M813">
        <v>11.5</v>
      </c>
      <c r="N813">
        <v>6.7725716529069002E-2</v>
      </c>
      <c r="O813">
        <v>0.26684664022374999</v>
      </c>
    </row>
    <row r="814" spans="1:15" x14ac:dyDescent="0.3">
      <c r="A814">
        <v>3637</v>
      </c>
      <c r="B814">
        <v>2315</v>
      </c>
      <c r="C814">
        <v>20</v>
      </c>
      <c r="D814" t="s">
        <v>23</v>
      </c>
      <c r="E814" t="s">
        <v>16</v>
      </c>
      <c r="F814" t="s">
        <v>21</v>
      </c>
      <c r="G814" t="s">
        <v>24</v>
      </c>
      <c r="H814">
        <v>282.7</v>
      </c>
      <c r="I814">
        <v>260</v>
      </c>
      <c r="J814">
        <v>103.8</v>
      </c>
      <c r="K814">
        <v>68</v>
      </c>
      <c r="L814">
        <v>26.4</v>
      </c>
      <c r="M814">
        <v>11.5</v>
      </c>
      <c r="N814">
        <v>6.9014697562007593E-2</v>
      </c>
      <c r="O814">
        <v>0.251478265733585</v>
      </c>
    </row>
    <row r="815" spans="1:15" x14ac:dyDescent="0.3">
      <c r="A815">
        <v>3638</v>
      </c>
      <c r="B815">
        <v>2315</v>
      </c>
      <c r="C815">
        <v>20</v>
      </c>
      <c r="D815" t="s">
        <v>23</v>
      </c>
      <c r="E815" t="s">
        <v>16</v>
      </c>
      <c r="F815" t="s">
        <v>21</v>
      </c>
      <c r="G815" t="s">
        <v>24</v>
      </c>
      <c r="H815">
        <v>282.7</v>
      </c>
      <c r="I815">
        <v>260</v>
      </c>
      <c r="J815">
        <v>103.8</v>
      </c>
      <c r="K815">
        <v>68</v>
      </c>
      <c r="L815">
        <v>26.4</v>
      </c>
      <c r="M815">
        <v>11.5</v>
      </c>
      <c r="N815">
        <v>6.57411418164702E-2</v>
      </c>
      <c r="O815">
        <v>0.25045441715982703</v>
      </c>
    </row>
    <row r="816" spans="1:15" x14ac:dyDescent="0.3">
      <c r="A816">
        <v>3639</v>
      </c>
      <c r="B816">
        <v>2315</v>
      </c>
      <c r="C816">
        <v>20</v>
      </c>
      <c r="D816" t="s">
        <v>23</v>
      </c>
      <c r="E816" t="s">
        <v>16</v>
      </c>
      <c r="F816" t="s">
        <v>21</v>
      </c>
      <c r="G816" t="s">
        <v>24</v>
      </c>
      <c r="H816">
        <v>282.7</v>
      </c>
      <c r="I816">
        <v>260</v>
      </c>
      <c r="J816">
        <v>103.8</v>
      </c>
      <c r="K816">
        <v>68</v>
      </c>
      <c r="L816">
        <v>26.4</v>
      </c>
      <c r="M816">
        <v>11.5</v>
      </c>
      <c r="N816">
        <v>0.102707597029891</v>
      </c>
      <c r="O816">
        <v>0.28228378492412098</v>
      </c>
    </row>
    <row r="817" spans="1:15" x14ac:dyDescent="0.3">
      <c r="A817">
        <v>3640</v>
      </c>
      <c r="B817">
        <v>2316</v>
      </c>
      <c r="C817">
        <v>6</v>
      </c>
      <c r="D817" t="s">
        <v>15</v>
      </c>
      <c r="E817" t="s">
        <v>20</v>
      </c>
      <c r="F817" t="s">
        <v>17</v>
      </c>
      <c r="G817" t="s">
        <v>22</v>
      </c>
      <c r="H817">
        <v>275.5</v>
      </c>
      <c r="I817">
        <v>250.5</v>
      </c>
      <c r="J817">
        <v>94.7</v>
      </c>
      <c r="K817">
        <v>66.5</v>
      </c>
      <c r="L817">
        <v>25.3</v>
      </c>
      <c r="M817">
        <v>7.5</v>
      </c>
      <c r="N817">
        <v>0.14485936631753099</v>
      </c>
      <c r="O817">
        <v>1.8753456255741499E-2</v>
      </c>
    </row>
    <row r="818" spans="1:15" x14ac:dyDescent="0.3">
      <c r="A818">
        <v>3641</v>
      </c>
      <c r="B818">
        <v>2316</v>
      </c>
      <c r="C818">
        <v>6</v>
      </c>
      <c r="D818" t="s">
        <v>15</v>
      </c>
      <c r="E818" t="s">
        <v>20</v>
      </c>
      <c r="F818" t="s">
        <v>17</v>
      </c>
      <c r="G818" t="s">
        <v>22</v>
      </c>
      <c r="H818">
        <v>275.5</v>
      </c>
      <c r="I818">
        <v>250.5</v>
      </c>
      <c r="J818">
        <v>94.7</v>
      </c>
      <c r="K818">
        <v>66.5</v>
      </c>
      <c r="L818">
        <v>25.3</v>
      </c>
      <c r="M818">
        <v>7.5</v>
      </c>
      <c r="N818">
        <v>0.118064975783924</v>
      </c>
      <c r="O818">
        <v>2.0451124268946599E-2</v>
      </c>
    </row>
    <row r="819" spans="1:15" x14ac:dyDescent="0.3">
      <c r="A819">
        <v>3642</v>
      </c>
      <c r="B819">
        <v>2316</v>
      </c>
      <c r="C819">
        <v>6</v>
      </c>
      <c r="D819" t="s">
        <v>15</v>
      </c>
      <c r="E819" t="s">
        <v>20</v>
      </c>
      <c r="F819" t="s">
        <v>17</v>
      </c>
      <c r="G819" t="s">
        <v>22</v>
      </c>
      <c r="H819">
        <v>275.5</v>
      </c>
      <c r="I819">
        <v>250.5</v>
      </c>
      <c r="J819">
        <v>94.7</v>
      </c>
      <c r="K819">
        <v>66.5</v>
      </c>
      <c r="L819">
        <v>25.3</v>
      </c>
      <c r="M819">
        <v>7.5</v>
      </c>
      <c r="N819">
        <v>0.120909147736074</v>
      </c>
      <c r="O819">
        <v>2.0742911391876E-2</v>
      </c>
    </row>
    <row r="820" spans="1:15" x14ac:dyDescent="0.3">
      <c r="A820">
        <v>3643</v>
      </c>
      <c r="B820">
        <v>2316</v>
      </c>
      <c r="C820">
        <v>6</v>
      </c>
      <c r="D820" t="s">
        <v>15</v>
      </c>
      <c r="E820" t="s">
        <v>20</v>
      </c>
      <c r="F820" t="s">
        <v>17</v>
      </c>
      <c r="G820" t="s">
        <v>22</v>
      </c>
      <c r="H820">
        <v>275.5</v>
      </c>
      <c r="I820">
        <v>250.5</v>
      </c>
      <c r="J820">
        <v>94.7</v>
      </c>
      <c r="K820">
        <v>66.5</v>
      </c>
      <c r="L820">
        <v>25.3</v>
      </c>
      <c r="M820">
        <v>7.5</v>
      </c>
      <c r="N820">
        <v>0.122176881788973</v>
      </c>
      <c r="O820">
        <v>1.1812114122660399E-2</v>
      </c>
    </row>
    <row r="821" spans="1:15" x14ac:dyDescent="0.3">
      <c r="A821">
        <v>3644</v>
      </c>
      <c r="B821">
        <v>2318</v>
      </c>
      <c r="C821">
        <v>310</v>
      </c>
      <c r="D821" t="s">
        <v>19</v>
      </c>
      <c r="E821" t="s">
        <v>20</v>
      </c>
      <c r="F821" t="s">
        <v>21</v>
      </c>
      <c r="G821" t="s">
        <v>25</v>
      </c>
      <c r="H821">
        <v>273.60000000000002</v>
      </c>
      <c r="I821">
        <v>255</v>
      </c>
      <c r="J821">
        <v>95.2</v>
      </c>
      <c r="K821">
        <v>63.5</v>
      </c>
      <c r="L821">
        <v>27</v>
      </c>
      <c r="M821">
        <v>11.5</v>
      </c>
      <c r="N821">
        <v>4.5573182009900799E-2</v>
      </c>
      <c r="O821">
        <v>0.103675542126328</v>
      </c>
    </row>
    <row r="822" spans="1:15" x14ac:dyDescent="0.3">
      <c r="A822">
        <v>3645</v>
      </c>
      <c r="B822">
        <v>2318</v>
      </c>
      <c r="C822">
        <v>310</v>
      </c>
      <c r="D822" t="s">
        <v>19</v>
      </c>
      <c r="E822" t="s">
        <v>20</v>
      </c>
      <c r="F822" t="s">
        <v>21</v>
      </c>
      <c r="G822" t="s">
        <v>25</v>
      </c>
      <c r="H822">
        <v>273.60000000000002</v>
      </c>
      <c r="I822">
        <v>255</v>
      </c>
      <c r="J822">
        <v>95.2</v>
      </c>
      <c r="K822">
        <v>63.5</v>
      </c>
      <c r="L822">
        <v>27</v>
      </c>
      <c r="M822">
        <v>11.5</v>
      </c>
      <c r="N822">
        <v>6.4182154160994001E-2</v>
      </c>
      <c r="O822">
        <v>0.105503710225783</v>
      </c>
    </row>
    <row r="823" spans="1:15" x14ac:dyDescent="0.3">
      <c r="A823">
        <v>3646</v>
      </c>
      <c r="B823">
        <v>2318</v>
      </c>
      <c r="C823">
        <v>310</v>
      </c>
      <c r="D823" t="s">
        <v>19</v>
      </c>
      <c r="E823" t="s">
        <v>20</v>
      </c>
      <c r="F823" t="s">
        <v>21</v>
      </c>
      <c r="G823" t="s">
        <v>25</v>
      </c>
      <c r="H823">
        <v>273.60000000000002</v>
      </c>
      <c r="I823">
        <v>255</v>
      </c>
      <c r="J823">
        <v>95.2</v>
      </c>
      <c r="K823">
        <v>63.5</v>
      </c>
      <c r="L823">
        <v>27</v>
      </c>
      <c r="M823">
        <v>11.5</v>
      </c>
      <c r="N823">
        <v>5.71427764409769E-2</v>
      </c>
      <c r="O823">
        <v>0.132223514554516</v>
      </c>
    </row>
    <row r="824" spans="1:15" x14ac:dyDescent="0.3">
      <c r="A824">
        <v>3661</v>
      </c>
      <c r="B824">
        <v>2325</v>
      </c>
      <c r="C824">
        <v>179</v>
      </c>
      <c r="D824" t="s">
        <v>19</v>
      </c>
      <c r="E824" t="s">
        <v>16</v>
      </c>
      <c r="F824" t="s">
        <v>17</v>
      </c>
      <c r="G824" t="s">
        <v>26</v>
      </c>
      <c r="H824">
        <v>276</v>
      </c>
      <c r="I824">
        <v>241.5</v>
      </c>
      <c r="J824">
        <v>96.5</v>
      </c>
      <c r="K824">
        <v>66.5</v>
      </c>
      <c r="L824">
        <v>25.1</v>
      </c>
      <c r="M824">
        <v>9.5</v>
      </c>
      <c r="N824">
        <v>9.4644460121644902E-2</v>
      </c>
      <c r="O824">
        <v>0.13538098644334101</v>
      </c>
    </row>
    <row r="825" spans="1:15" x14ac:dyDescent="0.3">
      <c r="A825">
        <v>3683</v>
      </c>
      <c r="B825">
        <v>2332</v>
      </c>
      <c r="C825">
        <v>17</v>
      </c>
      <c r="D825" t="s">
        <v>15</v>
      </c>
      <c r="E825" t="s">
        <v>16</v>
      </c>
      <c r="F825" t="s">
        <v>17</v>
      </c>
      <c r="G825" t="s">
        <v>18</v>
      </c>
      <c r="H825">
        <v>270.2</v>
      </c>
      <c r="I825">
        <v>242.5</v>
      </c>
      <c r="J825">
        <v>93.9</v>
      </c>
      <c r="K825">
        <v>65.5</v>
      </c>
      <c r="L825">
        <v>25.2</v>
      </c>
      <c r="M825">
        <v>5</v>
      </c>
      <c r="N825">
        <v>0.24643064134517001</v>
      </c>
      <c r="O825">
        <v>1.43430196960255E-2</v>
      </c>
    </row>
    <row r="826" spans="1:15" x14ac:dyDescent="0.3">
      <c r="A826">
        <v>3687</v>
      </c>
      <c r="B826">
        <v>2335</v>
      </c>
      <c r="C826">
        <v>197</v>
      </c>
      <c r="D826" t="s">
        <v>19</v>
      </c>
      <c r="E826" t="s">
        <v>20</v>
      </c>
      <c r="F826" t="s">
        <v>17</v>
      </c>
      <c r="G826" t="s">
        <v>25</v>
      </c>
      <c r="H826">
        <v>280.10000000000002</v>
      </c>
      <c r="I826">
        <v>249.5</v>
      </c>
      <c r="J826">
        <v>95.8</v>
      </c>
      <c r="K826">
        <v>69.5</v>
      </c>
      <c r="L826">
        <v>26.6</v>
      </c>
      <c r="M826">
        <v>6.5</v>
      </c>
      <c r="N826">
        <v>0.16824742374677301</v>
      </c>
      <c r="O826">
        <v>2.9619710065565099E-2</v>
      </c>
    </row>
    <row r="827" spans="1:15" x14ac:dyDescent="0.3">
      <c r="A827">
        <v>3688</v>
      </c>
      <c r="B827">
        <v>2335</v>
      </c>
      <c r="C827">
        <v>197</v>
      </c>
      <c r="D827" t="s">
        <v>19</v>
      </c>
      <c r="E827" t="s">
        <v>20</v>
      </c>
      <c r="F827" t="s">
        <v>17</v>
      </c>
      <c r="G827" t="s">
        <v>25</v>
      </c>
      <c r="H827">
        <v>280.10000000000002</v>
      </c>
      <c r="I827">
        <v>249.5</v>
      </c>
      <c r="J827">
        <v>95.8</v>
      </c>
      <c r="K827">
        <v>69.5</v>
      </c>
      <c r="L827">
        <v>26.6</v>
      </c>
      <c r="M827">
        <v>6.5</v>
      </c>
      <c r="N827">
        <v>0.18329609164195099</v>
      </c>
      <c r="O827">
        <v>1.8662877372717102E-2</v>
      </c>
    </row>
    <row r="828" spans="1:15" x14ac:dyDescent="0.3">
      <c r="A828">
        <v>3689</v>
      </c>
      <c r="B828">
        <v>2335</v>
      </c>
      <c r="C828">
        <v>197</v>
      </c>
      <c r="D828" t="s">
        <v>19</v>
      </c>
      <c r="E828" t="s">
        <v>20</v>
      </c>
      <c r="F828" t="s">
        <v>17</v>
      </c>
      <c r="G828" t="s">
        <v>25</v>
      </c>
      <c r="H828">
        <v>280.10000000000002</v>
      </c>
      <c r="I828">
        <v>249.5</v>
      </c>
      <c r="J828">
        <v>95.8</v>
      </c>
      <c r="K828">
        <v>69.5</v>
      </c>
      <c r="L828">
        <v>26.6</v>
      </c>
      <c r="M828">
        <v>6.5</v>
      </c>
      <c r="N828">
        <v>0.182267150622344</v>
      </c>
      <c r="O828">
        <v>4.0306861170957102E-2</v>
      </c>
    </row>
    <row r="829" spans="1:15" x14ac:dyDescent="0.3">
      <c r="A829">
        <v>3690</v>
      </c>
      <c r="B829">
        <v>2335</v>
      </c>
      <c r="C829">
        <v>197</v>
      </c>
      <c r="D829" t="s">
        <v>19</v>
      </c>
      <c r="E829" t="s">
        <v>20</v>
      </c>
      <c r="F829" t="s">
        <v>17</v>
      </c>
      <c r="G829" t="s">
        <v>25</v>
      </c>
      <c r="H829">
        <v>280.10000000000002</v>
      </c>
      <c r="I829">
        <v>249.5</v>
      </c>
      <c r="J829">
        <v>95.8</v>
      </c>
      <c r="K829">
        <v>69.5</v>
      </c>
      <c r="L829">
        <v>26.6</v>
      </c>
      <c r="M829">
        <v>6.5</v>
      </c>
      <c r="N829">
        <v>0.19552080098539501</v>
      </c>
      <c r="O829">
        <v>4.3465642045370699E-2</v>
      </c>
    </row>
    <row r="830" spans="1:15" x14ac:dyDescent="0.3">
      <c r="A830">
        <v>3691</v>
      </c>
      <c r="B830">
        <v>2335</v>
      </c>
      <c r="C830">
        <v>197</v>
      </c>
      <c r="D830" t="s">
        <v>19</v>
      </c>
      <c r="E830" t="s">
        <v>20</v>
      </c>
      <c r="F830" t="s">
        <v>17</v>
      </c>
      <c r="G830" t="s">
        <v>25</v>
      </c>
      <c r="H830">
        <v>280.10000000000002</v>
      </c>
      <c r="I830">
        <v>249.5</v>
      </c>
      <c r="J830">
        <v>95.8</v>
      </c>
      <c r="K830">
        <v>69.5</v>
      </c>
      <c r="L830">
        <v>26.6</v>
      </c>
      <c r="M830">
        <v>6.5</v>
      </c>
      <c r="N830">
        <v>0.16582246599363001</v>
      </c>
      <c r="O830">
        <v>4.7371150240346202E-2</v>
      </c>
    </row>
    <row r="831" spans="1:15" x14ac:dyDescent="0.3">
      <c r="A831">
        <v>3693</v>
      </c>
      <c r="B831">
        <v>2337</v>
      </c>
      <c r="C831">
        <v>102</v>
      </c>
      <c r="D831" t="s">
        <v>19</v>
      </c>
      <c r="E831" t="s">
        <v>20</v>
      </c>
      <c r="F831" t="s">
        <v>17</v>
      </c>
      <c r="G831" t="s">
        <v>22</v>
      </c>
      <c r="H831">
        <v>273.60000000000002</v>
      </c>
      <c r="I831">
        <v>246</v>
      </c>
      <c r="J831">
        <v>93.6</v>
      </c>
      <c r="K831">
        <v>64.5</v>
      </c>
      <c r="L831">
        <v>25.6</v>
      </c>
      <c r="M831">
        <v>1.5</v>
      </c>
      <c r="N831">
        <v>0.15564391375049599</v>
      </c>
      <c r="O831">
        <v>0.19805332471148601</v>
      </c>
    </row>
    <row r="832" spans="1:15" x14ac:dyDescent="0.3">
      <c r="A832">
        <v>3727</v>
      </c>
      <c r="B832">
        <v>2352</v>
      </c>
      <c r="C832">
        <v>301</v>
      </c>
      <c r="D832" t="s">
        <v>15</v>
      </c>
      <c r="E832" t="s">
        <v>20</v>
      </c>
      <c r="F832" t="s">
        <v>17</v>
      </c>
      <c r="G832" t="s">
        <v>18</v>
      </c>
      <c r="H832">
        <v>275.5</v>
      </c>
      <c r="I832">
        <v>250</v>
      </c>
      <c r="J832">
        <v>94.4</v>
      </c>
      <c r="K832">
        <v>68.5</v>
      </c>
      <c r="L832">
        <v>22.1</v>
      </c>
      <c r="M832">
        <v>6</v>
      </c>
      <c r="N832">
        <v>0.219566254701207</v>
      </c>
      <c r="O832">
        <v>3.1348169518382499E-2</v>
      </c>
    </row>
    <row r="833" spans="1:15" x14ac:dyDescent="0.3">
      <c r="A833">
        <v>3728</v>
      </c>
      <c r="B833">
        <v>2352</v>
      </c>
      <c r="C833">
        <v>301</v>
      </c>
      <c r="D833" t="s">
        <v>15</v>
      </c>
      <c r="E833" t="s">
        <v>20</v>
      </c>
      <c r="F833" t="s">
        <v>17</v>
      </c>
      <c r="G833" t="s">
        <v>18</v>
      </c>
      <c r="H833">
        <v>275.5</v>
      </c>
      <c r="I833">
        <v>250</v>
      </c>
      <c r="J833">
        <v>94.4</v>
      </c>
      <c r="K833">
        <v>68.5</v>
      </c>
      <c r="L833">
        <v>22.1</v>
      </c>
      <c r="M833">
        <v>6</v>
      </c>
      <c r="N833">
        <v>0.22043677139982301</v>
      </c>
      <c r="O833">
        <v>1.14664660475785E-2</v>
      </c>
    </row>
    <row r="834" spans="1:15" x14ac:dyDescent="0.3">
      <c r="A834">
        <v>3729</v>
      </c>
      <c r="B834">
        <v>2352</v>
      </c>
      <c r="C834">
        <v>301</v>
      </c>
      <c r="D834" t="s">
        <v>15</v>
      </c>
      <c r="E834" t="s">
        <v>20</v>
      </c>
      <c r="F834" t="s">
        <v>17</v>
      </c>
      <c r="G834" t="s">
        <v>18</v>
      </c>
      <c r="H834">
        <v>275.5</v>
      </c>
      <c r="I834">
        <v>250</v>
      </c>
      <c r="J834">
        <v>94.4</v>
      </c>
      <c r="K834">
        <v>68.5</v>
      </c>
      <c r="L834">
        <v>22.1</v>
      </c>
      <c r="M834">
        <v>6</v>
      </c>
      <c r="N834">
        <v>0.24270437823690499</v>
      </c>
      <c r="O834">
        <v>3.2942587730661402E-2</v>
      </c>
    </row>
    <row r="835" spans="1:15" x14ac:dyDescent="0.3">
      <c r="A835">
        <v>3784</v>
      </c>
      <c r="B835">
        <v>2369</v>
      </c>
      <c r="C835">
        <v>497</v>
      </c>
      <c r="D835" t="s">
        <v>23</v>
      </c>
      <c r="E835" t="s">
        <v>20</v>
      </c>
      <c r="F835" t="s">
        <v>21</v>
      </c>
      <c r="G835" t="s">
        <v>22</v>
      </c>
      <c r="H835">
        <v>269.7</v>
      </c>
      <c r="I835">
        <v>245</v>
      </c>
      <c r="J835">
        <v>94</v>
      </c>
      <c r="K835">
        <v>67</v>
      </c>
      <c r="L835">
        <v>24.2</v>
      </c>
      <c r="M835">
        <v>9</v>
      </c>
      <c r="N835">
        <v>0.215159930067121</v>
      </c>
      <c r="O835">
        <v>0.36136027305357299</v>
      </c>
    </row>
    <row r="836" spans="1:15" x14ac:dyDescent="0.3">
      <c r="A836">
        <v>3785</v>
      </c>
      <c r="B836">
        <v>2369</v>
      </c>
      <c r="C836">
        <v>497</v>
      </c>
      <c r="D836" t="s">
        <v>23</v>
      </c>
      <c r="E836" t="s">
        <v>20</v>
      </c>
      <c r="F836" t="s">
        <v>21</v>
      </c>
      <c r="G836" t="s">
        <v>22</v>
      </c>
      <c r="H836">
        <v>269.7</v>
      </c>
      <c r="I836">
        <v>245</v>
      </c>
      <c r="J836">
        <v>94</v>
      </c>
      <c r="K836">
        <v>67</v>
      </c>
      <c r="L836">
        <v>24.2</v>
      </c>
      <c r="M836">
        <v>9</v>
      </c>
      <c r="N836">
        <v>0.215294731113676</v>
      </c>
      <c r="O836">
        <v>0.37015914376977599</v>
      </c>
    </row>
    <row r="837" spans="1:15" x14ac:dyDescent="0.3">
      <c r="A837">
        <v>3786</v>
      </c>
      <c r="B837">
        <v>2369</v>
      </c>
      <c r="C837">
        <v>497</v>
      </c>
      <c r="D837" t="s">
        <v>23</v>
      </c>
      <c r="E837" t="s">
        <v>20</v>
      </c>
      <c r="F837" t="s">
        <v>21</v>
      </c>
      <c r="G837" t="s">
        <v>22</v>
      </c>
      <c r="H837">
        <v>269.7</v>
      </c>
      <c r="I837">
        <v>245</v>
      </c>
      <c r="J837">
        <v>94</v>
      </c>
      <c r="K837">
        <v>67</v>
      </c>
      <c r="L837">
        <v>24.2</v>
      </c>
      <c r="M837">
        <v>9</v>
      </c>
      <c r="N837">
        <v>0.23257945674736</v>
      </c>
      <c r="O837">
        <v>0.36627541827573901</v>
      </c>
    </row>
    <row r="838" spans="1:15" x14ac:dyDescent="0.3">
      <c r="A838">
        <v>3787</v>
      </c>
      <c r="B838">
        <v>2369</v>
      </c>
      <c r="C838">
        <v>497</v>
      </c>
      <c r="D838" t="s">
        <v>23</v>
      </c>
      <c r="E838" t="s">
        <v>20</v>
      </c>
      <c r="F838" t="s">
        <v>21</v>
      </c>
      <c r="G838" t="s">
        <v>22</v>
      </c>
      <c r="H838">
        <v>269.7</v>
      </c>
      <c r="I838">
        <v>245</v>
      </c>
      <c r="J838">
        <v>94</v>
      </c>
      <c r="K838">
        <v>67</v>
      </c>
      <c r="L838">
        <v>24.2</v>
      </c>
      <c r="M838">
        <v>9</v>
      </c>
      <c r="N838">
        <v>0.205076442777786</v>
      </c>
      <c r="O838">
        <v>0.385656378222413</v>
      </c>
    </row>
    <row r="839" spans="1:15" x14ac:dyDescent="0.3">
      <c r="A839">
        <v>3806</v>
      </c>
      <c r="B839">
        <v>2375</v>
      </c>
      <c r="C839">
        <v>337</v>
      </c>
      <c r="D839" t="s">
        <v>23</v>
      </c>
      <c r="E839" t="s">
        <v>20</v>
      </c>
      <c r="F839" t="s">
        <v>17</v>
      </c>
      <c r="G839" t="s">
        <v>24</v>
      </c>
      <c r="H839">
        <v>279.7</v>
      </c>
      <c r="I839">
        <v>255</v>
      </c>
      <c r="J839">
        <v>95.2</v>
      </c>
      <c r="K839">
        <v>68</v>
      </c>
      <c r="L839">
        <v>25.3</v>
      </c>
      <c r="M839">
        <v>5.5</v>
      </c>
      <c r="N839">
        <v>0.194763816068103</v>
      </c>
      <c r="O839">
        <v>0.34403087229458801</v>
      </c>
    </row>
    <row r="840" spans="1:15" x14ac:dyDescent="0.3">
      <c r="A840">
        <v>3807</v>
      </c>
      <c r="B840">
        <v>2375</v>
      </c>
      <c r="C840">
        <v>337</v>
      </c>
      <c r="D840" t="s">
        <v>23</v>
      </c>
      <c r="E840" t="s">
        <v>20</v>
      </c>
      <c r="F840" t="s">
        <v>17</v>
      </c>
      <c r="G840" t="s">
        <v>24</v>
      </c>
      <c r="H840">
        <v>279.7</v>
      </c>
      <c r="I840">
        <v>255</v>
      </c>
      <c r="J840">
        <v>95.2</v>
      </c>
      <c r="K840">
        <v>68</v>
      </c>
      <c r="L840">
        <v>25.3</v>
      </c>
      <c r="M840">
        <v>5.5</v>
      </c>
      <c r="N840">
        <v>0.227539857434607</v>
      </c>
      <c r="O840">
        <v>0.34565204535951299</v>
      </c>
    </row>
    <row r="841" spans="1:15" x14ac:dyDescent="0.3">
      <c r="A841">
        <v>3808</v>
      </c>
      <c r="B841">
        <v>2375</v>
      </c>
      <c r="C841">
        <v>337</v>
      </c>
      <c r="D841" t="s">
        <v>23</v>
      </c>
      <c r="E841" t="s">
        <v>20</v>
      </c>
      <c r="F841" t="s">
        <v>17</v>
      </c>
      <c r="G841" t="s">
        <v>24</v>
      </c>
      <c r="H841">
        <v>279.7</v>
      </c>
      <c r="I841">
        <v>255</v>
      </c>
      <c r="J841">
        <v>95.2</v>
      </c>
      <c r="K841">
        <v>68</v>
      </c>
      <c r="L841">
        <v>25.3</v>
      </c>
      <c r="M841">
        <v>5.5</v>
      </c>
      <c r="N841">
        <v>0.20771146317345701</v>
      </c>
      <c r="O841">
        <v>0.35352361422087902</v>
      </c>
    </row>
    <row r="842" spans="1:15" x14ac:dyDescent="0.3">
      <c r="A842">
        <v>3809</v>
      </c>
      <c r="B842">
        <v>2377</v>
      </c>
      <c r="C842">
        <v>228</v>
      </c>
      <c r="D842" t="s">
        <v>19</v>
      </c>
      <c r="E842" t="s">
        <v>16</v>
      </c>
      <c r="F842" t="s">
        <v>17</v>
      </c>
      <c r="G842" t="s">
        <v>25</v>
      </c>
      <c r="H842">
        <v>275.39999999999998</v>
      </c>
      <c r="I842">
        <v>249.5</v>
      </c>
      <c r="J842">
        <v>93.4</v>
      </c>
      <c r="K842">
        <v>64</v>
      </c>
      <c r="L842">
        <v>28.4</v>
      </c>
      <c r="M842">
        <v>13</v>
      </c>
      <c r="N842">
        <v>8.6417946957442399E-2</v>
      </c>
      <c r="O842">
        <v>0.14681076214620201</v>
      </c>
    </row>
    <row r="843" spans="1:15" x14ac:dyDescent="0.3">
      <c r="A843">
        <v>3810</v>
      </c>
      <c r="B843">
        <v>2377</v>
      </c>
      <c r="C843">
        <v>228</v>
      </c>
      <c r="D843" t="s">
        <v>19</v>
      </c>
      <c r="E843" t="s">
        <v>16</v>
      </c>
      <c r="F843" t="s">
        <v>17</v>
      </c>
      <c r="G843" t="s">
        <v>25</v>
      </c>
      <c r="H843">
        <v>275.39999999999998</v>
      </c>
      <c r="I843">
        <v>249.5</v>
      </c>
      <c r="J843">
        <v>93.4</v>
      </c>
      <c r="K843">
        <v>64</v>
      </c>
      <c r="L843">
        <v>28.4</v>
      </c>
      <c r="M843">
        <v>13</v>
      </c>
      <c r="N843">
        <v>9.6119383034340602E-2</v>
      </c>
      <c r="O843">
        <v>0.12834859393182199</v>
      </c>
    </row>
    <row r="844" spans="1:15" x14ac:dyDescent="0.3">
      <c r="A844">
        <v>3811</v>
      </c>
      <c r="B844">
        <v>2377</v>
      </c>
      <c r="C844">
        <v>228</v>
      </c>
      <c r="D844" t="s">
        <v>19</v>
      </c>
      <c r="E844" t="s">
        <v>16</v>
      </c>
      <c r="F844" t="s">
        <v>17</v>
      </c>
      <c r="G844" t="s">
        <v>25</v>
      </c>
      <c r="H844">
        <v>275.39999999999998</v>
      </c>
      <c r="I844">
        <v>249.5</v>
      </c>
      <c r="J844">
        <v>93.4</v>
      </c>
      <c r="K844">
        <v>64</v>
      </c>
      <c r="L844">
        <v>28.4</v>
      </c>
      <c r="M844">
        <v>13</v>
      </c>
      <c r="N844">
        <v>9.1451820011318699E-2</v>
      </c>
      <c r="O844">
        <v>0.14163295043915</v>
      </c>
    </row>
    <row r="845" spans="1:15" x14ac:dyDescent="0.3">
      <c r="A845">
        <v>3812</v>
      </c>
      <c r="B845">
        <v>2377</v>
      </c>
      <c r="C845">
        <v>228</v>
      </c>
      <c r="D845" t="s">
        <v>19</v>
      </c>
      <c r="E845" t="s">
        <v>16</v>
      </c>
      <c r="F845" t="s">
        <v>17</v>
      </c>
      <c r="G845" t="s">
        <v>25</v>
      </c>
      <c r="H845">
        <v>275.39999999999998</v>
      </c>
      <c r="I845">
        <v>249.5</v>
      </c>
      <c r="J845">
        <v>93.4</v>
      </c>
      <c r="K845">
        <v>64</v>
      </c>
      <c r="L845">
        <v>28.4</v>
      </c>
      <c r="M845">
        <v>13</v>
      </c>
      <c r="N845">
        <v>7.2790438621489997E-2</v>
      </c>
      <c r="O845">
        <v>0.146741257409817</v>
      </c>
    </row>
    <row r="846" spans="1:15" x14ac:dyDescent="0.3">
      <c r="A846">
        <v>3813</v>
      </c>
      <c r="B846">
        <v>2377</v>
      </c>
      <c r="C846">
        <v>228</v>
      </c>
      <c r="D846" t="s">
        <v>19</v>
      </c>
      <c r="E846" t="s">
        <v>16</v>
      </c>
      <c r="F846" t="s">
        <v>17</v>
      </c>
      <c r="G846" t="s">
        <v>25</v>
      </c>
      <c r="H846">
        <v>275.39999999999998</v>
      </c>
      <c r="I846">
        <v>249.5</v>
      </c>
      <c r="J846">
        <v>93.4</v>
      </c>
      <c r="K846">
        <v>64</v>
      </c>
      <c r="L846">
        <v>28.4</v>
      </c>
      <c r="M846">
        <v>13</v>
      </c>
      <c r="N846">
        <v>6.6157746311926002E-2</v>
      </c>
      <c r="O846">
        <v>0.14680220437316899</v>
      </c>
    </row>
    <row r="847" spans="1:15" x14ac:dyDescent="0.3">
      <c r="A847">
        <v>3821</v>
      </c>
      <c r="B847">
        <v>2382</v>
      </c>
      <c r="C847">
        <v>177</v>
      </c>
      <c r="D847" t="s">
        <v>15</v>
      </c>
      <c r="E847" t="s">
        <v>20</v>
      </c>
      <c r="F847" t="s">
        <v>17</v>
      </c>
      <c r="G847" t="s">
        <v>22</v>
      </c>
      <c r="H847">
        <v>277</v>
      </c>
      <c r="I847">
        <v>242.5</v>
      </c>
      <c r="J847">
        <v>94.7</v>
      </c>
      <c r="K847">
        <v>64.5</v>
      </c>
      <c r="L847">
        <v>26.5</v>
      </c>
      <c r="M847">
        <v>12.5</v>
      </c>
      <c r="N847">
        <v>4.1839740176855697E-2</v>
      </c>
      <c r="O847">
        <v>0.16953361372093301</v>
      </c>
    </row>
    <row r="848" spans="1:15" x14ac:dyDescent="0.3">
      <c r="A848">
        <v>3826</v>
      </c>
      <c r="B848">
        <v>2384</v>
      </c>
      <c r="C848">
        <v>267</v>
      </c>
      <c r="D848" t="s">
        <v>23</v>
      </c>
      <c r="E848" t="s">
        <v>20</v>
      </c>
      <c r="F848" t="s">
        <v>17</v>
      </c>
      <c r="G848" t="s">
        <v>26</v>
      </c>
      <c r="H848">
        <v>275.39999999999998</v>
      </c>
      <c r="I848">
        <v>244.5</v>
      </c>
      <c r="J848">
        <v>95.4</v>
      </c>
      <c r="K848">
        <v>67</v>
      </c>
      <c r="L848">
        <v>22.2</v>
      </c>
      <c r="M848">
        <v>9.5</v>
      </c>
      <c r="N848">
        <v>0.25436061848007102</v>
      </c>
      <c r="O848">
        <v>0.21077677631209901</v>
      </c>
    </row>
    <row r="849" spans="1:15" x14ac:dyDescent="0.3">
      <c r="A849">
        <v>3827</v>
      </c>
      <c r="B849">
        <v>2384</v>
      </c>
      <c r="C849">
        <v>267</v>
      </c>
      <c r="D849" t="s">
        <v>23</v>
      </c>
      <c r="E849" t="s">
        <v>20</v>
      </c>
      <c r="F849" t="s">
        <v>17</v>
      </c>
      <c r="G849" t="s">
        <v>26</v>
      </c>
      <c r="H849">
        <v>275.39999999999998</v>
      </c>
      <c r="I849">
        <v>244.5</v>
      </c>
      <c r="J849">
        <v>95.4</v>
      </c>
      <c r="K849">
        <v>67</v>
      </c>
      <c r="L849">
        <v>22.2</v>
      </c>
      <c r="M849">
        <v>9.5</v>
      </c>
      <c r="N849">
        <v>0.25473543343417498</v>
      </c>
      <c r="O849">
        <v>0.2147043659682</v>
      </c>
    </row>
    <row r="850" spans="1:15" x14ac:dyDescent="0.3">
      <c r="A850">
        <v>3842</v>
      </c>
      <c r="B850">
        <v>2389</v>
      </c>
      <c r="C850">
        <v>6</v>
      </c>
      <c r="D850" t="s">
        <v>15</v>
      </c>
      <c r="E850" t="s">
        <v>20</v>
      </c>
      <c r="F850" t="s">
        <v>17</v>
      </c>
      <c r="G850" t="s">
        <v>18</v>
      </c>
      <c r="H850">
        <v>275.5</v>
      </c>
      <c r="I850">
        <v>250.5</v>
      </c>
      <c r="J850">
        <v>94.7</v>
      </c>
      <c r="K850">
        <v>66.5</v>
      </c>
      <c r="L850">
        <v>25.3</v>
      </c>
      <c r="M850">
        <v>7.5</v>
      </c>
      <c r="N850">
        <v>0.14106179767000901</v>
      </c>
      <c r="O850">
        <v>5.4990677402369896E-3</v>
      </c>
    </row>
    <row r="851" spans="1:15" x14ac:dyDescent="0.3">
      <c r="A851">
        <v>3844</v>
      </c>
      <c r="B851">
        <v>239</v>
      </c>
      <c r="C851">
        <v>249</v>
      </c>
      <c r="D851" t="s">
        <v>19</v>
      </c>
      <c r="E851" t="s">
        <v>16</v>
      </c>
      <c r="F851" t="s">
        <v>21</v>
      </c>
      <c r="G851" t="s">
        <v>22</v>
      </c>
      <c r="H851">
        <v>275.7</v>
      </c>
      <c r="I851">
        <v>254.5</v>
      </c>
      <c r="J851">
        <v>97.9</v>
      </c>
      <c r="K851">
        <v>66</v>
      </c>
      <c r="L851">
        <v>26.3</v>
      </c>
      <c r="M851">
        <v>9</v>
      </c>
      <c r="N851">
        <v>0.22990781801558099</v>
      </c>
      <c r="O851">
        <v>5.7591224617540501E-2</v>
      </c>
    </row>
    <row r="852" spans="1:15" x14ac:dyDescent="0.3">
      <c r="A852">
        <v>3845</v>
      </c>
      <c r="B852">
        <v>239</v>
      </c>
      <c r="C852">
        <v>249</v>
      </c>
      <c r="D852" t="s">
        <v>19</v>
      </c>
      <c r="E852" t="s">
        <v>16</v>
      </c>
      <c r="F852" t="s">
        <v>21</v>
      </c>
      <c r="G852" t="s">
        <v>22</v>
      </c>
      <c r="H852">
        <v>275.7</v>
      </c>
      <c r="I852">
        <v>254.5</v>
      </c>
      <c r="J852">
        <v>97.9</v>
      </c>
      <c r="K852">
        <v>66</v>
      </c>
      <c r="L852">
        <v>26.3</v>
      </c>
      <c r="M852">
        <v>9</v>
      </c>
      <c r="N852">
        <v>0.25037578602620902</v>
      </c>
      <c r="O852">
        <v>4.9156555161516201E-2</v>
      </c>
    </row>
    <row r="853" spans="1:15" x14ac:dyDescent="0.3">
      <c r="A853">
        <v>3846</v>
      </c>
      <c r="B853">
        <v>239</v>
      </c>
      <c r="C853">
        <v>249</v>
      </c>
      <c r="D853" t="s">
        <v>19</v>
      </c>
      <c r="E853" t="s">
        <v>16</v>
      </c>
      <c r="F853" t="s">
        <v>21</v>
      </c>
      <c r="G853" t="s">
        <v>22</v>
      </c>
      <c r="H853">
        <v>275.7</v>
      </c>
      <c r="I853">
        <v>254.5</v>
      </c>
      <c r="J853">
        <v>97.9</v>
      </c>
      <c r="K853">
        <v>66</v>
      </c>
      <c r="L853">
        <v>26.3</v>
      </c>
      <c r="M853">
        <v>9</v>
      </c>
      <c r="N853">
        <v>0.24277258010284899</v>
      </c>
      <c r="O853">
        <v>6.0658826565778597E-2</v>
      </c>
    </row>
    <row r="854" spans="1:15" x14ac:dyDescent="0.3">
      <c r="A854">
        <v>3847</v>
      </c>
      <c r="B854">
        <v>239</v>
      </c>
      <c r="C854">
        <v>249</v>
      </c>
      <c r="D854" t="s">
        <v>19</v>
      </c>
      <c r="E854" t="s">
        <v>16</v>
      </c>
      <c r="F854" t="s">
        <v>21</v>
      </c>
      <c r="G854" t="s">
        <v>22</v>
      </c>
      <c r="H854">
        <v>275.7</v>
      </c>
      <c r="I854">
        <v>254.5</v>
      </c>
      <c r="J854">
        <v>97.9</v>
      </c>
      <c r="K854">
        <v>66</v>
      </c>
      <c r="L854">
        <v>26.3</v>
      </c>
      <c r="M854">
        <v>9</v>
      </c>
      <c r="N854">
        <v>0.241944182680081</v>
      </c>
      <c r="O854">
        <v>3.9490822291545803E-2</v>
      </c>
    </row>
    <row r="855" spans="1:15" x14ac:dyDescent="0.3">
      <c r="A855">
        <v>3848</v>
      </c>
      <c r="B855">
        <v>239</v>
      </c>
      <c r="C855">
        <v>249</v>
      </c>
      <c r="D855" t="s">
        <v>19</v>
      </c>
      <c r="E855" t="s">
        <v>16</v>
      </c>
      <c r="F855" t="s">
        <v>21</v>
      </c>
      <c r="G855" t="s">
        <v>22</v>
      </c>
      <c r="H855">
        <v>275.7</v>
      </c>
      <c r="I855">
        <v>254.5</v>
      </c>
      <c r="J855">
        <v>97.9</v>
      </c>
      <c r="K855">
        <v>66</v>
      </c>
      <c r="L855">
        <v>26.3</v>
      </c>
      <c r="M855">
        <v>9</v>
      </c>
      <c r="N855">
        <v>0.25069470547856199</v>
      </c>
      <c r="O855">
        <v>3.9394728928584699E-2</v>
      </c>
    </row>
    <row r="856" spans="1:15" x14ac:dyDescent="0.3">
      <c r="A856">
        <v>3849</v>
      </c>
      <c r="B856">
        <v>239</v>
      </c>
      <c r="C856">
        <v>249</v>
      </c>
      <c r="D856" t="s">
        <v>19</v>
      </c>
      <c r="E856" t="s">
        <v>16</v>
      </c>
      <c r="F856" t="s">
        <v>21</v>
      </c>
      <c r="G856" t="s">
        <v>22</v>
      </c>
      <c r="H856">
        <v>275.7</v>
      </c>
      <c r="I856">
        <v>254.5</v>
      </c>
      <c r="J856">
        <v>97.9</v>
      </c>
      <c r="K856">
        <v>66</v>
      </c>
      <c r="L856">
        <v>26.3</v>
      </c>
      <c r="M856">
        <v>9</v>
      </c>
      <c r="N856">
        <v>0.24098740141522901</v>
      </c>
      <c r="O856">
        <v>6.51187526865179E-2</v>
      </c>
    </row>
    <row r="857" spans="1:15" x14ac:dyDescent="0.3">
      <c r="A857">
        <v>3855</v>
      </c>
      <c r="B857">
        <v>2392</v>
      </c>
      <c r="C857">
        <v>455</v>
      </c>
      <c r="D857" t="s">
        <v>19</v>
      </c>
      <c r="E857" t="s">
        <v>20</v>
      </c>
      <c r="F857" t="s">
        <v>21</v>
      </c>
      <c r="G857" t="s">
        <v>25</v>
      </c>
      <c r="H857">
        <v>278.5</v>
      </c>
      <c r="I857">
        <v>252.5</v>
      </c>
      <c r="J857">
        <v>92.8</v>
      </c>
      <c r="K857">
        <v>69</v>
      </c>
      <c r="L857">
        <v>25.6</v>
      </c>
      <c r="M857">
        <v>9</v>
      </c>
      <c r="N857">
        <v>0.20014603801682099</v>
      </c>
      <c r="O857">
        <v>5.9594552201848901E-2</v>
      </c>
    </row>
    <row r="858" spans="1:15" x14ac:dyDescent="0.3">
      <c r="A858">
        <v>3856</v>
      </c>
      <c r="B858">
        <v>2392</v>
      </c>
      <c r="C858">
        <v>455</v>
      </c>
      <c r="D858" t="s">
        <v>19</v>
      </c>
      <c r="E858" t="s">
        <v>20</v>
      </c>
      <c r="F858" t="s">
        <v>21</v>
      </c>
      <c r="G858" t="s">
        <v>25</v>
      </c>
      <c r="H858">
        <v>278.5</v>
      </c>
      <c r="I858">
        <v>252.5</v>
      </c>
      <c r="J858">
        <v>92.8</v>
      </c>
      <c r="K858">
        <v>69</v>
      </c>
      <c r="L858">
        <v>25.6</v>
      </c>
      <c r="M858">
        <v>9</v>
      </c>
      <c r="N858">
        <v>0.20758438744478599</v>
      </c>
      <c r="O858">
        <v>3.23952143957707E-2</v>
      </c>
    </row>
    <row r="859" spans="1:15" x14ac:dyDescent="0.3">
      <c r="A859">
        <v>3857</v>
      </c>
      <c r="B859">
        <v>2392</v>
      </c>
      <c r="C859">
        <v>455</v>
      </c>
      <c r="D859" t="s">
        <v>19</v>
      </c>
      <c r="E859" t="s">
        <v>20</v>
      </c>
      <c r="F859" t="s">
        <v>21</v>
      </c>
      <c r="G859" t="s">
        <v>25</v>
      </c>
      <c r="H859">
        <v>278.5</v>
      </c>
      <c r="I859">
        <v>252.5</v>
      </c>
      <c r="J859">
        <v>92.8</v>
      </c>
      <c r="K859">
        <v>69</v>
      </c>
      <c r="L859">
        <v>25.6</v>
      </c>
      <c r="M859">
        <v>9</v>
      </c>
      <c r="N859">
        <v>0.21998279794744099</v>
      </c>
      <c r="O859">
        <v>5.3624305205121903E-2</v>
      </c>
    </row>
    <row r="860" spans="1:15" x14ac:dyDescent="0.3">
      <c r="A860">
        <v>3858</v>
      </c>
      <c r="B860">
        <v>2392</v>
      </c>
      <c r="C860">
        <v>455</v>
      </c>
      <c r="D860" t="s">
        <v>19</v>
      </c>
      <c r="E860" t="s">
        <v>20</v>
      </c>
      <c r="F860" t="s">
        <v>21</v>
      </c>
      <c r="G860" t="s">
        <v>25</v>
      </c>
      <c r="H860">
        <v>278.5</v>
      </c>
      <c r="I860">
        <v>252.5</v>
      </c>
      <c r="J860">
        <v>92.8</v>
      </c>
      <c r="K860">
        <v>69</v>
      </c>
      <c r="L860">
        <v>25.6</v>
      </c>
      <c r="M860">
        <v>9</v>
      </c>
      <c r="N860">
        <v>0.20111228421532201</v>
      </c>
      <c r="O860">
        <v>3.0288741248020199E-2</v>
      </c>
    </row>
    <row r="861" spans="1:15" x14ac:dyDescent="0.3">
      <c r="A861">
        <v>3860</v>
      </c>
      <c r="B861">
        <v>2395</v>
      </c>
      <c r="C861">
        <v>66</v>
      </c>
      <c r="D861" t="s">
        <v>23</v>
      </c>
      <c r="E861" t="s">
        <v>20</v>
      </c>
      <c r="F861" t="s">
        <v>17</v>
      </c>
      <c r="G861" t="s">
        <v>25</v>
      </c>
      <c r="H861">
        <v>276.2</v>
      </c>
      <c r="I861">
        <v>258</v>
      </c>
      <c r="J861">
        <v>95.8</v>
      </c>
      <c r="K861">
        <v>63.5</v>
      </c>
      <c r="L861">
        <v>26.4</v>
      </c>
      <c r="M861">
        <v>7</v>
      </c>
      <c r="N861">
        <v>0.18213203796445901</v>
      </c>
      <c r="O861">
        <v>0.24650798450053801</v>
      </c>
    </row>
    <row r="862" spans="1:15" x14ac:dyDescent="0.3">
      <c r="A862">
        <v>3861</v>
      </c>
      <c r="B862">
        <v>2395</v>
      </c>
      <c r="C862">
        <v>66</v>
      </c>
      <c r="D862" t="s">
        <v>23</v>
      </c>
      <c r="E862" t="s">
        <v>20</v>
      </c>
      <c r="F862" t="s">
        <v>17</v>
      </c>
      <c r="G862" t="s">
        <v>25</v>
      </c>
      <c r="H862">
        <v>276.2</v>
      </c>
      <c r="I862">
        <v>258</v>
      </c>
      <c r="J862">
        <v>95.8</v>
      </c>
      <c r="K862">
        <v>63.5</v>
      </c>
      <c r="L862">
        <v>26.4</v>
      </c>
      <c r="M862">
        <v>7</v>
      </c>
      <c r="N862">
        <v>0.14893467075356101</v>
      </c>
      <c r="O862">
        <v>0.25828616492293799</v>
      </c>
    </row>
    <row r="863" spans="1:15" x14ac:dyDescent="0.3">
      <c r="A863">
        <v>3862</v>
      </c>
      <c r="B863">
        <v>2395</v>
      </c>
      <c r="C863">
        <v>66</v>
      </c>
      <c r="D863" t="s">
        <v>23</v>
      </c>
      <c r="E863" t="s">
        <v>20</v>
      </c>
      <c r="F863" t="s">
        <v>17</v>
      </c>
      <c r="G863" t="s">
        <v>25</v>
      </c>
      <c r="H863">
        <v>276.2</v>
      </c>
      <c r="I863">
        <v>258</v>
      </c>
      <c r="J863">
        <v>95.8</v>
      </c>
      <c r="K863">
        <v>63.5</v>
      </c>
      <c r="L863">
        <v>26.4</v>
      </c>
      <c r="M863">
        <v>7</v>
      </c>
      <c r="N863">
        <v>0.164017499132737</v>
      </c>
      <c r="O863">
        <v>0.269816344097422</v>
      </c>
    </row>
    <row r="864" spans="1:15" x14ac:dyDescent="0.3">
      <c r="A864">
        <v>3863</v>
      </c>
      <c r="B864">
        <v>2395</v>
      </c>
      <c r="C864">
        <v>66</v>
      </c>
      <c r="D864" t="s">
        <v>23</v>
      </c>
      <c r="E864" t="s">
        <v>20</v>
      </c>
      <c r="F864" t="s">
        <v>17</v>
      </c>
      <c r="G864" t="s">
        <v>25</v>
      </c>
      <c r="H864">
        <v>276.2</v>
      </c>
      <c r="I864">
        <v>258</v>
      </c>
      <c r="J864">
        <v>95.8</v>
      </c>
      <c r="K864">
        <v>63.5</v>
      </c>
      <c r="L864">
        <v>26.4</v>
      </c>
      <c r="M864">
        <v>7</v>
      </c>
      <c r="N864">
        <v>0.181496261995053</v>
      </c>
      <c r="O864">
        <v>0.24015621792487599</v>
      </c>
    </row>
    <row r="865" spans="1:15" x14ac:dyDescent="0.3">
      <c r="A865">
        <v>3864</v>
      </c>
      <c r="B865">
        <v>2395</v>
      </c>
      <c r="C865">
        <v>66</v>
      </c>
      <c r="D865" t="s">
        <v>23</v>
      </c>
      <c r="E865" t="s">
        <v>20</v>
      </c>
      <c r="F865" t="s">
        <v>17</v>
      </c>
      <c r="G865" t="s">
        <v>25</v>
      </c>
      <c r="H865">
        <v>276.2</v>
      </c>
      <c r="I865">
        <v>258</v>
      </c>
      <c r="J865">
        <v>95.8</v>
      </c>
      <c r="K865">
        <v>63.5</v>
      </c>
      <c r="L865">
        <v>26.4</v>
      </c>
      <c r="M865">
        <v>7</v>
      </c>
      <c r="N865">
        <v>0.16390176709395299</v>
      </c>
      <c r="O865">
        <v>0.237848742273671</v>
      </c>
    </row>
    <row r="866" spans="1:15" x14ac:dyDescent="0.3">
      <c r="A866">
        <v>3867</v>
      </c>
      <c r="B866">
        <v>2397</v>
      </c>
      <c r="C866">
        <v>232</v>
      </c>
      <c r="D866" t="s">
        <v>19</v>
      </c>
      <c r="E866" t="s">
        <v>16</v>
      </c>
      <c r="F866" t="s">
        <v>17</v>
      </c>
      <c r="G866" t="s">
        <v>18</v>
      </c>
      <c r="H866">
        <v>277.8</v>
      </c>
      <c r="I866">
        <v>249</v>
      </c>
      <c r="J866">
        <v>95.2</v>
      </c>
      <c r="K866">
        <v>67.5</v>
      </c>
      <c r="L866">
        <v>28.4</v>
      </c>
      <c r="M866">
        <v>7.5</v>
      </c>
      <c r="N866">
        <v>0.128433670744935</v>
      </c>
      <c r="O866">
        <v>7.2610138634252294E-2</v>
      </c>
    </row>
    <row r="867" spans="1:15" x14ac:dyDescent="0.3">
      <c r="A867">
        <v>3872</v>
      </c>
      <c r="B867">
        <v>2399</v>
      </c>
      <c r="C867">
        <v>218</v>
      </c>
      <c r="D867" t="s">
        <v>19</v>
      </c>
      <c r="E867" t="s">
        <v>16</v>
      </c>
      <c r="F867" t="s">
        <v>21</v>
      </c>
      <c r="G867" t="s">
        <v>22</v>
      </c>
      <c r="H867">
        <v>274.5</v>
      </c>
      <c r="I867">
        <v>258</v>
      </c>
      <c r="J867">
        <v>101.5</v>
      </c>
      <c r="K867">
        <v>66.5</v>
      </c>
      <c r="L867">
        <v>27.9</v>
      </c>
      <c r="M867">
        <v>10</v>
      </c>
      <c r="N867">
        <v>0.14260865537204101</v>
      </c>
      <c r="O867">
        <v>0.10118295175373999</v>
      </c>
    </row>
    <row r="868" spans="1:15" x14ac:dyDescent="0.3">
      <c r="A868">
        <v>3873</v>
      </c>
      <c r="B868">
        <v>2399</v>
      </c>
      <c r="C868">
        <v>218</v>
      </c>
      <c r="D868" t="s">
        <v>19</v>
      </c>
      <c r="E868" t="s">
        <v>16</v>
      </c>
      <c r="F868" t="s">
        <v>21</v>
      </c>
      <c r="G868" t="s">
        <v>22</v>
      </c>
      <c r="H868">
        <v>274.5</v>
      </c>
      <c r="I868">
        <v>258</v>
      </c>
      <c r="J868">
        <v>101.5</v>
      </c>
      <c r="K868">
        <v>66.5</v>
      </c>
      <c r="L868">
        <v>27.9</v>
      </c>
      <c r="M868">
        <v>10</v>
      </c>
      <c r="N868">
        <v>0.14259382376219301</v>
      </c>
      <c r="O868">
        <v>0.11180341426323299</v>
      </c>
    </row>
    <row r="869" spans="1:15" x14ac:dyDescent="0.3">
      <c r="A869">
        <v>3874</v>
      </c>
      <c r="B869">
        <v>24</v>
      </c>
      <c r="C869">
        <v>226</v>
      </c>
      <c r="D869" t="s">
        <v>23</v>
      </c>
      <c r="E869" t="s">
        <v>20</v>
      </c>
      <c r="F869" t="s">
        <v>17</v>
      </c>
      <c r="G869" t="s">
        <v>18</v>
      </c>
      <c r="H869">
        <v>279.10000000000002</v>
      </c>
      <c r="I869">
        <v>257.5</v>
      </c>
      <c r="J869">
        <v>97.9</v>
      </c>
      <c r="K869">
        <v>68</v>
      </c>
      <c r="L869">
        <v>27.6</v>
      </c>
      <c r="M869">
        <v>2.5</v>
      </c>
      <c r="N869">
        <v>0.15221116534278001</v>
      </c>
      <c r="O869">
        <v>0.22654643578362699</v>
      </c>
    </row>
    <row r="870" spans="1:15" x14ac:dyDescent="0.3">
      <c r="A870">
        <v>3875</v>
      </c>
      <c r="B870">
        <v>24</v>
      </c>
      <c r="C870">
        <v>226</v>
      </c>
      <c r="D870" t="s">
        <v>23</v>
      </c>
      <c r="E870" t="s">
        <v>20</v>
      </c>
      <c r="F870" t="s">
        <v>17</v>
      </c>
      <c r="G870" t="s">
        <v>18</v>
      </c>
      <c r="H870">
        <v>279.10000000000002</v>
      </c>
      <c r="I870">
        <v>257.5</v>
      </c>
      <c r="J870">
        <v>97.9</v>
      </c>
      <c r="K870">
        <v>68</v>
      </c>
      <c r="L870">
        <v>27.6</v>
      </c>
      <c r="M870">
        <v>2.5</v>
      </c>
      <c r="N870">
        <v>0.16204699886617399</v>
      </c>
      <c r="O870">
        <v>0.20095989221270799</v>
      </c>
    </row>
    <row r="871" spans="1:15" x14ac:dyDescent="0.3">
      <c r="A871">
        <v>3876</v>
      </c>
      <c r="B871">
        <v>240</v>
      </c>
      <c r="C871">
        <v>387</v>
      </c>
      <c r="D871" t="s">
        <v>19</v>
      </c>
      <c r="E871" t="s">
        <v>16</v>
      </c>
      <c r="F871" t="s">
        <v>21</v>
      </c>
      <c r="G871" t="s">
        <v>22</v>
      </c>
      <c r="H871">
        <v>275.2</v>
      </c>
      <c r="I871">
        <v>249.5</v>
      </c>
      <c r="J871">
        <v>96.8</v>
      </c>
      <c r="K871">
        <v>66</v>
      </c>
      <c r="L871">
        <v>25.3</v>
      </c>
      <c r="M871">
        <v>8.5</v>
      </c>
      <c r="N871">
        <v>9.3775131443517706E-2</v>
      </c>
      <c r="O871">
        <v>7.0185414685665901E-2</v>
      </c>
    </row>
    <row r="872" spans="1:15" x14ac:dyDescent="0.3">
      <c r="A872">
        <v>3877</v>
      </c>
      <c r="B872">
        <v>240</v>
      </c>
      <c r="C872">
        <v>387</v>
      </c>
      <c r="D872" t="s">
        <v>19</v>
      </c>
      <c r="E872" t="s">
        <v>16</v>
      </c>
      <c r="F872" t="s">
        <v>21</v>
      </c>
      <c r="G872" t="s">
        <v>22</v>
      </c>
      <c r="H872">
        <v>275.2</v>
      </c>
      <c r="I872">
        <v>249.5</v>
      </c>
      <c r="J872">
        <v>96.8</v>
      </c>
      <c r="K872">
        <v>66</v>
      </c>
      <c r="L872">
        <v>25.3</v>
      </c>
      <c r="M872">
        <v>8.5</v>
      </c>
      <c r="N872">
        <v>8.9992491466417093E-2</v>
      </c>
      <c r="O872">
        <v>8.8228095403010798E-2</v>
      </c>
    </row>
    <row r="873" spans="1:15" x14ac:dyDescent="0.3">
      <c r="A873">
        <v>3878</v>
      </c>
      <c r="B873">
        <v>240</v>
      </c>
      <c r="C873">
        <v>387</v>
      </c>
      <c r="D873" t="s">
        <v>19</v>
      </c>
      <c r="E873" t="s">
        <v>16</v>
      </c>
      <c r="F873" t="s">
        <v>21</v>
      </c>
      <c r="G873" t="s">
        <v>22</v>
      </c>
      <c r="H873">
        <v>275.2</v>
      </c>
      <c r="I873">
        <v>249.5</v>
      </c>
      <c r="J873">
        <v>96.8</v>
      </c>
      <c r="K873">
        <v>66</v>
      </c>
      <c r="L873">
        <v>25.3</v>
      </c>
      <c r="M873">
        <v>8.5</v>
      </c>
      <c r="N873">
        <v>7.7246416292699197E-2</v>
      </c>
      <c r="O873">
        <v>7.7886649003597097E-2</v>
      </c>
    </row>
    <row r="874" spans="1:15" x14ac:dyDescent="0.3">
      <c r="A874">
        <v>3882</v>
      </c>
      <c r="B874">
        <v>2403</v>
      </c>
      <c r="C874">
        <v>453</v>
      </c>
      <c r="D874" t="s">
        <v>23</v>
      </c>
      <c r="E874" t="s">
        <v>20</v>
      </c>
      <c r="F874" t="s">
        <v>17</v>
      </c>
      <c r="G874" t="s">
        <v>26</v>
      </c>
      <c r="H874">
        <v>281.60000000000002</v>
      </c>
      <c r="I874">
        <v>255.5</v>
      </c>
      <c r="J874">
        <v>100.4</v>
      </c>
      <c r="K874">
        <v>70</v>
      </c>
      <c r="L874">
        <v>25.7</v>
      </c>
      <c r="M874">
        <v>10</v>
      </c>
      <c r="N874">
        <v>0.14152127110526699</v>
      </c>
      <c r="O874">
        <v>0.38564032848747398</v>
      </c>
    </row>
    <row r="875" spans="1:15" x14ac:dyDescent="0.3">
      <c r="A875">
        <v>3883</v>
      </c>
      <c r="B875">
        <v>2403</v>
      </c>
      <c r="C875">
        <v>453</v>
      </c>
      <c r="D875" t="s">
        <v>23</v>
      </c>
      <c r="E875" t="s">
        <v>20</v>
      </c>
      <c r="F875" t="s">
        <v>17</v>
      </c>
      <c r="G875" t="s">
        <v>26</v>
      </c>
      <c r="H875">
        <v>281.60000000000002</v>
      </c>
      <c r="I875">
        <v>255.5</v>
      </c>
      <c r="J875">
        <v>100.4</v>
      </c>
      <c r="K875">
        <v>70</v>
      </c>
      <c r="L875">
        <v>25.7</v>
      </c>
      <c r="M875">
        <v>10</v>
      </c>
      <c r="N875">
        <v>0.15197167688813701</v>
      </c>
      <c r="O875">
        <v>0.38436157212570898</v>
      </c>
    </row>
    <row r="876" spans="1:15" x14ac:dyDescent="0.3">
      <c r="A876">
        <v>3884</v>
      </c>
      <c r="B876">
        <v>2403</v>
      </c>
      <c r="C876">
        <v>453</v>
      </c>
      <c r="D876" t="s">
        <v>23</v>
      </c>
      <c r="E876" t="s">
        <v>20</v>
      </c>
      <c r="F876" t="s">
        <v>17</v>
      </c>
      <c r="G876" t="s">
        <v>26</v>
      </c>
      <c r="H876">
        <v>281.60000000000002</v>
      </c>
      <c r="I876">
        <v>255.5</v>
      </c>
      <c r="J876">
        <v>100.4</v>
      </c>
      <c r="K876">
        <v>70</v>
      </c>
      <c r="L876">
        <v>25.7</v>
      </c>
      <c r="M876">
        <v>10</v>
      </c>
      <c r="N876">
        <v>0.12151595360491201</v>
      </c>
      <c r="O876">
        <v>0.38592896362982199</v>
      </c>
    </row>
    <row r="877" spans="1:15" x14ac:dyDescent="0.3">
      <c r="A877">
        <v>3885</v>
      </c>
      <c r="B877">
        <v>2403</v>
      </c>
      <c r="C877">
        <v>453</v>
      </c>
      <c r="D877" t="s">
        <v>23</v>
      </c>
      <c r="E877" t="s">
        <v>20</v>
      </c>
      <c r="F877" t="s">
        <v>17</v>
      </c>
      <c r="G877" t="s">
        <v>26</v>
      </c>
      <c r="H877">
        <v>281.60000000000002</v>
      </c>
      <c r="I877">
        <v>255.5</v>
      </c>
      <c r="J877">
        <v>100.4</v>
      </c>
      <c r="K877">
        <v>70</v>
      </c>
      <c r="L877">
        <v>25.7</v>
      </c>
      <c r="M877">
        <v>10</v>
      </c>
      <c r="N877">
        <v>0.15407150824611601</v>
      </c>
      <c r="O877">
        <v>0.39655646584802701</v>
      </c>
    </row>
    <row r="878" spans="1:15" x14ac:dyDescent="0.3">
      <c r="A878">
        <v>3889</v>
      </c>
      <c r="B878">
        <v>2405</v>
      </c>
      <c r="C878">
        <v>395</v>
      </c>
      <c r="D878" t="s">
        <v>23</v>
      </c>
      <c r="E878" t="s">
        <v>20</v>
      </c>
      <c r="F878" t="s">
        <v>21</v>
      </c>
      <c r="G878" t="s">
        <v>18</v>
      </c>
      <c r="H878">
        <v>273.60000000000002</v>
      </c>
      <c r="I878">
        <v>247</v>
      </c>
      <c r="J878">
        <v>94</v>
      </c>
      <c r="K878">
        <v>68</v>
      </c>
      <c r="L878">
        <v>26.7</v>
      </c>
      <c r="M878">
        <v>7.5</v>
      </c>
      <c r="N878">
        <v>0.189540738604145</v>
      </c>
      <c r="O878">
        <v>0.36651993722947401</v>
      </c>
    </row>
    <row r="879" spans="1:15" x14ac:dyDescent="0.3">
      <c r="A879">
        <v>3890</v>
      </c>
      <c r="B879">
        <v>2405</v>
      </c>
      <c r="C879">
        <v>395</v>
      </c>
      <c r="D879" t="s">
        <v>23</v>
      </c>
      <c r="E879" t="s">
        <v>20</v>
      </c>
      <c r="F879" t="s">
        <v>21</v>
      </c>
      <c r="G879" t="s">
        <v>18</v>
      </c>
      <c r="H879">
        <v>273.60000000000002</v>
      </c>
      <c r="I879">
        <v>247</v>
      </c>
      <c r="J879">
        <v>94</v>
      </c>
      <c r="K879">
        <v>68</v>
      </c>
      <c r="L879">
        <v>26.7</v>
      </c>
      <c r="M879">
        <v>7.5</v>
      </c>
      <c r="N879">
        <v>0.17081197310920601</v>
      </c>
      <c r="O879">
        <v>0.34924627157044102</v>
      </c>
    </row>
    <row r="880" spans="1:15" x14ac:dyDescent="0.3">
      <c r="A880">
        <v>3891</v>
      </c>
      <c r="B880">
        <v>2405</v>
      </c>
      <c r="C880">
        <v>395</v>
      </c>
      <c r="D880" t="s">
        <v>23</v>
      </c>
      <c r="E880" t="s">
        <v>20</v>
      </c>
      <c r="F880" t="s">
        <v>21</v>
      </c>
      <c r="G880" t="s">
        <v>18</v>
      </c>
      <c r="H880">
        <v>273.60000000000002</v>
      </c>
      <c r="I880">
        <v>247</v>
      </c>
      <c r="J880">
        <v>94</v>
      </c>
      <c r="K880">
        <v>68</v>
      </c>
      <c r="L880">
        <v>26.7</v>
      </c>
      <c r="M880">
        <v>7.5</v>
      </c>
      <c r="N880">
        <v>0.16166097991269501</v>
      </c>
      <c r="O880">
        <v>0.33712770065427999</v>
      </c>
    </row>
    <row r="881" spans="1:15" x14ac:dyDescent="0.3">
      <c r="A881">
        <v>3897</v>
      </c>
      <c r="B881">
        <v>2407</v>
      </c>
      <c r="C881">
        <v>197</v>
      </c>
      <c r="D881" t="s">
        <v>19</v>
      </c>
      <c r="E881" t="s">
        <v>20</v>
      </c>
      <c r="F881" t="s">
        <v>17</v>
      </c>
      <c r="G881" t="s">
        <v>22</v>
      </c>
      <c r="H881">
        <v>280.10000000000002</v>
      </c>
      <c r="I881">
        <v>249.5</v>
      </c>
      <c r="J881">
        <v>95.8</v>
      </c>
      <c r="K881">
        <v>69.5</v>
      </c>
      <c r="L881">
        <v>26.6</v>
      </c>
      <c r="M881">
        <v>6.5</v>
      </c>
      <c r="N881">
        <v>0.18120836108767299</v>
      </c>
      <c r="O881">
        <v>1.8030313317712401E-2</v>
      </c>
    </row>
    <row r="882" spans="1:15" x14ac:dyDescent="0.3">
      <c r="A882">
        <v>3898</v>
      </c>
      <c r="B882">
        <v>2407</v>
      </c>
      <c r="C882">
        <v>197</v>
      </c>
      <c r="D882" t="s">
        <v>19</v>
      </c>
      <c r="E882" t="s">
        <v>20</v>
      </c>
      <c r="F882" t="s">
        <v>17</v>
      </c>
      <c r="G882" t="s">
        <v>22</v>
      </c>
      <c r="H882">
        <v>280.10000000000002</v>
      </c>
      <c r="I882">
        <v>249.5</v>
      </c>
      <c r="J882">
        <v>95.8</v>
      </c>
      <c r="K882">
        <v>69.5</v>
      </c>
      <c r="L882">
        <v>26.6</v>
      </c>
      <c r="M882">
        <v>6.5</v>
      </c>
      <c r="N882">
        <v>0.166715356315117</v>
      </c>
      <c r="O882">
        <v>2.17755297193175E-2</v>
      </c>
    </row>
    <row r="883" spans="1:15" x14ac:dyDescent="0.3">
      <c r="A883">
        <v>3899</v>
      </c>
      <c r="B883">
        <v>2408</v>
      </c>
      <c r="C883">
        <v>95</v>
      </c>
      <c r="D883" t="s">
        <v>23</v>
      </c>
      <c r="E883" t="s">
        <v>20</v>
      </c>
      <c r="F883" t="s">
        <v>21</v>
      </c>
      <c r="G883" t="s">
        <v>24</v>
      </c>
      <c r="H883">
        <v>276.60000000000002</v>
      </c>
      <c r="I883">
        <v>250.5</v>
      </c>
      <c r="J883">
        <v>100</v>
      </c>
      <c r="K883">
        <v>67</v>
      </c>
      <c r="L883">
        <v>28.2</v>
      </c>
      <c r="M883">
        <v>6.5</v>
      </c>
      <c r="N883">
        <v>0.109595771244483</v>
      </c>
      <c r="O883">
        <v>0.33812882201278699</v>
      </c>
    </row>
    <row r="884" spans="1:15" x14ac:dyDescent="0.3">
      <c r="A884">
        <v>3900</v>
      </c>
      <c r="B884">
        <v>2408</v>
      </c>
      <c r="C884">
        <v>95</v>
      </c>
      <c r="D884" t="s">
        <v>23</v>
      </c>
      <c r="E884" t="s">
        <v>20</v>
      </c>
      <c r="F884" t="s">
        <v>21</v>
      </c>
      <c r="G884" t="s">
        <v>24</v>
      </c>
      <c r="H884">
        <v>276.60000000000002</v>
      </c>
      <c r="I884">
        <v>250.5</v>
      </c>
      <c r="J884">
        <v>100</v>
      </c>
      <c r="K884">
        <v>67</v>
      </c>
      <c r="L884">
        <v>28.2</v>
      </c>
      <c r="M884">
        <v>6.5</v>
      </c>
      <c r="N884">
        <v>9.8383229896982505E-2</v>
      </c>
      <c r="O884">
        <v>0.335627796686368</v>
      </c>
    </row>
    <row r="885" spans="1:15" x14ac:dyDescent="0.3">
      <c r="A885">
        <v>3903</v>
      </c>
      <c r="B885">
        <v>241</v>
      </c>
      <c r="C885">
        <v>466</v>
      </c>
      <c r="D885" t="s">
        <v>23</v>
      </c>
      <c r="E885" t="s">
        <v>20</v>
      </c>
      <c r="F885" t="s">
        <v>17</v>
      </c>
      <c r="G885" t="s">
        <v>24</v>
      </c>
      <c r="H885">
        <v>282.10000000000002</v>
      </c>
      <c r="I885">
        <v>257</v>
      </c>
      <c r="J885">
        <v>100.3</v>
      </c>
      <c r="K885">
        <v>68.5</v>
      </c>
      <c r="L885">
        <v>27.5</v>
      </c>
      <c r="M885">
        <v>11</v>
      </c>
      <c r="N885">
        <v>4.1220059591807801E-2</v>
      </c>
      <c r="O885">
        <v>0.26061608363844502</v>
      </c>
    </row>
    <row r="886" spans="1:15" x14ac:dyDescent="0.3">
      <c r="A886">
        <v>3904</v>
      </c>
      <c r="B886">
        <v>241</v>
      </c>
      <c r="C886">
        <v>466</v>
      </c>
      <c r="D886" t="s">
        <v>23</v>
      </c>
      <c r="E886" t="s">
        <v>20</v>
      </c>
      <c r="F886" t="s">
        <v>17</v>
      </c>
      <c r="G886" t="s">
        <v>24</v>
      </c>
      <c r="H886">
        <v>282.10000000000002</v>
      </c>
      <c r="I886">
        <v>257</v>
      </c>
      <c r="J886">
        <v>100.3</v>
      </c>
      <c r="K886">
        <v>68.5</v>
      </c>
      <c r="L886">
        <v>27.5</v>
      </c>
      <c r="M886">
        <v>11</v>
      </c>
      <c r="N886">
        <v>5.8482316984069201E-2</v>
      </c>
      <c r="O886">
        <v>0.28167884891332501</v>
      </c>
    </row>
    <row r="887" spans="1:15" x14ac:dyDescent="0.3">
      <c r="A887">
        <v>3905</v>
      </c>
      <c r="B887">
        <v>241</v>
      </c>
      <c r="C887">
        <v>466</v>
      </c>
      <c r="D887" t="s">
        <v>23</v>
      </c>
      <c r="E887" t="s">
        <v>20</v>
      </c>
      <c r="F887" t="s">
        <v>17</v>
      </c>
      <c r="G887" t="s">
        <v>24</v>
      </c>
      <c r="H887">
        <v>282.10000000000002</v>
      </c>
      <c r="I887">
        <v>257</v>
      </c>
      <c r="J887">
        <v>100.3</v>
      </c>
      <c r="K887">
        <v>68.5</v>
      </c>
      <c r="L887">
        <v>27.5</v>
      </c>
      <c r="M887">
        <v>11</v>
      </c>
      <c r="N887">
        <v>7.5705227861773597E-2</v>
      </c>
      <c r="O887">
        <v>0.28097258429390298</v>
      </c>
    </row>
    <row r="888" spans="1:15" x14ac:dyDescent="0.3">
      <c r="A888">
        <v>3906</v>
      </c>
      <c r="B888">
        <v>241</v>
      </c>
      <c r="C888">
        <v>466</v>
      </c>
      <c r="D888" t="s">
        <v>23</v>
      </c>
      <c r="E888" t="s">
        <v>20</v>
      </c>
      <c r="F888" t="s">
        <v>17</v>
      </c>
      <c r="G888" t="s">
        <v>24</v>
      </c>
      <c r="H888">
        <v>282.10000000000002</v>
      </c>
      <c r="I888">
        <v>257</v>
      </c>
      <c r="J888">
        <v>100.3</v>
      </c>
      <c r="K888">
        <v>68.5</v>
      </c>
      <c r="L888">
        <v>27.5</v>
      </c>
      <c r="M888">
        <v>11</v>
      </c>
      <c r="N888">
        <v>3.9898333328970602E-2</v>
      </c>
      <c r="O888">
        <v>0.27684014934524498</v>
      </c>
    </row>
    <row r="889" spans="1:15" x14ac:dyDescent="0.3">
      <c r="A889">
        <v>3907</v>
      </c>
      <c r="B889">
        <v>2411</v>
      </c>
      <c r="C889">
        <v>346</v>
      </c>
      <c r="D889" t="s">
        <v>19</v>
      </c>
      <c r="E889" t="s">
        <v>20</v>
      </c>
      <c r="F889" t="s">
        <v>17</v>
      </c>
      <c r="G889" t="s">
        <v>24</v>
      </c>
      <c r="H889">
        <v>271.60000000000002</v>
      </c>
      <c r="I889">
        <v>238</v>
      </c>
      <c r="J889">
        <v>91.3</v>
      </c>
      <c r="K889">
        <v>63</v>
      </c>
      <c r="L889">
        <v>24.7</v>
      </c>
      <c r="M889">
        <v>8</v>
      </c>
      <c r="N889">
        <v>0.18644249695196199</v>
      </c>
      <c r="O889">
        <v>2.21902916924499E-2</v>
      </c>
    </row>
    <row r="890" spans="1:15" x14ac:dyDescent="0.3">
      <c r="A890">
        <v>3908</v>
      </c>
      <c r="B890">
        <v>2411</v>
      </c>
      <c r="C890">
        <v>346</v>
      </c>
      <c r="D890" t="s">
        <v>19</v>
      </c>
      <c r="E890" t="s">
        <v>20</v>
      </c>
      <c r="F890" t="s">
        <v>17</v>
      </c>
      <c r="G890" t="s">
        <v>24</v>
      </c>
      <c r="H890">
        <v>271.60000000000002</v>
      </c>
      <c r="I890">
        <v>238</v>
      </c>
      <c r="J890">
        <v>91.3</v>
      </c>
      <c r="K890">
        <v>63</v>
      </c>
      <c r="L890">
        <v>24.7</v>
      </c>
      <c r="M890">
        <v>8</v>
      </c>
      <c r="N890">
        <v>0.16597216390609101</v>
      </c>
      <c r="O890">
        <v>2.1586490662828001E-2</v>
      </c>
    </row>
    <row r="891" spans="1:15" x14ac:dyDescent="0.3">
      <c r="A891">
        <v>3909</v>
      </c>
      <c r="B891">
        <v>2411</v>
      </c>
      <c r="C891">
        <v>346</v>
      </c>
      <c r="D891" t="s">
        <v>19</v>
      </c>
      <c r="E891" t="s">
        <v>20</v>
      </c>
      <c r="F891" t="s">
        <v>17</v>
      </c>
      <c r="G891" t="s">
        <v>24</v>
      </c>
      <c r="H891">
        <v>271.60000000000002</v>
      </c>
      <c r="I891">
        <v>238</v>
      </c>
      <c r="J891">
        <v>91.3</v>
      </c>
      <c r="K891">
        <v>63</v>
      </c>
      <c r="L891">
        <v>24.7</v>
      </c>
      <c r="M891">
        <v>8</v>
      </c>
      <c r="N891">
        <v>0.15785268094863</v>
      </c>
      <c r="O891">
        <v>1.2867511200313301E-2</v>
      </c>
    </row>
    <row r="892" spans="1:15" x14ac:dyDescent="0.3">
      <c r="A892">
        <v>3923</v>
      </c>
      <c r="B892">
        <v>2419</v>
      </c>
      <c r="C892">
        <v>368</v>
      </c>
      <c r="D892" t="s">
        <v>19</v>
      </c>
      <c r="E892" t="s">
        <v>16</v>
      </c>
      <c r="F892" t="s">
        <v>21</v>
      </c>
      <c r="G892" t="s">
        <v>26</v>
      </c>
      <c r="H892">
        <v>273.3</v>
      </c>
      <c r="I892">
        <v>249</v>
      </c>
      <c r="J892">
        <v>98.9</v>
      </c>
      <c r="K892">
        <v>68.5</v>
      </c>
      <c r="L892">
        <v>23.8</v>
      </c>
      <c r="M892">
        <v>9</v>
      </c>
      <c r="N892">
        <v>0.157925312808571</v>
      </c>
      <c r="O892">
        <v>6.2756498909459807E-2</v>
      </c>
    </row>
    <row r="893" spans="1:15" x14ac:dyDescent="0.3">
      <c r="A893">
        <v>3924</v>
      </c>
      <c r="B893">
        <v>2419</v>
      </c>
      <c r="C893">
        <v>368</v>
      </c>
      <c r="D893" t="s">
        <v>19</v>
      </c>
      <c r="E893" t="s">
        <v>16</v>
      </c>
      <c r="F893" t="s">
        <v>21</v>
      </c>
      <c r="G893" t="s">
        <v>26</v>
      </c>
      <c r="H893">
        <v>273.3</v>
      </c>
      <c r="I893">
        <v>249</v>
      </c>
      <c r="J893">
        <v>98.9</v>
      </c>
      <c r="K893">
        <v>68.5</v>
      </c>
      <c r="L893">
        <v>23.8</v>
      </c>
      <c r="M893">
        <v>9</v>
      </c>
      <c r="N893">
        <v>0.155743538692418</v>
      </c>
      <c r="O893">
        <v>3.9724741377388399E-2</v>
      </c>
    </row>
    <row r="894" spans="1:15" x14ac:dyDescent="0.3">
      <c r="A894">
        <v>3925</v>
      </c>
      <c r="B894">
        <v>2419</v>
      </c>
      <c r="C894">
        <v>368</v>
      </c>
      <c r="D894" t="s">
        <v>19</v>
      </c>
      <c r="E894" t="s">
        <v>16</v>
      </c>
      <c r="F894" t="s">
        <v>21</v>
      </c>
      <c r="G894" t="s">
        <v>26</v>
      </c>
      <c r="H894">
        <v>273.3</v>
      </c>
      <c r="I894">
        <v>249</v>
      </c>
      <c r="J894">
        <v>98.9</v>
      </c>
      <c r="K894">
        <v>68.5</v>
      </c>
      <c r="L894">
        <v>23.8</v>
      </c>
      <c r="M894">
        <v>9</v>
      </c>
      <c r="N894">
        <v>0.14427785218563899</v>
      </c>
      <c r="O894">
        <v>5.4221397304741799E-2</v>
      </c>
    </row>
    <row r="895" spans="1:15" x14ac:dyDescent="0.3">
      <c r="A895">
        <v>3926</v>
      </c>
      <c r="B895">
        <v>242</v>
      </c>
      <c r="C895">
        <v>197</v>
      </c>
      <c r="D895" t="s">
        <v>19</v>
      </c>
      <c r="E895" t="s">
        <v>20</v>
      </c>
      <c r="F895" t="s">
        <v>21</v>
      </c>
      <c r="G895" t="s">
        <v>25</v>
      </c>
      <c r="H895">
        <v>280.10000000000002</v>
      </c>
      <c r="I895">
        <v>249.5</v>
      </c>
      <c r="J895">
        <v>95.8</v>
      </c>
      <c r="K895">
        <v>69.5</v>
      </c>
      <c r="L895">
        <v>26.6</v>
      </c>
      <c r="M895">
        <v>6.5</v>
      </c>
      <c r="N895">
        <v>0.18136615412055099</v>
      </c>
      <c r="O895">
        <v>4.0329427512404703E-2</v>
      </c>
    </row>
    <row r="896" spans="1:15" x14ac:dyDescent="0.3">
      <c r="A896">
        <v>3927</v>
      </c>
      <c r="B896">
        <v>242</v>
      </c>
      <c r="C896">
        <v>197</v>
      </c>
      <c r="D896" t="s">
        <v>19</v>
      </c>
      <c r="E896" t="s">
        <v>20</v>
      </c>
      <c r="F896" t="s">
        <v>21</v>
      </c>
      <c r="G896" t="s">
        <v>25</v>
      </c>
      <c r="H896">
        <v>280.10000000000002</v>
      </c>
      <c r="I896">
        <v>249.5</v>
      </c>
      <c r="J896">
        <v>95.8</v>
      </c>
      <c r="K896">
        <v>69.5</v>
      </c>
      <c r="L896">
        <v>26.6</v>
      </c>
      <c r="M896">
        <v>6.5</v>
      </c>
      <c r="N896">
        <v>0.20699338742428899</v>
      </c>
      <c r="O896">
        <v>1.9246874922695102E-2</v>
      </c>
    </row>
    <row r="897" spans="1:15" x14ac:dyDescent="0.3">
      <c r="A897">
        <v>3928</v>
      </c>
      <c r="B897">
        <v>242</v>
      </c>
      <c r="C897">
        <v>197</v>
      </c>
      <c r="D897" t="s">
        <v>19</v>
      </c>
      <c r="E897" t="s">
        <v>20</v>
      </c>
      <c r="F897" t="s">
        <v>21</v>
      </c>
      <c r="G897" t="s">
        <v>25</v>
      </c>
      <c r="H897">
        <v>280.10000000000002</v>
      </c>
      <c r="I897">
        <v>249.5</v>
      </c>
      <c r="J897">
        <v>95.8</v>
      </c>
      <c r="K897">
        <v>69.5</v>
      </c>
      <c r="L897">
        <v>26.6</v>
      </c>
      <c r="M897">
        <v>6.5</v>
      </c>
      <c r="N897">
        <v>0.200297600828959</v>
      </c>
      <c r="O897">
        <v>5.4602409334105199E-2</v>
      </c>
    </row>
    <row r="898" spans="1:15" x14ac:dyDescent="0.3">
      <c r="A898">
        <v>3930</v>
      </c>
      <c r="B898">
        <v>2421</v>
      </c>
      <c r="C898">
        <v>32</v>
      </c>
      <c r="D898" t="s">
        <v>19</v>
      </c>
      <c r="E898" t="s">
        <v>20</v>
      </c>
      <c r="F898" t="s">
        <v>21</v>
      </c>
      <c r="G898" t="s">
        <v>25</v>
      </c>
      <c r="H898">
        <v>274.8</v>
      </c>
      <c r="I898">
        <v>261</v>
      </c>
      <c r="J898">
        <v>101</v>
      </c>
      <c r="K898">
        <v>66</v>
      </c>
      <c r="L898">
        <v>24.4</v>
      </c>
      <c r="M898">
        <v>8.5</v>
      </c>
      <c r="N898">
        <v>0.143023931171741</v>
      </c>
      <c r="O898">
        <v>0.14064766418376401</v>
      </c>
    </row>
    <row r="899" spans="1:15" x14ac:dyDescent="0.3">
      <c r="A899">
        <v>3931</v>
      </c>
      <c r="B899">
        <v>2421</v>
      </c>
      <c r="C899">
        <v>32</v>
      </c>
      <c r="D899" t="s">
        <v>19</v>
      </c>
      <c r="E899" t="s">
        <v>20</v>
      </c>
      <c r="F899" t="s">
        <v>21</v>
      </c>
      <c r="G899" t="s">
        <v>25</v>
      </c>
      <c r="H899">
        <v>274.8</v>
      </c>
      <c r="I899">
        <v>261</v>
      </c>
      <c r="J899">
        <v>101</v>
      </c>
      <c r="K899">
        <v>66</v>
      </c>
      <c r="L899">
        <v>24.4</v>
      </c>
      <c r="M899">
        <v>8.5</v>
      </c>
      <c r="N899">
        <v>0.115718724810152</v>
      </c>
      <c r="O899">
        <v>0.165699533212293</v>
      </c>
    </row>
    <row r="900" spans="1:15" x14ac:dyDescent="0.3">
      <c r="A900">
        <v>3932</v>
      </c>
      <c r="B900">
        <v>2421</v>
      </c>
      <c r="C900">
        <v>32</v>
      </c>
      <c r="D900" t="s">
        <v>19</v>
      </c>
      <c r="E900" t="s">
        <v>20</v>
      </c>
      <c r="F900" t="s">
        <v>21</v>
      </c>
      <c r="G900" t="s">
        <v>25</v>
      </c>
      <c r="H900">
        <v>274.8</v>
      </c>
      <c r="I900">
        <v>261</v>
      </c>
      <c r="J900">
        <v>101</v>
      </c>
      <c r="K900">
        <v>66</v>
      </c>
      <c r="L900">
        <v>24.4</v>
      </c>
      <c r="M900">
        <v>8.5</v>
      </c>
      <c r="N900">
        <v>0.143904160156269</v>
      </c>
      <c r="O900">
        <v>0.130580146306704</v>
      </c>
    </row>
    <row r="901" spans="1:15" x14ac:dyDescent="0.3">
      <c r="A901">
        <v>3933</v>
      </c>
      <c r="B901">
        <v>2422</v>
      </c>
      <c r="C901">
        <v>256</v>
      </c>
      <c r="D901" t="s">
        <v>23</v>
      </c>
      <c r="E901" t="s">
        <v>16</v>
      </c>
      <c r="F901" t="s">
        <v>17</v>
      </c>
      <c r="G901" t="s">
        <v>25</v>
      </c>
      <c r="H901">
        <v>276.89999999999998</v>
      </c>
      <c r="I901">
        <v>246</v>
      </c>
      <c r="J901">
        <v>94.3</v>
      </c>
      <c r="K901">
        <v>65.5</v>
      </c>
      <c r="L901">
        <v>25.1</v>
      </c>
      <c r="M901">
        <v>6</v>
      </c>
      <c r="N901">
        <v>0.21761638542954501</v>
      </c>
      <c r="O901">
        <v>0.40604907053016598</v>
      </c>
    </row>
    <row r="902" spans="1:15" x14ac:dyDescent="0.3">
      <c r="A902">
        <v>3949</v>
      </c>
      <c r="B902">
        <v>2430</v>
      </c>
      <c r="C902">
        <v>320</v>
      </c>
      <c r="D902" t="s">
        <v>19</v>
      </c>
      <c r="E902" t="s">
        <v>20</v>
      </c>
      <c r="F902" t="s">
        <v>21</v>
      </c>
      <c r="G902" t="s">
        <v>18</v>
      </c>
      <c r="H902">
        <v>279</v>
      </c>
      <c r="I902">
        <v>253.5</v>
      </c>
      <c r="J902">
        <v>97.1</v>
      </c>
      <c r="K902">
        <v>64</v>
      </c>
      <c r="L902">
        <v>24</v>
      </c>
      <c r="M902">
        <v>8</v>
      </c>
      <c r="N902">
        <v>0.16365730340699899</v>
      </c>
      <c r="O902">
        <v>3.5731792896923201E-2</v>
      </c>
    </row>
    <row r="903" spans="1:15" x14ac:dyDescent="0.3">
      <c r="A903">
        <v>3959</v>
      </c>
      <c r="B903">
        <v>2435</v>
      </c>
      <c r="C903">
        <v>345</v>
      </c>
      <c r="D903" t="s">
        <v>19</v>
      </c>
      <c r="E903" t="s">
        <v>20</v>
      </c>
      <c r="F903" t="s">
        <v>21</v>
      </c>
      <c r="G903" t="s">
        <v>22</v>
      </c>
      <c r="H903">
        <v>277.60000000000002</v>
      </c>
      <c r="I903">
        <v>252.5</v>
      </c>
      <c r="J903">
        <v>98.4</v>
      </c>
      <c r="K903">
        <v>67.5</v>
      </c>
      <c r="L903">
        <v>25.8</v>
      </c>
      <c r="M903">
        <v>13.5</v>
      </c>
      <c r="N903">
        <v>0.13379880402348901</v>
      </c>
      <c r="O903">
        <v>9.2010783005415903E-2</v>
      </c>
    </row>
    <row r="904" spans="1:15" x14ac:dyDescent="0.3">
      <c r="A904">
        <v>3960</v>
      </c>
      <c r="B904">
        <v>2435</v>
      </c>
      <c r="C904">
        <v>345</v>
      </c>
      <c r="D904" t="s">
        <v>19</v>
      </c>
      <c r="E904" t="s">
        <v>20</v>
      </c>
      <c r="F904" t="s">
        <v>21</v>
      </c>
      <c r="G904" t="s">
        <v>22</v>
      </c>
      <c r="H904">
        <v>277.60000000000002</v>
      </c>
      <c r="I904">
        <v>252.5</v>
      </c>
      <c r="J904">
        <v>98.4</v>
      </c>
      <c r="K904">
        <v>67.5</v>
      </c>
      <c r="L904">
        <v>25.8</v>
      </c>
      <c r="M904">
        <v>13.5</v>
      </c>
      <c r="N904">
        <v>0.13684448299621499</v>
      </c>
      <c r="O904">
        <v>9.1565613180539102E-2</v>
      </c>
    </row>
    <row r="905" spans="1:15" x14ac:dyDescent="0.3">
      <c r="A905">
        <v>3961</v>
      </c>
      <c r="B905">
        <v>2435</v>
      </c>
      <c r="C905">
        <v>345</v>
      </c>
      <c r="D905" t="s">
        <v>19</v>
      </c>
      <c r="E905" t="s">
        <v>20</v>
      </c>
      <c r="F905" t="s">
        <v>21</v>
      </c>
      <c r="G905" t="s">
        <v>22</v>
      </c>
      <c r="H905">
        <v>277.60000000000002</v>
      </c>
      <c r="I905">
        <v>252.5</v>
      </c>
      <c r="J905">
        <v>98.4</v>
      </c>
      <c r="K905">
        <v>67.5</v>
      </c>
      <c r="L905">
        <v>25.8</v>
      </c>
      <c r="M905">
        <v>13.5</v>
      </c>
      <c r="N905">
        <v>0.127227227570235</v>
      </c>
      <c r="O905">
        <v>0.106537098848585</v>
      </c>
    </row>
    <row r="906" spans="1:15" x14ac:dyDescent="0.3">
      <c r="A906">
        <v>3962</v>
      </c>
      <c r="B906">
        <v>2435</v>
      </c>
      <c r="C906">
        <v>345</v>
      </c>
      <c r="D906" t="s">
        <v>19</v>
      </c>
      <c r="E906" t="s">
        <v>20</v>
      </c>
      <c r="F906" t="s">
        <v>21</v>
      </c>
      <c r="G906" t="s">
        <v>22</v>
      </c>
      <c r="H906">
        <v>277.60000000000002</v>
      </c>
      <c r="I906">
        <v>252.5</v>
      </c>
      <c r="J906">
        <v>98.4</v>
      </c>
      <c r="K906">
        <v>67.5</v>
      </c>
      <c r="L906">
        <v>25.8</v>
      </c>
      <c r="M906">
        <v>13.5</v>
      </c>
      <c r="N906">
        <v>0.108429321179781</v>
      </c>
      <c r="O906">
        <v>0.12670228043232001</v>
      </c>
    </row>
    <row r="907" spans="1:15" x14ac:dyDescent="0.3">
      <c r="A907">
        <v>3964</v>
      </c>
      <c r="B907">
        <v>2437</v>
      </c>
      <c r="C907">
        <v>203</v>
      </c>
      <c r="D907" t="s">
        <v>19</v>
      </c>
      <c r="E907" t="s">
        <v>20</v>
      </c>
      <c r="F907" t="s">
        <v>17</v>
      </c>
      <c r="G907" t="s">
        <v>22</v>
      </c>
      <c r="H907">
        <v>277.60000000000002</v>
      </c>
      <c r="I907">
        <v>247.5</v>
      </c>
      <c r="J907">
        <v>94</v>
      </c>
      <c r="K907">
        <v>65</v>
      </c>
      <c r="L907">
        <v>24.9</v>
      </c>
      <c r="M907">
        <v>9.5</v>
      </c>
      <c r="N907">
        <v>0.27513804492066501</v>
      </c>
      <c r="O907">
        <v>5.86708388758959E-2</v>
      </c>
    </row>
    <row r="908" spans="1:15" x14ac:dyDescent="0.3">
      <c r="A908">
        <v>3965</v>
      </c>
      <c r="B908">
        <v>2437</v>
      </c>
      <c r="C908">
        <v>203</v>
      </c>
      <c r="D908" t="s">
        <v>19</v>
      </c>
      <c r="E908" t="s">
        <v>20</v>
      </c>
      <c r="F908" t="s">
        <v>17</v>
      </c>
      <c r="G908" t="s">
        <v>22</v>
      </c>
      <c r="H908">
        <v>277.60000000000002</v>
      </c>
      <c r="I908">
        <v>247.5</v>
      </c>
      <c r="J908">
        <v>94</v>
      </c>
      <c r="K908">
        <v>65</v>
      </c>
      <c r="L908">
        <v>24.9</v>
      </c>
      <c r="M908">
        <v>9.5</v>
      </c>
      <c r="N908">
        <v>0.25433142590822999</v>
      </c>
      <c r="O908">
        <v>4.6369574319504801E-2</v>
      </c>
    </row>
    <row r="909" spans="1:15" x14ac:dyDescent="0.3">
      <c r="A909">
        <v>3966</v>
      </c>
      <c r="B909">
        <v>2437</v>
      </c>
      <c r="C909">
        <v>203</v>
      </c>
      <c r="D909" t="s">
        <v>19</v>
      </c>
      <c r="E909" t="s">
        <v>20</v>
      </c>
      <c r="F909" t="s">
        <v>17</v>
      </c>
      <c r="G909" t="s">
        <v>22</v>
      </c>
      <c r="H909">
        <v>277.60000000000002</v>
      </c>
      <c r="I909">
        <v>247.5</v>
      </c>
      <c r="J909">
        <v>94</v>
      </c>
      <c r="K909">
        <v>65</v>
      </c>
      <c r="L909">
        <v>24.9</v>
      </c>
      <c r="M909">
        <v>9.5</v>
      </c>
      <c r="N909">
        <v>0.2654475118581</v>
      </c>
      <c r="O909">
        <v>5.9136820151341599E-2</v>
      </c>
    </row>
    <row r="910" spans="1:15" x14ac:dyDescent="0.3">
      <c r="A910">
        <v>3967</v>
      </c>
      <c r="B910">
        <v>2437</v>
      </c>
      <c r="C910">
        <v>203</v>
      </c>
      <c r="D910" t="s">
        <v>19</v>
      </c>
      <c r="E910" t="s">
        <v>20</v>
      </c>
      <c r="F910" t="s">
        <v>17</v>
      </c>
      <c r="G910" t="s">
        <v>22</v>
      </c>
      <c r="H910">
        <v>277.60000000000002</v>
      </c>
      <c r="I910">
        <v>247.5</v>
      </c>
      <c r="J910">
        <v>94</v>
      </c>
      <c r="K910">
        <v>65</v>
      </c>
      <c r="L910">
        <v>24.9</v>
      </c>
      <c r="M910">
        <v>9.5</v>
      </c>
      <c r="N910">
        <v>0.26932922342682603</v>
      </c>
      <c r="O910">
        <v>3.8434152542687297E-2</v>
      </c>
    </row>
    <row r="911" spans="1:15" x14ac:dyDescent="0.3">
      <c r="A911">
        <v>3968</v>
      </c>
      <c r="B911">
        <v>2437</v>
      </c>
      <c r="C911">
        <v>203</v>
      </c>
      <c r="D911" t="s">
        <v>19</v>
      </c>
      <c r="E911" t="s">
        <v>20</v>
      </c>
      <c r="F911" t="s">
        <v>17</v>
      </c>
      <c r="G911" t="s">
        <v>22</v>
      </c>
      <c r="H911">
        <v>277.60000000000002</v>
      </c>
      <c r="I911">
        <v>247.5</v>
      </c>
      <c r="J911">
        <v>94</v>
      </c>
      <c r="K911">
        <v>65</v>
      </c>
      <c r="L911">
        <v>24.9</v>
      </c>
      <c r="M911">
        <v>9.5</v>
      </c>
      <c r="N911">
        <v>0.27906208089984302</v>
      </c>
      <c r="O911">
        <v>7.1290888071279895E-2</v>
      </c>
    </row>
    <row r="912" spans="1:15" x14ac:dyDescent="0.3">
      <c r="A912">
        <v>3979</v>
      </c>
      <c r="B912">
        <v>2442</v>
      </c>
      <c r="C912">
        <v>443</v>
      </c>
      <c r="D912" t="s">
        <v>19</v>
      </c>
      <c r="E912" t="s">
        <v>20</v>
      </c>
      <c r="F912" t="s">
        <v>21</v>
      </c>
      <c r="G912" t="s">
        <v>26</v>
      </c>
      <c r="H912">
        <v>272.5</v>
      </c>
      <c r="I912">
        <v>239.5</v>
      </c>
      <c r="J912">
        <v>96</v>
      </c>
      <c r="K912">
        <v>64.5</v>
      </c>
      <c r="L912">
        <v>20.399999999999999</v>
      </c>
      <c r="M912">
        <v>10</v>
      </c>
      <c r="N912">
        <v>0.26521947401148999</v>
      </c>
      <c r="O912">
        <v>5.4591911067333E-2</v>
      </c>
    </row>
    <row r="913" spans="1:15" x14ac:dyDescent="0.3">
      <c r="A913">
        <v>3980</v>
      </c>
      <c r="B913">
        <v>2442</v>
      </c>
      <c r="C913">
        <v>443</v>
      </c>
      <c r="D913" t="s">
        <v>19</v>
      </c>
      <c r="E913" t="s">
        <v>20</v>
      </c>
      <c r="F913" t="s">
        <v>21</v>
      </c>
      <c r="G913" t="s">
        <v>26</v>
      </c>
      <c r="H913">
        <v>272.5</v>
      </c>
      <c r="I913">
        <v>239.5</v>
      </c>
      <c r="J913">
        <v>96</v>
      </c>
      <c r="K913">
        <v>64.5</v>
      </c>
      <c r="L913">
        <v>20.399999999999999</v>
      </c>
      <c r="M913">
        <v>10</v>
      </c>
      <c r="N913">
        <v>0.23490423749641101</v>
      </c>
      <c r="O913">
        <v>8.0392956088484901E-2</v>
      </c>
    </row>
    <row r="914" spans="1:15" x14ac:dyDescent="0.3">
      <c r="A914">
        <v>3986</v>
      </c>
      <c r="B914">
        <v>2444</v>
      </c>
      <c r="C914">
        <v>454</v>
      </c>
      <c r="D914" t="s">
        <v>23</v>
      </c>
      <c r="E914" t="s">
        <v>16</v>
      </c>
      <c r="F914" t="s">
        <v>17</v>
      </c>
      <c r="G914" t="s">
        <v>22</v>
      </c>
      <c r="H914">
        <v>272.8</v>
      </c>
      <c r="I914">
        <v>242.5</v>
      </c>
      <c r="J914">
        <v>92.2</v>
      </c>
      <c r="K914">
        <v>67</v>
      </c>
      <c r="L914">
        <v>26.4</v>
      </c>
      <c r="M914">
        <v>6</v>
      </c>
      <c r="N914">
        <v>0.178234091017483</v>
      </c>
      <c r="O914">
        <v>0.33359411245628101</v>
      </c>
    </row>
    <row r="915" spans="1:15" x14ac:dyDescent="0.3">
      <c r="A915">
        <v>3989</v>
      </c>
      <c r="B915">
        <v>2446</v>
      </c>
      <c r="C915">
        <v>6</v>
      </c>
      <c r="D915" t="s">
        <v>15</v>
      </c>
      <c r="E915" t="s">
        <v>20</v>
      </c>
      <c r="F915" t="s">
        <v>17</v>
      </c>
      <c r="G915" t="s">
        <v>22</v>
      </c>
      <c r="H915">
        <v>275.5</v>
      </c>
      <c r="I915">
        <v>250.5</v>
      </c>
      <c r="J915">
        <v>94.7</v>
      </c>
      <c r="K915">
        <v>66.5</v>
      </c>
      <c r="L915">
        <v>25.3</v>
      </c>
      <c r="M915">
        <v>7.5</v>
      </c>
      <c r="N915">
        <v>0.107242426752408</v>
      </c>
      <c r="O915">
        <v>9.3628925077685003E-3</v>
      </c>
    </row>
    <row r="916" spans="1:15" x14ac:dyDescent="0.3">
      <c r="A916">
        <v>3990</v>
      </c>
      <c r="B916">
        <v>2447</v>
      </c>
      <c r="C916">
        <v>26</v>
      </c>
      <c r="D916" t="s">
        <v>23</v>
      </c>
      <c r="E916" t="s">
        <v>20</v>
      </c>
      <c r="F916" t="s">
        <v>17</v>
      </c>
      <c r="G916" t="s">
        <v>18</v>
      </c>
      <c r="H916">
        <v>270.5</v>
      </c>
      <c r="I916">
        <v>243.5</v>
      </c>
      <c r="J916">
        <v>95.9</v>
      </c>
      <c r="K916">
        <v>66</v>
      </c>
      <c r="L916">
        <v>26.9</v>
      </c>
      <c r="M916">
        <v>6</v>
      </c>
      <c r="N916">
        <v>0.19345277274095099</v>
      </c>
      <c r="O916">
        <v>0.37507519672659101</v>
      </c>
    </row>
    <row r="917" spans="1:15" x14ac:dyDescent="0.3">
      <c r="A917">
        <v>3991</v>
      </c>
      <c r="B917">
        <v>2447</v>
      </c>
      <c r="C917">
        <v>26</v>
      </c>
      <c r="D917" t="s">
        <v>23</v>
      </c>
      <c r="E917" t="s">
        <v>20</v>
      </c>
      <c r="F917" t="s">
        <v>17</v>
      </c>
      <c r="G917" t="s">
        <v>18</v>
      </c>
      <c r="H917">
        <v>270.5</v>
      </c>
      <c r="I917">
        <v>243.5</v>
      </c>
      <c r="J917">
        <v>95.9</v>
      </c>
      <c r="K917">
        <v>66</v>
      </c>
      <c r="L917">
        <v>26.9</v>
      </c>
      <c r="M917">
        <v>6</v>
      </c>
      <c r="N917">
        <v>0.16750152046937899</v>
      </c>
      <c r="O917">
        <v>0.39539427432736401</v>
      </c>
    </row>
    <row r="918" spans="1:15" x14ac:dyDescent="0.3">
      <c r="A918">
        <v>3992</v>
      </c>
      <c r="B918">
        <v>2447</v>
      </c>
      <c r="C918">
        <v>26</v>
      </c>
      <c r="D918" t="s">
        <v>23</v>
      </c>
      <c r="E918" t="s">
        <v>20</v>
      </c>
      <c r="F918" t="s">
        <v>17</v>
      </c>
      <c r="G918" t="s">
        <v>18</v>
      </c>
      <c r="H918">
        <v>270.5</v>
      </c>
      <c r="I918">
        <v>243.5</v>
      </c>
      <c r="J918">
        <v>95.9</v>
      </c>
      <c r="K918">
        <v>66</v>
      </c>
      <c r="L918">
        <v>26.9</v>
      </c>
      <c r="M918">
        <v>6</v>
      </c>
      <c r="N918">
        <v>0.194765647167461</v>
      </c>
      <c r="O918">
        <v>0.361614412950308</v>
      </c>
    </row>
    <row r="919" spans="1:15" x14ac:dyDescent="0.3">
      <c r="A919">
        <v>4008</v>
      </c>
      <c r="B919">
        <v>2455</v>
      </c>
      <c r="C919">
        <v>368</v>
      </c>
      <c r="D919" t="s">
        <v>19</v>
      </c>
      <c r="E919" t="s">
        <v>16</v>
      </c>
      <c r="F919" t="s">
        <v>17</v>
      </c>
      <c r="G919" t="s">
        <v>26</v>
      </c>
      <c r="H919">
        <v>273.3</v>
      </c>
      <c r="I919">
        <v>249</v>
      </c>
      <c r="J919">
        <v>98.9</v>
      </c>
      <c r="K919">
        <v>68.5</v>
      </c>
      <c r="L919">
        <v>23.8</v>
      </c>
      <c r="M919">
        <v>9</v>
      </c>
      <c r="N919">
        <v>0.14869062387650001</v>
      </c>
      <c r="O919">
        <v>3.8075643308311001E-2</v>
      </c>
    </row>
    <row r="920" spans="1:15" x14ac:dyDescent="0.3">
      <c r="A920">
        <v>4009</v>
      </c>
      <c r="B920">
        <v>2455</v>
      </c>
      <c r="C920">
        <v>368</v>
      </c>
      <c r="D920" t="s">
        <v>19</v>
      </c>
      <c r="E920" t="s">
        <v>16</v>
      </c>
      <c r="F920" t="s">
        <v>17</v>
      </c>
      <c r="G920" t="s">
        <v>26</v>
      </c>
      <c r="H920">
        <v>273.3</v>
      </c>
      <c r="I920">
        <v>249</v>
      </c>
      <c r="J920">
        <v>98.9</v>
      </c>
      <c r="K920">
        <v>68.5</v>
      </c>
      <c r="L920">
        <v>23.8</v>
      </c>
      <c r="M920">
        <v>9</v>
      </c>
      <c r="N920">
        <v>0.136156086139786</v>
      </c>
      <c r="O920">
        <v>5.5059517725984899E-2</v>
      </c>
    </row>
    <row r="921" spans="1:15" x14ac:dyDescent="0.3">
      <c r="A921">
        <v>4025</v>
      </c>
      <c r="B921">
        <v>2460</v>
      </c>
      <c r="C921">
        <v>298</v>
      </c>
      <c r="D921" t="s">
        <v>19</v>
      </c>
      <c r="E921" t="s">
        <v>20</v>
      </c>
      <c r="F921" t="s">
        <v>17</v>
      </c>
      <c r="G921" t="s">
        <v>22</v>
      </c>
      <c r="H921">
        <v>275.60000000000002</v>
      </c>
      <c r="I921">
        <v>251</v>
      </c>
      <c r="J921">
        <v>95.1</v>
      </c>
      <c r="K921">
        <v>66.5</v>
      </c>
      <c r="L921">
        <v>25.3</v>
      </c>
      <c r="M921">
        <v>10.5</v>
      </c>
      <c r="N921">
        <v>0.30849292285022301</v>
      </c>
      <c r="O921">
        <v>6.6208863193349302E-2</v>
      </c>
    </row>
    <row r="922" spans="1:15" x14ac:dyDescent="0.3">
      <c r="A922">
        <v>4026</v>
      </c>
      <c r="B922">
        <v>2460</v>
      </c>
      <c r="C922">
        <v>298</v>
      </c>
      <c r="D922" t="s">
        <v>19</v>
      </c>
      <c r="E922" t="s">
        <v>20</v>
      </c>
      <c r="F922" t="s">
        <v>17</v>
      </c>
      <c r="G922" t="s">
        <v>22</v>
      </c>
      <c r="H922">
        <v>275.60000000000002</v>
      </c>
      <c r="I922">
        <v>251</v>
      </c>
      <c r="J922">
        <v>95.1</v>
      </c>
      <c r="K922">
        <v>66.5</v>
      </c>
      <c r="L922">
        <v>25.3</v>
      </c>
      <c r="M922">
        <v>10.5</v>
      </c>
      <c r="N922">
        <v>0.303563779722135</v>
      </c>
      <c r="O922">
        <v>4.0005370433513897E-2</v>
      </c>
    </row>
    <row r="923" spans="1:15" x14ac:dyDescent="0.3">
      <c r="A923">
        <v>4053</v>
      </c>
      <c r="B923">
        <v>2470</v>
      </c>
      <c r="C923">
        <v>274</v>
      </c>
      <c r="D923" t="s">
        <v>19</v>
      </c>
      <c r="E923" t="s">
        <v>20</v>
      </c>
      <c r="F923" t="s">
        <v>17</v>
      </c>
      <c r="G923" t="s">
        <v>26</v>
      </c>
      <c r="H923">
        <v>270.8</v>
      </c>
      <c r="I923">
        <v>241</v>
      </c>
      <c r="J923">
        <v>93</v>
      </c>
      <c r="K923">
        <v>61.5</v>
      </c>
      <c r="L923">
        <v>24.5</v>
      </c>
      <c r="M923">
        <v>11.5</v>
      </c>
      <c r="N923">
        <v>9.8415008616433403E-2</v>
      </c>
      <c r="O923">
        <v>0.192391667962132</v>
      </c>
    </row>
    <row r="924" spans="1:15" x14ac:dyDescent="0.3">
      <c r="A924">
        <v>4056</v>
      </c>
      <c r="B924">
        <v>2470</v>
      </c>
      <c r="C924">
        <v>274</v>
      </c>
      <c r="D924" t="s">
        <v>19</v>
      </c>
      <c r="E924" t="s">
        <v>20</v>
      </c>
      <c r="F924" t="s">
        <v>17</v>
      </c>
      <c r="G924" t="s">
        <v>26</v>
      </c>
      <c r="H924">
        <v>270.8</v>
      </c>
      <c r="I924">
        <v>241</v>
      </c>
      <c r="J924">
        <v>93</v>
      </c>
      <c r="K924">
        <v>61.5</v>
      </c>
      <c r="L924">
        <v>24.5</v>
      </c>
      <c r="M924">
        <v>11.5</v>
      </c>
      <c r="N924">
        <v>0.11374919772971399</v>
      </c>
      <c r="O924">
        <v>0.20017345775972301</v>
      </c>
    </row>
    <row r="925" spans="1:15" x14ac:dyDescent="0.3">
      <c r="A925">
        <v>4057</v>
      </c>
      <c r="B925">
        <v>2470</v>
      </c>
      <c r="C925">
        <v>274</v>
      </c>
      <c r="D925" t="s">
        <v>19</v>
      </c>
      <c r="E925" t="s">
        <v>20</v>
      </c>
      <c r="F925" t="s">
        <v>17</v>
      </c>
      <c r="G925" t="s">
        <v>26</v>
      </c>
      <c r="H925">
        <v>270.8</v>
      </c>
      <c r="I925">
        <v>241</v>
      </c>
      <c r="J925">
        <v>93</v>
      </c>
      <c r="K925">
        <v>61.5</v>
      </c>
      <c r="L925">
        <v>24.5</v>
      </c>
      <c r="M925">
        <v>11.5</v>
      </c>
      <c r="N925">
        <v>0.110759381470143</v>
      </c>
      <c r="O925">
        <v>0.19956261294603</v>
      </c>
    </row>
    <row r="926" spans="1:15" x14ac:dyDescent="0.3">
      <c r="A926">
        <v>4063</v>
      </c>
      <c r="B926">
        <v>2472</v>
      </c>
      <c r="C926">
        <v>379</v>
      </c>
      <c r="D926" t="s">
        <v>19</v>
      </c>
      <c r="E926" t="s">
        <v>20</v>
      </c>
      <c r="F926" t="s">
        <v>21</v>
      </c>
      <c r="G926" t="s">
        <v>22</v>
      </c>
      <c r="H926">
        <v>276.5</v>
      </c>
      <c r="I926">
        <v>259.5</v>
      </c>
      <c r="J926">
        <v>97.2</v>
      </c>
      <c r="K926">
        <v>68</v>
      </c>
      <c r="L926">
        <v>26.4</v>
      </c>
      <c r="M926">
        <v>4</v>
      </c>
      <c r="N926">
        <v>0.30101226070549703</v>
      </c>
      <c r="O926">
        <v>6.2738745319505795E-2</v>
      </c>
    </row>
    <row r="927" spans="1:15" x14ac:dyDescent="0.3">
      <c r="A927">
        <v>4103</v>
      </c>
      <c r="B927">
        <v>2490</v>
      </c>
      <c r="C927">
        <v>18</v>
      </c>
      <c r="D927" t="s">
        <v>19</v>
      </c>
      <c r="E927" t="s">
        <v>20</v>
      </c>
      <c r="F927" t="s">
        <v>17</v>
      </c>
      <c r="G927" t="s">
        <v>18</v>
      </c>
      <c r="H927">
        <v>271.39999999999998</v>
      </c>
      <c r="I927">
        <v>244</v>
      </c>
      <c r="J927">
        <v>97.3</v>
      </c>
      <c r="K927">
        <v>64</v>
      </c>
      <c r="L927">
        <v>23.3</v>
      </c>
      <c r="M927">
        <v>6.5</v>
      </c>
      <c r="N927">
        <v>0.23002780635057801</v>
      </c>
      <c r="O927">
        <v>1.49790106085144E-3</v>
      </c>
    </row>
    <row r="928" spans="1:15" x14ac:dyDescent="0.3">
      <c r="A928">
        <v>4104</v>
      </c>
      <c r="B928">
        <v>2490</v>
      </c>
      <c r="C928">
        <v>18</v>
      </c>
      <c r="D928" t="s">
        <v>19</v>
      </c>
      <c r="E928" t="s">
        <v>20</v>
      </c>
      <c r="F928" t="s">
        <v>17</v>
      </c>
      <c r="G928" t="s">
        <v>18</v>
      </c>
      <c r="H928">
        <v>271.39999999999998</v>
      </c>
      <c r="I928">
        <v>244</v>
      </c>
      <c r="J928">
        <v>97.3</v>
      </c>
      <c r="K928">
        <v>64</v>
      </c>
      <c r="L928">
        <v>23.3</v>
      </c>
      <c r="M928">
        <v>6.5</v>
      </c>
      <c r="N928">
        <v>0.23837672546636601</v>
      </c>
      <c r="O928">
        <v>7.4275934431519497E-3</v>
      </c>
    </row>
    <row r="929" spans="1:15" x14ac:dyDescent="0.3">
      <c r="A929">
        <v>4105</v>
      </c>
      <c r="B929">
        <v>2490</v>
      </c>
      <c r="C929">
        <v>18</v>
      </c>
      <c r="D929" t="s">
        <v>19</v>
      </c>
      <c r="E929" t="s">
        <v>20</v>
      </c>
      <c r="F929" t="s">
        <v>17</v>
      </c>
      <c r="G929" t="s">
        <v>18</v>
      </c>
      <c r="H929">
        <v>271.39999999999998</v>
      </c>
      <c r="I929">
        <v>244</v>
      </c>
      <c r="J929">
        <v>97.3</v>
      </c>
      <c r="K929">
        <v>64</v>
      </c>
      <c r="L929">
        <v>23.3</v>
      </c>
      <c r="M929">
        <v>6.5</v>
      </c>
      <c r="N929">
        <v>0.25635922300228903</v>
      </c>
      <c r="O929">
        <v>1.4874237512037499E-2</v>
      </c>
    </row>
    <row r="930" spans="1:15" x14ac:dyDescent="0.3">
      <c r="A930">
        <v>4106</v>
      </c>
      <c r="B930">
        <v>2490</v>
      </c>
      <c r="C930">
        <v>18</v>
      </c>
      <c r="D930" t="s">
        <v>19</v>
      </c>
      <c r="E930" t="s">
        <v>20</v>
      </c>
      <c r="F930" t="s">
        <v>17</v>
      </c>
      <c r="G930" t="s">
        <v>18</v>
      </c>
      <c r="H930">
        <v>271.39999999999998</v>
      </c>
      <c r="I930">
        <v>244</v>
      </c>
      <c r="J930">
        <v>97.3</v>
      </c>
      <c r="K930">
        <v>64</v>
      </c>
      <c r="L930">
        <v>23.3</v>
      </c>
      <c r="M930">
        <v>6.5</v>
      </c>
      <c r="N930">
        <v>0.25864126301677398</v>
      </c>
      <c r="O930">
        <v>2.0511545580848702E-2</v>
      </c>
    </row>
    <row r="931" spans="1:15" x14ac:dyDescent="0.3">
      <c r="A931">
        <v>4111</v>
      </c>
      <c r="B931">
        <v>2494</v>
      </c>
      <c r="C931">
        <v>29</v>
      </c>
      <c r="D931" t="s">
        <v>19</v>
      </c>
      <c r="E931" t="s">
        <v>20</v>
      </c>
      <c r="F931" t="s">
        <v>21</v>
      </c>
      <c r="G931" t="s">
        <v>26</v>
      </c>
      <c r="H931">
        <v>276.60000000000002</v>
      </c>
      <c r="I931">
        <v>256.5</v>
      </c>
      <c r="J931">
        <v>98.4</v>
      </c>
      <c r="K931">
        <v>67.5</v>
      </c>
      <c r="L931">
        <v>28.3</v>
      </c>
      <c r="M931">
        <v>8</v>
      </c>
      <c r="N931">
        <v>0.19907922374451101</v>
      </c>
      <c r="O931">
        <v>0.11688207372600599</v>
      </c>
    </row>
    <row r="932" spans="1:15" x14ac:dyDescent="0.3">
      <c r="A932">
        <v>4112</v>
      </c>
      <c r="B932">
        <v>2494</v>
      </c>
      <c r="C932">
        <v>29</v>
      </c>
      <c r="D932" t="s">
        <v>19</v>
      </c>
      <c r="E932" t="s">
        <v>20</v>
      </c>
      <c r="F932" t="s">
        <v>21</v>
      </c>
      <c r="G932" t="s">
        <v>26</v>
      </c>
      <c r="H932">
        <v>276.60000000000002</v>
      </c>
      <c r="I932">
        <v>256.5</v>
      </c>
      <c r="J932">
        <v>98.4</v>
      </c>
      <c r="K932">
        <v>67.5</v>
      </c>
      <c r="L932">
        <v>28.3</v>
      </c>
      <c r="M932">
        <v>8</v>
      </c>
      <c r="N932">
        <v>0.20004794963154399</v>
      </c>
      <c r="O932">
        <v>0.108614394772133</v>
      </c>
    </row>
    <row r="933" spans="1:15" x14ac:dyDescent="0.3">
      <c r="A933">
        <v>4113</v>
      </c>
      <c r="B933">
        <v>2494</v>
      </c>
      <c r="C933">
        <v>29</v>
      </c>
      <c r="D933" t="s">
        <v>19</v>
      </c>
      <c r="E933" t="s">
        <v>20</v>
      </c>
      <c r="F933" t="s">
        <v>21</v>
      </c>
      <c r="G933" t="s">
        <v>26</v>
      </c>
      <c r="H933">
        <v>276.60000000000002</v>
      </c>
      <c r="I933">
        <v>256.5</v>
      </c>
      <c r="J933">
        <v>98.4</v>
      </c>
      <c r="K933">
        <v>67.5</v>
      </c>
      <c r="L933">
        <v>28.3</v>
      </c>
      <c r="M933">
        <v>8</v>
      </c>
      <c r="N933">
        <v>0.19827596673199899</v>
      </c>
      <c r="O933">
        <v>8.8839315601069294E-2</v>
      </c>
    </row>
    <row r="934" spans="1:15" x14ac:dyDescent="0.3">
      <c r="A934">
        <v>4118</v>
      </c>
      <c r="B934">
        <v>2496</v>
      </c>
      <c r="C934">
        <v>218</v>
      </c>
      <c r="D934" t="s">
        <v>19</v>
      </c>
      <c r="E934" t="s">
        <v>16</v>
      </c>
      <c r="F934" t="s">
        <v>21</v>
      </c>
      <c r="G934" t="s">
        <v>25</v>
      </c>
      <c r="H934">
        <v>274.5</v>
      </c>
      <c r="I934">
        <v>258</v>
      </c>
      <c r="J934">
        <v>101.5</v>
      </c>
      <c r="K934">
        <v>66.5</v>
      </c>
      <c r="L934">
        <v>27.9</v>
      </c>
      <c r="M934">
        <v>10</v>
      </c>
      <c r="N934">
        <v>0.15354532283896499</v>
      </c>
      <c r="O934">
        <v>8.1634551914576498E-2</v>
      </c>
    </row>
    <row r="935" spans="1:15" x14ac:dyDescent="0.3">
      <c r="A935">
        <v>4119</v>
      </c>
      <c r="B935">
        <v>2496</v>
      </c>
      <c r="C935">
        <v>218</v>
      </c>
      <c r="D935" t="s">
        <v>19</v>
      </c>
      <c r="E935" t="s">
        <v>16</v>
      </c>
      <c r="F935" t="s">
        <v>21</v>
      </c>
      <c r="G935" t="s">
        <v>25</v>
      </c>
      <c r="H935">
        <v>274.5</v>
      </c>
      <c r="I935">
        <v>258</v>
      </c>
      <c r="J935">
        <v>101.5</v>
      </c>
      <c r="K935">
        <v>66.5</v>
      </c>
      <c r="L935">
        <v>27.9</v>
      </c>
      <c r="M935">
        <v>10</v>
      </c>
      <c r="N935">
        <v>0.12718076655847099</v>
      </c>
      <c r="O935">
        <v>9.5021929017533799E-2</v>
      </c>
    </row>
    <row r="936" spans="1:15" x14ac:dyDescent="0.3">
      <c r="A936">
        <v>4120</v>
      </c>
      <c r="B936">
        <v>2497</v>
      </c>
      <c r="C936">
        <v>434</v>
      </c>
      <c r="D936" t="s">
        <v>15</v>
      </c>
      <c r="E936" t="s">
        <v>20</v>
      </c>
      <c r="F936" t="s">
        <v>17</v>
      </c>
      <c r="G936" t="s">
        <v>22</v>
      </c>
      <c r="H936">
        <v>279.10000000000002</v>
      </c>
      <c r="I936">
        <v>250</v>
      </c>
      <c r="J936">
        <v>93.3</v>
      </c>
      <c r="K936">
        <v>66</v>
      </c>
      <c r="L936">
        <v>27.9</v>
      </c>
      <c r="M936">
        <v>6</v>
      </c>
      <c r="N936">
        <v>0.25872151442152103</v>
      </c>
      <c r="O936">
        <v>1.7269620143863001E-2</v>
      </c>
    </row>
    <row r="937" spans="1:15" x14ac:dyDescent="0.3">
      <c r="A937">
        <v>4121</v>
      </c>
      <c r="B937">
        <v>2497</v>
      </c>
      <c r="C937">
        <v>434</v>
      </c>
      <c r="D937" t="s">
        <v>15</v>
      </c>
      <c r="E937" t="s">
        <v>20</v>
      </c>
      <c r="F937" t="s">
        <v>17</v>
      </c>
      <c r="G937" t="s">
        <v>22</v>
      </c>
      <c r="H937">
        <v>279.10000000000002</v>
      </c>
      <c r="I937">
        <v>250</v>
      </c>
      <c r="J937">
        <v>93.3</v>
      </c>
      <c r="K937">
        <v>66</v>
      </c>
      <c r="L937">
        <v>27.9</v>
      </c>
      <c r="M937">
        <v>6</v>
      </c>
      <c r="N937">
        <v>0.25809564580858502</v>
      </c>
      <c r="O937">
        <v>2.21710274581573E-2</v>
      </c>
    </row>
    <row r="938" spans="1:15" x14ac:dyDescent="0.3">
      <c r="A938">
        <v>4122</v>
      </c>
      <c r="B938">
        <v>2497</v>
      </c>
      <c r="C938">
        <v>434</v>
      </c>
      <c r="D938" t="s">
        <v>15</v>
      </c>
      <c r="E938" t="s">
        <v>20</v>
      </c>
      <c r="F938" t="s">
        <v>17</v>
      </c>
      <c r="G938" t="s">
        <v>22</v>
      </c>
      <c r="H938">
        <v>279.10000000000002</v>
      </c>
      <c r="I938">
        <v>250</v>
      </c>
      <c r="J938">
        <v>93.3</v>
      </c>
      <c r="K938">
        <v>66</v>
      </c>
      <c r="L938">
        <v>27.9</v>
      </c>
      <c r="M938">
        <v>6</v>
      </c>
      <c r="N938">
        <v>0.28306989011774097</v>
      </c>
      <c r="O938">
        <v>3.7774306245236401E-2</v>
      </c>
    </row>
    <row r="939" spans="1:15" x14ac:dyDescent="0.3">
      <c r="A939">
        <v>4186</v>
      </c>
      <c r="B939">
        <v>2522</v>
      </c>
      <c r="C939">
        <v>95</v>
      </c>
      <c r="D939" t="s">
        <v>23</v>
      </c>
      <c r="E939" t="s">
        <v>20</v>
      </c>
      <c r="F939" t="s">
        <v>17</v>
      </c>
      <c r="G939" t="s">
        <v>26</v>
      </c>
      <c r="H939">
        <v>276.60000000000002</v>
      </c>
      <c r="I939">
        <v>250.5</v>
      </c>
      <c r="J939">
        <v>100</v>
      </c>
      <c r="K939">
        <v>67</v>
      </c>
      <c r="L939">
        <v>28.2</v>
      </c>
      <c r="M939">
        <v>6.5</v>
      </c>
      <c r="N939">
        <v>0.108378914808877</v>
      </c>
      <c r="O939">
        <v>0.31820773078685699</v>
      </c>
    </row>
    <row r="940" spans="1:15" x14ac:dyDescent="0.3">
      <c r="A940">
        <v>4187</v>
      </c>
      <c r="B940">
        <v>2522</v>
      </c>
      <c r="C940">
        <v>95</v>
      </c>
      <c r="D940" t="s">
        <v>23</v>
      </c>
      <c r="E940" t="s">
        <v>20</v>
      </c>
      <c r="F940" t="s">
        <v>17</v>
      </c>
      <c r="G940" t="s">
        <v>26</v>
      </c>
      <c r="H940">
        <v>276.60000000000002</v>
      </c>
      <c r="I940">
        <v>250.5</v>
      </c>
      <c r="J940">
        <v>100</v>
      </c>
      <c r="K940">
        <v>67</v>
      </c>
      <c r="L940">
        <v>28.2</v>
      </c>
      <c r="M940">
        <v>6.5</v>
      </c>
      <c r="N940">
        <v>8.6186394537194594E-2</v>
      </c>
      <c r="O940">
        <v>0.318095962654183</v>
      </c>
    </row>
    <row r="941" spans="1:15" x14ac:dyDescent="0.3">
      <c r="A941">
        <v>4188</v>
      </c>
      <c r="B941">
        <v>2522</v>
      </c>
      <c r="C941">
        <v>95</v>
      </c>
      <c r="D941" t="s">
        <v>23</v>
      </c>
      <c r="E941" t="s">
        <v>20</v>
      </c>
      <c r="F941" t="s">
        <v>17</v>
      </c>
      <c r="G941" t="s">
        <v>26</v>
      </c>
      <c r="H941">
        <v>276.60000000000002</v>
      </c>
      <c r="I941">
        <v>250.5</v>
      </c>
      <c r="J941">
        <v>100</v>
      </c>
      <c r="K941">
        <v>67</v>
      </c>
      <c r="L941">
        <v>28.2</v>
      </c>
      <c r="M941">
        <v>6.5</v>
      </c>
      <c r="N941">
        <v>0.114867896797547</v>
      </c>
      <c r="O941">
        <v>0.34275503065033602</v>
      </c>
    </row>
    <row r="942" spans="1:15" x14ac:dyDescent="0.3">
      <c r="A942">
        <v>4189</v>
      </c>
      <c r="B942">
        <v>2522</v>
      </c>
      <c r="C942">
        <v>95</v>
      </c>
      <c r="D942" t="s">
        <v>23</v>
      </c>
      <c r="E942" t="s">
        <v>20</v>
      </c>
      <c r="F942" t="s">
        <v>17</v>
      </c>
      <c r="G942" t="s">
        <v>26</v>
      </c>
      <c r="H942">
        <v>276.60000000000002</v>
      </c>
      <c r="I942">
        <v>250.5</v>
      </c>
      <c r="J942">
        <v>100</v>
      </c>
      <c r="K942">
        <v>67</v>
      </c>
      <c r="L942">
        <v>28.2</v>
      </c>
      <c r="M942">
        <v>6.5</v>
      </c>
      <c r="N942">
        <v>0.101841219400214</v>
      </c>
      <c r="O942">
        <v>0.33089709166195103</v>
      </c>
    </row>
    <row r="943" spans="1:15" x14ac:dyDescent="0.3">
      <c r="A943">
        <v>4190</v>
      </c>
      <c r="B943">
        <v>2522</v>
      </c>
      <c r="C943">
        <v>95</v>
      </c>
      <c r="D943" t="s">
        <v>23</v>
      </c>
      <c r="E943" t="s">
        <v>20</v>
      </c>
      <c r="F943" t="s">
        <v>17</v>
      </c>
      <c r="G943" t="s">
        <v>26</v>
      </c>
      <c r="H943">
        <v>276.60000000000002</v>
      </c>
      <c r="I943">
        <v>250.5</v>
      </c>
      <c r="J943">
        <v>100</v>
      </c>
      <c r="K943">
        <v>67</v>
      </c>
      <c r="L943">
        <v>28.2</v>
      </c>
      <c r="M943">
        <v>6.5</v>
      </c>
      <c r="N943">
        <v>8.4753254126117394E-2</v>
      </c>
      <c r="O943">
        <v>0.32097100563721498</v>
      </c>
    </row>
    <row r="944" spans="1:15" x14ac:dyDescent="0.3">
      <c r="A944">
        <v>4191</v>
      </c>
      <c r="B944">
        <v>2522</v>
      </c>
      <c r="C944">
        <v>95</v>
      </c>
      <c r="D944" t="s">
        <v>23</v>
      </c>
      <c r="E944" t="s">
        <v>20</v>
      </c>
      <c r="F944" t="s">
        <v>17</v>
      </c>
      <c r="G944" t="s">
        <v>26</v>
      </c>
      <c r="H944">
        <v>276.60000000000002</v>
      </c>
      <c r="I944">
        <v>250.5</v>
      </c>
      <c r="J944">
        <v>100</v>
      </c>
      <c r="K944">
        <v>67</v>
      </c>
      <c r="L944">
        <v>28.2</v>
      </c>
      <c r="M944">
        <v>6.5</v>
      </c>
      <c r="N944">
        <v>0.11318492972124999</v>
      </c>
      <c r="O944">
        <v>0.33463163573118299</v>
      </c>
    </row>
    <row r="945" spans="1:15" x14ac:dyDescent="0.3">
      <c r="A945">
        <v>4196</v>
      </c>
      <c r="B945">
        <v>2525</v>
      </c>
      <c r="C945">
        <v>303</v>
      </c>
      <c r="D945" t="s">
        <v>19</v>
      </c>
      <c r="E945" t="s">
        <v>20</v>
      </c>
      <c r="F945" t="s">
        <v>17</v>
      </c>
      <c r="G945" t="s">
        <v>18</v>
      </c>
      <c r="H945">
        <v>277.60000000000002</v>
      </c>
      <c r="I945">
        <v>254.5</v>
      </c>
      <c r="J945">
        <v>94.7</v>
      </c>
      <c r="K945">
        <v>67</v>
      </c>
      <c r="L945">
        <v>27.3</v>
      </c>
      <c r="M945">
        <v>14</v>
      </c>
      <c r="N945">
        <v>8.2505025531951895E-2</v>
      </c>
      <c r="O945">
        <v>0.12777460602929999</v>
      </c>
    </row>
    <row r="946" spans="1:15" x14ac:dyDescent="0.3">
      <c r="A946">
        <v>4209</v>
      </c>
      <c r="B946">
        <v>2532</v>
      </c>
      <c r="C946">
        <v>238</v>
      </c>
      <c r="D946" t="s">
        <v>19</v>
      </c>
      <c r="E946" t="s">
        <v>16</v>
      </c>
      <c r="F946" t="s">
        <v>21</v>
      </c>
      <c r="G946" t="s">
        <v>18</v>
      </c>
      <c r="H946">
        <v>273.3</v>
      </c>
      <c r="I946">
        <v>246</v>
      </c>
      <c r="J946">
        <v>92.6</v>
      </c>
      <c r="K946">
        <v>63.5</v>
      </c>
      <c r="L946">
        <v>25.5</v>
      </c>
      <c r="M946">
        <v>9.5</v>
      </c>
      <c r="N946">
        <v>0.10343775907393001</v>
      </c>
      <c r="O946">
        <v>0.16896218318505499</v>
      </c>
    </row>
    <row r="947" spans="1:15" x14ac:dyDescent="0.3">
      <c r="A947">
        <v>4210</v>
      </c>
      <c r="B947">
        <v>2532</v>
      </c>
      <c r="C947">
        <v>238</v>
      </c>
      <c r="D947" t="s">
        <v>19</v>
      </c>
      <c r="E947" t="s">
        <v>16</v>
      </c>
      <c r="F947" t="s">
        <v>21</v>
      </c>
      <c r="G947" t="s">
        <v>18</v>
      </c>
      <c r="H947">
        <v>273.3</v>
      </c>
      <c r="I947">
        <v>246</v>
      </c>
      <c r="J947">
        <v>92.6</v>
      </c>
      <c r="K947">
        <v>63.5</v>
      </c>
      <c r="L947">
        <v>25.5</v>
      </c>
      <c r="M947">
        <v>9.5</v>
      </c>
      <c r="N947">
        <v>0.10781308404251</v>
      </c>
      <c r="O947">
        <v>0.14197286374601401</v>
      </c>
    </row>
    <row r="948" spans="1:15" x14ac:dyDescent="0.3">
      <c r="A948">
        <v>4211</v>
      </c>
      <c r="B948">
        <v>2532</v>
      </c>
      <c r="C948">
        <v>238</v>
      </c>
      <c r="D948" t="s">
        <v>19</v>
      </c>
      <c r="E948" t="s">
        <v>16</v>
      </c>
      <c r="F948" t="s">
        <v>21</v>
      </c>
      <c r="G948" t="s">
        <v>18</v>
      </c>
      <c r="H948">
        <v>273.3</v>
      </c>
      <c r="I948">
        <v>246</v>
      </c>
      <c r="J948">
        <v>92.6</v>
      </c>
      <c r="K948">
        <v>63.5</v>
      </c>
      <c r="L948">
        <v>25.5</v>
      </c>
      <c r="M948">
        <v>9.5</v>
      </c>
      <c r="N948">
        <v>0.102313872519235</v>
      </c>
      <c r="O948">
        <v>0.167360572641014</v>
      </c>
    </row>
    <row r="949" spans="1:15" x14ac:dyDescent="0.3">
      <c r="A949">
        <v>4212</v>
      </c>
      <c r="B949">
        <v>2532</v>
      </c>
      <c r="C949">
        <v>238</v>
      </c>
      <c r="D949" t="s">
        <v>19</v>
      </c>
      <c r="E949" t="s">
        <v>16</v>
      </c>
      <c r="F949" t="s">
        <v>21</v>
      </c>
      <c r="G949" t="s">
        <v>18</v>
      </c>
      <c r="H949">
        <v>273.3</v>
      </c>
      <c r="I949">
        <v>246</v>
      </c>
      <c r="J949">
        <v>92.6</v>
      </c>
      <c r="K949">
        <v>63.5</v>
      </c>
      <c r="L949">
        <v>25.5</v>
      </c>
      <c r="M949">
        <v>9.5</v>
      </c>
      <c r="N949">
        <v>0.115675753830994</v>
      </c>
      <c r="O949">
        <v>0.17129757108296001</v>
      </c>
    </row>
    <row r="950" spans="1:15" x14ac:dyDescent="0.3">
      <c r="A950">
        <v>4213</v>
      </c>
      <c r="B950">
        <v>2532</v>
      </c>
      <c r="C950">
        <v>238</v>
      </c>
      <c r="D950" t="s">
        <v>19</v>
      </c>
      <c r="E950" t="s">
        <v>16</v>
      </c>
      <c r="F950" t="s">
        <v>21</v>
      </c>
      <c r="G950" t="s">
        <v>18</v>
      </c>
      <c r="H950">
        <v>273.3</v>
      </c>
      <c r="I950">
        <v>246</v>
      </c>
      <c r="J950">
        <v>92.6</v>
      </c>
      <c r="K950">
        <v>63.5</v>
      </c>
      <c r="L950">
        <v>25.5</v>
      </c>
      <c r="M950">
        <v>9.5</v>
      </c>
      <c r="N950">
        <v>0.113487141594127</v>
      </c>
      <c r="O950">
        <v>0.16942098273877099</v>
      </c>
    </row>
    <row r="951" spans="1:15" x14ac:dyDescent="0.3">
      <c r="A951">
        <v>4214</v>
      </c>
      <c r="B951">
        <v>2532</v>
      </c>
      <c r="C951">
        <v>238</v>
      </c>
      <c r="D951" t="s">
        <v>19</v>
      </c>
      <c r="E951" t="s">
        <v>16</v>
      </c>
      <c r="F951" t="s">
        <v>21</v>
      </c>
      <c r="G951" t="s">
        <v>18</v>
      </c>
      <c r="H951">
        <v>273.3</v>
      </c>
      <c r="I951">
        <v>246</v>
      </c>
      <c r="J951">
        <v>92.6</v>
      </c>
      <c r="K951">
        <v>63.5</v>
      </c>
      <c r="L951">
        <v>25.5</v>
      </c>
      <c r="M951">
        <v>9.5</v>
      </c>
      <c r="N951">
        <v>0.119301929588849</v>
      </c>
      <c r="O951">
        <v>0.15079855409679599</v>
      </c>
    </row>
    <row r="952" spans="1:15" x14ac:dyDescent="0.3">
      <c r="A952">
        <v>4216</v>
      </c>
      <c r="B952">
        <v>2534</v>
      </c>
      <c r="C952">
        <v>337</v>
      </c>
      <c r="D952" t="s">
        <v>23</v>
      </c>
      <c r="E952" t="s">
        <v>20</v>
      </c>
      <c r="F952" t="s">
        <v>17</v>
      </c>
      <c r="G952" t="s">
        <v>22</v>
      </c>
      <c r="H952">
        <v>279.7</v>
      </c>
      <c r="I952">
        <v>255</v>
      </c>
      <c r="J952">
        <v>95.2</v>
      </c>
      <c r="K952">
        <v>68</v>
      </c>
      <c r="L952">
        <v>25.3</v>
      </c>
      <c r="M952">
        <v>5.5</v>
      </c>
      <c r="N952">
        <v>0.22594805351528699</v>
      </c>
      <c r="O952">
        <v>0.36339115059890498</v>
      </c>
    </row>
    <row r="953" spans="1:15" x14ac:dyDescent="0.3">
      <c r="A953">
        <v>4217</v>
      </c>
      <c r="B953">
        <v>2534</v>
      </c>
      <c r="C953">
        <v>337</v>
      </c>
      <c r="D953" t="s">
        <v>23</v>
      </c>
      <c r="E953" t="s">
        <v>20</v>
      </c>
      <c r="F953" t="s">
        <v>17</v>
      </c>
      <c r="G953" t="s">
        <v>22</v>
      </c>
      <c r="H953">
        <v>279.7</v>
      </c>
      <c r="I953">
        <v>255</v>
      </c>
      <c r="J953">
        <v>95.2</v>
      </c>
      <c r="K953">
        <v>68</v>
      </c>
      <c r="L953">
        <v>25.3</v>
      </c>
      <c r="M953">
        <v>5.5</v>
      </c>
      <c r="N953">
        <v>0.20641862619416501</v>
      </c>
      <c r="O953">
        <v>0.33970975025641498</v>
      </c>
    </row>
    <row r="954" spans="1:15" x14ac:dyDescent="0.3">
      <c r="A954">
        <v>4218</v>
      </c>
      <c r="B954">
        <v>2534</v>
      </c>
      <c r="C954">
        <v>337</v>
      </c>
      <c r="D954" t="s">
        <v>23</v>
      </c>
      <c r="E954" t="s">
        <v>20</v>
      </c>
      <c r="F954" t="s">
        <v>17</v>
      </c>
      <c r="G954" t="s">
        <v>22</v>
      </c>
      <c r="H954">
        <v>279.7</v>
      </c>
      <c r="I954">
        <v>255</v>
      </c>
      <c r="J954">
        <v>95.2</v>
      </c>
      <c r="K954">
        <v>68</v>
      </c>
      <c r="L954">
        <v>25.3</v>
      </c>
      <c r="M954">
        <v>5.5</v>
      </c>
      <c r="N954">
        <v>0.20330551731503799</v>
      </c>
      <c r="O954">
        <v>0.34322021568571698</v>
      </c>
    </row>
    <row r="955" spans="1:15" x14ac:dyDescent="0.3">
      <c r="A955">
        <v>4219</v>
      </c>
      <c r="B955">
        <v>2534</v>
      </c>
      <c r="C955">
        <v>337</v>
      </c>
      <c r="D955" t="s">
        <v>23</v>
      </c>
      <c r="E955" t="s">
        <v>20</v>
      </c>
      <c r="F955" t="s">
        <v>17</v>
      </c>
      <c r="G955" t="s">
        <v>22</v>
      </c>
      <c r="H955">
        <v>279.7</v>
      </c>
      <c r="I955">
        <v>255</v>
      </c>
      <c r="J955">
        <v>95.2</v>
      </c>
      <c r="K955">
        <v>68</v>
      </c>
      <c r="L955">
        <v>25.3</v>
      </c>
      <c r="M955">
        <v>5.5</v>
      </c>
      <c r="N955">
        <v>0.21433073389936899</v>
      </c>
      <c r="O955">
        <v>0.37713129358236003</v>
      </c>
    </row>
    <row r="956" spans="1:15" x14ac:dyDescent="0.3">
      <c r="A956">
        <v>4224</v>
      </c>
      <c r="B956">
        <v>2537</v>
      </c>
      <c r="C956">
        <v>27</v>
      </c>
      <c r="D956" t="s">
        <v>19</v>
      </c>
      <c r="E956" t="s">
        <v>20</v>
      </c>
      <c r="F956" t="s">
        <v>17</v>
      </c>
      <c r="G956" t="s">
        <v>18</v>
      </c>
      <c r="H956">
        <v>276.60000000000002</v>
      </c>
      <c r="I956">
        <v>251.5</v>
      </c>
      <c r="J956">
        <v>95.3</v>
      </c>
      <c r="K956">
        <v>67.5</v>
      </c>
      <c r="L956">
        <v>29.7</v>
      </c>
      <c r="M956">
        <v>2</v>
      </c>
      <c r="N956">
        <v>0.157382843356876</v>
      </c>
      <c r="O956">
        <v>0.14192026241251099</v>
      </c>
    </row>
    <row r="957" spans="1:15" x14ac:dyDescent="0.3">
      <c r="A957">
        <v>4225</v>
      </c>
      <c r="B957">
        <v>2537</v>
      </c>
      <c r="C957">
        <v>27</v>
      </c>
      <c r="D957" t="s">
        <v>19</v>
      </c>
      <c r="E957" t="s">
        <v>20</v>
      </c>
      <c r="F957" t="s">
        <v>17</v>
      </c>
      <c r="G957" t="s">
        <v>18</v>
      </c>
      <c r="H957">
        <v>276.60000000000002</v>
      </c>
      <c r="I957">
        <v>251.5</v>
      </c>
      <c r="J957">
        <v>95.3</v>
      </c>
      <c r="K957">
        <v>67.5</v>
      </c>
      <c r="L957">
        <v>29.7</v>
      </c>
      <c r="M957">
        <v>2</v>
      </c>
      <c r="N957">
        <v>0.14059299102622699</v>
      </c>
      <c r="O957">
        <v>0.13206467297005201</v>
      </c>
    </row>
    <row r="958" spans="1:15" x14ac:dyDescent="0.3">
      <c r="A958">
        <v>4226</v>
      </c>
      <c r="B958">
        <v>2537</v>
      </c>
      <c r="C958">
        <v>27</v>
      </c>
      <c r="D958" t="s">
        <v>19</v>
      </c>
      <c r="E958" t="s">
        <v>20</v>
      </c>
      <c r="F958" t="s">
        <v>17</v>
      </c>
      <c r="G958" t="s">
        <v>18</v>
      </c>
      <c r="H958">
        <v>276.60000000000002</v>
      </c>
      <c r="I958">
        <v>251.5</v>
      </c>
      <c r="J958">
        <v>95.3</v>
      </c>
      <c r="K958">
        <v>67.5</v>
      </c>
      <c r="L958">
        <v>29.7</v>
      </c>
      <c r="M958">
        <v>2</v>
      </c>
      <c r="N958">
        <v>0.15793754710719601</v>
      </c>
      <c r="O958">
        <v>0.151397530941287</v>
      </c>
    </row>
    <row r="959" spans="1:15" x14ac:dyDescent="0.3">
      <c r="A959">
        <v>4227</v>
      </c>
      <c r="B959">
        <v>2537</v>
      </c>
      <c r="C959">
        <v>27</v>
      </c>
      <c r="D959" t="s">
        <v>19</v>
      </c>
      <c r="E959" t="s">
        <v>20</v>
      </c>
      <c r="F959" t="s">
        <v>17</v>
      </c>
      <c r="G959" t="s">
        <v>18</v>
      </c>
      <c r="H959">
        <v>276.60000000000002</v>
      </c>
      <c r="I959">
        <v>251.5</v>
      </c>
      <c r="J959">
        <v>95.3</v>
      </c>
      <c r="K959">
        <v>67.5</v>
      </c>
      <c r="L959">
        <v>29.7</v>
      </c>
      <c r="M959">
        <v>2</v>
      </c>
      <c r="N959">
        <v>0.14825340209674401</v>
      </c>
      <c r="O959">
        <v>0.13711072256551601</v>
      </c>
    </row>
    <row r="960" spans="1:15" x14ac:dyDescent="0.3">
      <c r="A960">
        <v>4240</v>
      </c>
      <c r="B960">
        <v>2540</v>
      </c>
      <c r="C960">
        <v>26</v>
      </c>
      <c r="D960" t="s">
        <v>23</v>
      </c>
      <c r="E960" t="s">
        <v>20</v>
      </c>
      <c r="F960" t="s">
        <v>21</v>
      </c>
      <c r="G960" t="s">
        <v>22</v>
      </c>
      <c r="H960">
        <v>270.5</v>
      </c>
      <c r="I960">
        <v>243.5</v>
      </c>
      <c r="J960">
        <v>95.9</v>
      </c>
      <c r="K960">
        <v>66</v>
      </c>
      <c r="L960">
        <v>26.9</v>
      </c>
      <c r="M960">
        <v>6</v>
      </c>
      <c r="N960">
        <v>0.20900123859308101</v>
      </c>
      <c r="O960">
        <v>0.38869352094867599</v>
      </c>
    </row>
    <row r="961" spans="1:15" x14ac:dyDescent="0.3">
      <c r="A961">
        <v>4241</v>
      </c>
      <c r="B961">
        <v>2540</v>
      </c>
      <c r="C961">
        <v>26</v>
      </c>
      <c r="D961" t="s">
        <v>23</v>
      </c>
      <c r="E961" t="s">
        <v>20</v>
      </c>
      <c r="F961" t="s">
        <v>21</v>
      </c>
      <c r="G961" t="s">
        <v>22</v>
      </c>
      <c r="H961">
        <v>270.5</v>
      </c>
      <c r="I961">
        <v>243.5</v>
      </c>
      <c r="J961">
        <v>95.9</v>
      </c>
      <c r="K961">
        <v>66</v>
      </c>
      <c r="L961">
        <v>26.9</v>
      </c>
      <c r="M961">
        <v>6</v>
      </c>
      <c r="N961">
        <v>0.20724731143619901</v>
      </c>
      <c r="O961">
        <v>0.385104662763954</v>
      </c>
    </row>
    <row r="962" spans="1:15" x14ac:dyDescent="0.3">
      <c r="A962">
        <v>4254</v>
      </c>
      <c r="B962">
        <v>2547</v>
      </c>
      <c r="C962">
        <v>310</v>
      </c>
      <c r="D962" t="s">
        <v>19</v>
      </c>
      <c r="E962" t="s">
        <v>20</v>
      </c>
      <c r="F962" t="s">
        <v>17</v>
      </c>
      <c r="G962" t="s">
        <v>26</v>
      </c>
      <c r="H962">
        <v>273.60000000000002</v>
      </c>
      <c r="I962">
        <v>255</v>
      </c>
      <c r="J962">
        <v>95.2</v>
      </c>
      <c r="K962">
        <v>63.5</v>
      </c>
      <c r="L962">
        <v>27</v>
      </c>
      <c r="M962">
        <v>11.5</v>
      </c>
      <c r="N962">
        <v>3.2786569178485402E-2</v>
      </c>
      <c r="O962">
        <v>0.11101214291604899</v>
      </c>
    </row>
    <row r="963" spans="1:15" x14ac:dyDescent="0.3">
      <c r="A963">
        <v>4255</v>
      </c>
      <c r="B963">
        <v>2547</v>
      </c>
      <c r="C963">
        <v>310</v>
      </c>
      <c r="D963" t="s">
        <v>19</v>
      </c>
      <c r="E963" t="s">
        <v>20</v>
      </c>
      <c r="F963" t="s">
        <v>17</v>
      </c>
      <c r="G963" t="s">
        <v>26</v>
      </c>
      <c r="H963">
        <v>273.60000000000002</v>
      </c>
      <c r="I963">
        <v>255</v>
      </c>
      <c r="J963">
        <v>95.2</v>
      </c>
      <c r="K963">
        <v>63.5</v>
      </c>
      <c r="L963">
        <v>27</v>
      </c>
      <c r="M963">
        <v>11.5</v>
      </c>
      <c r="N963">
        <v>4.7720350934700402E-2</v>
      </c>
      <c r="O963">
        <v>0.132729859885207</v>
      </c>
    </row>
    <row r="964" spans="1:15" x14ac:dyDescent="0.3">
      <c r="A964">
        <v>4257</v>
      </c>
      <c r="B964">
        <v>2547</v>
      </c>
      <c r="C964">
        <v>310</v>
      </c>
      <c r="D964" t="s">
        <v>19</v>
      </c>
      <c r="E964" t="s">
        <v>20</v>
      </c>
      <c r="F964" t="s">
        <v>17</v>
      </c>
      <c r="G964" t="s">
        <v>26</v>
      </c>
      <c r="H964">
        <v>273.60000000000002</v>
      </c>
      <c r="I964">
        <v>255</v>
      </c>
      <c r="J964">
        <v>95.2</v>
      </c>
      <c r="K964">
        <v>63.5</v>
      </c>
      <c r="L964">
        <v>27</v>
      </c>
      <c r="M964">
        <v>11.5</v>
      </c>
      <c r="N964">
        <v>4.2683252888748101E-2</v>
      </c>
      <c r="O964">
        <v>0.132966950622742</v>
      </c>
    </row>
    <row r="965" spans="1:15" x14ac:dyDescent="0.3">
      <c r="A965">
        <v>4258</v>
      </c>
      <c r="B965">
        <v>2547</v>
      </c>
      <c r="C965">
        <v>310</v>
      </c>
      <c r="D965" t="s">
        <v>19</v>
      </c>
      <c r="E965" t="s">
        <v>20</v>
      </c>
      <c r="F965" t="s">
        <v>17</v>
      </c>
      <c r="G965" t="s">
        <v>26</v>
      </c>
      <c r="H965">
        <v>273.60000000000002</v>
      </c>
      <c r="I965">
        <v>255</v>
      </c>
      <c r="J965">
        <v>95.2</v>
      </c>
      <c r="K965">
        <v>63.5</v>
      </c>
      <c r="L965">
        <v>27</v>
      </c>
      <c r="M965">
        <v>11.5</v>
      </c>
      <c r="N965">
        <v>6.09049595311816E-2</v>
      </c>
      <c r="O965">
        <v>0.116440948245047</v>
      </c>
    </row>
    <row r="966" spans="1:15" x14ac:dyDescent="0.3">
      <c r="A966">
        <v>4260</v>
      </c>
      <c r="B966">
        <v>2548</v>
      </c>
      <c r="C966">
        <v>233</v>
      </c>
      <c r="D966" t="s">
        <v>19</v>
      </c>
      <c r="E966" t="s">
        <v>20</v>
      </c>
      <c r="F966" t="s">
        <v>17</v>
      </c>
      <c r="G966" t="s">
        <v>25</v>
      </c>
      <c r="H966">
        <v>274.7</v>
      </c>
      <c r="I966">
        <v>248.5</v>
      </c>
      <c r="J966">
        <v>95.9</v>
      </c>
      <c r="K966">
        <v>63.5</v>
      </c>
      <c r="L966">
        <v>27.6</v>
      </c>
      <c r="M966">
        <v>11</v>
      </c>
      <c r="N966">
        <v>2.28084694299545E-2</v>
      </c>
      <c r="O966">
        <v>0.117371375289819</v>
      </c>
    </row>
    <row r="967" spans="1:15" x14ac:dyDescent="0.3">
      <c r="A967">
        <v>4279</v>
      </c>
      <c r="B967">
        <v>2558</v>
      </c>
      <c r="C967">
        <v>176</v>
      </c>
      <c r="D967" t="s">
        <v>23</v>
      </c>
      <c r="E967" t="s">
        <v>20</v>
      </c>
      <c r="F967" t="s">
        <v>17</v>
      </c>
      <c r="G967" t="s">
        <v>26</v>
      </c>
      <c r="H967">
        <v>274.5</v>
      </c>
      <c r="I967">
        <v>261.5</v>
      </c>
      <c r="J967">
        <v>100.7</v>
      </c>
      <c r="K967">
        <v>67</v>
      </c>
      <c r="L967">
        <v>26.6</v>
      </c>
      <c r="M967">
        <v>10</v>
      </c>
      <c r="N967">
        <v>0.12690828688315001</v>
      </c>
      <c r="O967">
        <v>0.391478854545871</v>
      </c>
    </row>
    <row r="968" spans="1:15" x14ac:dyDescent="0.3">
      <c r="A968">
        <v>4280</v>
      </c>
      <c r="B968">
        <v>2559</v>
      </c>
      <c r="C968">
        <v>66</v>
      </c>
      <c r="D968" t="s">
        <v>23</v>
      </c>
      <c r="E968" t="s">
        <v>20</v>
      </c>
      <c r="F968" t="s">
        <v>21</v>
      </c>
      <c r="G968" t="s">
        <v>26</v>
      </c>
      <c r="H968">
        <v>276.2</v>
      </c>
      <c r="I968">
        <v>258</v>
      </c>
      <c r="J968">
        <v>95.8</v>
      </c>
      <c r="K968">
        <v>63.5</v>
      </c>
      <c r="L968">
        <v>26.4</v>
      </c>
      <c r="M968">
        <v>7</v>
      </c>
      <c r="N968">
        <v>0.169235447660774</v>
      </c>
      <c r="O968">
        <v>0.27098524472204899</v>
      </c>
    </row>
    <row r="969" spans="1:15" x14ac:dyDescent="0.3">
      <c r="A969">
        <v>4281</v>
      </c>
      <c r="B969">
        <v>2559</v>
      </c>
      <c r="C969">
        <v>66</v>
      </c>
      <c r="D969" t="s">
        <v>23</v>
      </c>
      <c r="E969" t="s">
        <v>20</v>
      </c>
      <c r="F969" t="s">
        <v>21</v>
      </c>
      <c r="G969" t="s">
        <v>26</v>
      </c>
      <c r="H969">
        <v>276.2</v>
      </c>
      <c r="I969">
        <v>258</v>
      </c>
      <c r="J969">
        <v>95.8</v>
      </c>
      <c r="K969">
        <v>63.5</v>
      </c>
      <c r="L969">
        <v>26.4</v>
      </c>
      <c r="M969">
        <v>7</v>
      </c>
      <c r="N969">
        <v>0.183576750603688</v>
      </c>
      <c r="O969">
        <v>0.27765237349948502</v>
      </c>
    </row>
    <row r="970" spans="1:15" x14ac:dyDescent="0.3">
      <c r="A970">
        <v>4282</v>
      </c>
      <c r="B970">
        <v>2559</v>
      </c>
      <c r="C970">
        <v>66</v>
      </c>
      <c r="D970" t="s">
        <v>23</v>
      </c>
      <c r="E970" t="s">
        <v>20</v>
      </c>
      <c r="F970" t="s">
        <v>21</v>
      </c>
      <c r="G970" t="s">
        <v>26</v>
      </c>
      <c r="H970">
        <v>276.2</v>
      </c>
      <c r="I970">
        <v>258</v>
      </c>
      <c r="J970">
        <v>95.8</v>
      </c>
      <c r="K970">
        <v>63.5</v>
      </c>
      <c r="L970">
        <v>26.4</v>
      </c>
      <c r="M970">
        <v>7</v>
      </c>
      <c r="N970">
        <v>0.1556063746038</v>
      </c>
      <c r="O970">
        <v>0.254560383812583</v>
      </c>
    </row>
    <row r="971" spans="1:15" x14ac:dyDescent="0.3">
      <c r="A971">
        <v>4292</v>
      </c>
      <c r="B971">
        <v>2562</v>
      </c>
      <c r="C971">
        <v>50</v>
      </c>
      <c r="D971" t="s">
        <v>23</v>
      </c>
      <c r="E971" t="s">
        <v>16</v>
      </c>
      <c r="F971" t="s">
        <v>17</v>
      </c>
      <c r="G971" t="s">
        <v>24</v>
      </c>
      <c r="H971">
        <v>276.7</v>
      </c>
      <c r="I971">
        <v>242</v>
      </c>
      <c r="J971">
        <v>95.6</v>
      </c>
      <c r="K971">
        <v>65</v>
      </c>
      <c r="L971">
        <v>22.2</v>
      </c>
      <c r="M971">
        <v>8</v>
      </c>
      <c r="N971">
        <v>0.25864785615959102</v>
      </c>
      <c r="O971">
        <v>0.27916109564566199</v>
      </c>
    </row>
    <row r="972" spans="1:15" x14ac:dyDescent="0.3">
      <c r="A972">
        <v>4293</v>
      </c>
      <c r="B972">
        <v>2562</v>
      </c>
      <c r="C972">
        <v>50</v>
      </c>
      <c r="D972" t="s">
        <v>23</v>
      </c>
      <c r="E972" t="s">
        <v>16</v>
      </c>
      <c r="F972" t="s">
        <v>17</v>
      </c>
      <c r="G972" t="s">
        <v>24</v>
      </c>
      <c r="H972">
        <v>276.7</v>
      </c>
      <c r="I972">
        <v>242</v>
      </c>
      <c r="J972">
        <v>95.6</v>
      </c>
      <c r="K972">
        <v>65</v>
      </c>
      <c r="L972">
        <v>22.2</v>
      </c>
      <c r="M972">
        <v>8</v>
      </c>
      <c r="N972">
        <v>0.27297783897331401</v>
      </c>
      <c r="O972">
        <v>0.30776750689162602</v>
      </c>
    </row>
    <row r="973" spans="1:15" x14ac:dyDescent="0.3">
      <c r="A973">
        <v>4304</v>
      </c>
      <c r="B973">
        <v>2569</v>
      </c>
      <c r="C973">
        <v>302</v>
      </c>
      <c r="D973" t="s">
        <v>19</v>
      </c>
      <c r="E973" t="s">
        <v>16</v>
      </c>
      <c r="F973" t="s">
        <v>17</v>
      </c>
      <c r="G973" t="s">
        <v>25</v>
      </c>
      <c r="H973">
        <v>274</v>
      </c>
      <c r="I973">
        <v>240</v>
      </c>
      <c r="J973">
        <v>93.6</v>
      </c>
      <c r="K973">
        <v>65</v>
      </c>
      <c r="L973">
        <v>24.2</v>
      </c>
      <c r="M973">
        <v>5</v>
      </c>
      <c r="N973">
        <v>0.24544839342145799</v>
      </c>
      <c r="O973">
        <v>0.14019703909397899</v>
      </c>
    </row>
    <row r="974" spans="1:15" x14ac:dyDescent="0.3">
      <c r="A974">
        <v>4305</v>
      </c>
      <c r="B974">
        <v>257</v>
      </c>
      <c r="C974">
        <v>31</v>
      </c>
      <c r="D974" t="s">
        <v>23</v>
      </c>
      <c r="E974" t="s">
        <v>16</v>
      </c>
      <c r="F974" t="s">
        <v>21</v>
      </c>
      <c r="G974" t="s">
        <v>24</v>
      </c>
      <c r="H974">
        <v>274</v>
      </c>
      <c r="I974">
        <v>250</v>
      </c>
      <c r="J974">
        <v>99.4</v>
      </c>
      <c r="K974">
        <v>68.5</v>
      </c>
      <c r="L974">
        <v>23.2</v>
      </c>
      <c r="M974">
        <v>10</v>
      </c>
      <c r="N974">
        <v>0.190673664667728</v>
      </c>
      <c r="O974">
        <v>0.183711734619077</v>
      </c>
    </row>
    <row r="975" spans="1:15" x14ac:dyDescent="0.3">
      <c r="A975">
        <v>4306</v>
      </c>
      <c r="B975">
        <v>257</v>
      </c>
      <c r="C975">
        <v>31</v>
      </c>
      <c r="D975" t="s">
        <v>23</v>
      </c>
      <c r="E975" t="s">
        <v>16</v>
      </c>
      <c r="F975" t="s">
        <v>21</v>
      </c>
      <c r="G975" t="s">
        <v>24</v>
      </c>
      <c r="H975">
        <v>274</v>
      </c>
      <c r="I975">
        <v>250</v>
      </c>
      <c r="J975">
        <v>99.4</v>
      </c>
      <c r="K975">
        <v>68.5</v>
      </c>
      <c r="L975">
        <v>23.2</v>
      </c>
      <c r="M975">
        <v>10</v>
      </c>
      <c r="N975">
        <v>0.22132535332070799</v>
      </c>
      <c r="O975">
        <v>0.17490269816211701</v>
      </c>
    </row>
    <row r="976" spans="1:15" x14ac:dyDescent="0.3">
      <c r="A976">
        <v>4307</v>
      </c>
      <c r="B976">
        <v>257</v>
      </c>
      <c r="C976">
        <v>31</v>
      </c>
      <c r="D976" t="s">
        <v>23</v>
      </c>
      <c r="E976" t="s">
        <v>16</v>
      </c>
      <c r="F976" t="s">
        <v>21</v>
      </c>
      <c r="G976" t="s">
        <v>24</v>
      </c>
      <c r="H976">
        <v>274</v>
      </c>
      <c r="I976">
        <v>250</v>
      </c>
      <c r="J976">
        <v>99.4</v>
      </c>
      <c r="K976">
        <v>68.5</v>
      </c>
      <c r="L976">
        <v>23.2</v>
      </c>
      <c r="M976">
        <v>10</v>
      </c>
      <c r="N976">
        <v>0.21608771277639499</v>
      </c>
      <c r="O976">
        <v>0.18342657712390401</v>
      </c>
    </row>
    <row r="977" spans="1:15" x14ac:dyDescent="0.3">
      <c r="A977">
        <v>4308</v>
      </c>
      <c r="B977">
        <v>257</v>
      </c>
      <c r="C977">
        <v>31</v>
      </c>
      <c r="D977" t="s">
        <v>23</v>
      </c>
      <c r="E977" t="s">
        <v>16</v>
      </c>
      <c r="F977" t="s">
        <v>21</v>
      </c>
      <c r="G977" t="s">
        <v>24</v>
      </c>
      <c r="H977">
        <v>274</v>
      </c>
      <c r="I977">
        <v>250</v>
      </c>
      <c r="J977">
        <v>99.4</v>
      </c>
      <c r="K977">
        <v>68.5</v>
      </c>
      <c r="L977">
        <v>23.2</v>
      </c>
      <c r="M977">
        <v>10</v>
      </c>
      <c r="N977">
        <v>0.18556605260451101</v>
      </c>
      <c r="O977">
        <v>0.17216962771147601</v>
      </c>
    </row>
    <row r="978" spans="1:15" x14ac:dyDescent="0.3">
      <c r="A978">
        <v>4315</v>
      </c>
      <c r="B978">
        <v>2575</v>
      </c>
      <c r="C978">
        <v>434</v>
      </c>
      <c r="D978" t="s">
        <v>15</v>
      </c>
      <c r="E978" t="s">
        <v>20</v>
      </c>
      <c r="F978" t="s">
        <v>17</v>
      </c>
      <c r="G978" t="s">
        <v>18</v>
      </c>
      <c r="H978">
        <v>279.10000000000002</v>
      </c>
      <c r="I978">
        <v>250</v>
      </c>
      <c r="J978">
        <v>93.3</v>
      </c>
      <c r="K978">
        <v>66</v>
      </c>
      <c r="L978">
        <v>27.9</v>
      </c>
      <c r="M978">
        <v>6</v>
      </c>
      <c r="N978">
        <v>0.27597364356923998</v>
      </c>
      <c r="O978">
        <v>5.1678508883601301E-2</v>
      </c>
    </row>
    <row r="979" spans="1:15" x14ac:dyDescent="0.3">
      <c r="A979">
        <v>4325</v>
      </c>
      <c r="B979">
        <v>258</v>
      </c>
      <c r="C979">
        <v>79</v>
      </c>
      <c r="D979" t="s">
        <v>23</v>
      </c>
      <c r="E979" t="s">
        <v>20</v>
      </c>
      <c r="F979" t="s">
        <v>21</v>
      </c>
      <c r="G979" t="s">
        <v>24</v>
      </c>
      <c r="H979">
        <v>276.8</v>
      </c>
      <c r="I979">
        <v>258.5</v>
      </c>
      <c r="J979">
        <v>101.8</v>
      </c>
      <c r="K979">
        <v>65</v>
      </c>
      <c r="L979">
        <v>24.9</v>
      </c>
      <c r="M979">
        <v>11.5</v>
      </c>
      <c r="N979">
        <v>0.16489018409140599</v>
      </c>
      <c r="O979">
        <v>0.21412793200522601</v>
      </c>
    </row>
    <row r="980" spans="1:15" x14ac:dyDescent="0.3">
      <c r="A980">
        <v>4326</v>
      </c>
      <c r="B980">
        <v>258</v>
      </c>
      <c r="C980">
        <v>79</v>
      </c>
      <c r="D980" t="s">
        <v>23</v>
      </c>
      <c r="E980" t="s">
        <v>20</v>
      </c>
      <c r="F980" t="s">
        <v>21</v>
      </c>
      <c r="G980" t="s">
        <v>24</v>
      </c>
      <c r="H980">
        <v>276.8</v>
      </c>
      <c r="I980">
        <v>258.5</v>
      </c>
      <c r="J980">
        <v>101.8</v>
      </c>
      <c r="K980">
        <v>65</v>
      </c>
      <c r="L980">
        <v>24.9</v>
      </c>
      <c r="M980">
        <v>11.5</v>
      </c>
      <c r="N980">
        <v>0.16228979234813001</v>
      </c>
      <c r="O980">
        <v>0.226612993333656</v>
      </c>
    </row>
    <row r="981" spans="1:15" x14ac:dyDescent="0.3">
      <c r="A981">
        <v>4329</v>
      </c>
      <c r="B981">
        <v>2582</v>
      </c>
      <c r="C981">
        <v>466</v>
      </c>
      <c r="D981" t="s">
        <v>23</v>
      </c>
      <c r="E981" t="s">
        <v>20</v>
      </c>
      <c r="F981" t="s">
        <v>17</v>
      </c>
      <c r="G981" t="s">
        <v>22</v>
      </c>
      <c r="H981">
        <v>282.10000000000002</v>
      </c>
      <c r="I981">
        <v>257</v>
      </c>
      <c r="J981">
        <v>100.3</v>
      </c>
      <c r="K981">
        <v>68.5</v>
      </c>
      <c r="L981">
        <v>27.5</v>
      </c>
      <c r="M981">
        <v>11</v>
      </c>
      <c r="N981">
        <v>4.6506253762363503E-2</v>
      </c>
      <c r="O981">
        <v>0.25622845143496797</v>
      </c>
    </row>
    <row r="982" spans="1:15" x14ac:dyDescent="0.3">
      <c r="A982">
        <v>4330</v>
      </c>
      <c r="B982">
        <v>2582</v>
      </c>
      <c r="C982">
        <v>466</v>
      </c>
      <c r="D982" t="s">
        <v>23</v>
      </c>
      <c r="E982" t="s">
        <v>20</v>
      </c>
      <c r="F982" t="s">
        <v>17</v>
      </c>
      <c r="G982" t="s">
        <v>22</v>
      </c>
      <c r="H982">
        <v>282.10000000000002</v>
      </c>
      <c r="I982">
        <v>257</v>
      </c>
      <c r="J982">
        <v>100.3</v>
      </c>
      <c r="K982">
        <v>68.5</v>
      </c>
      <c r="L982">
        <v>27.5</v>
      </c>
      <c r="M982">
        <v>11</v>
      </c>
      <c r="N982">
        <v>4.4140819478087602E-2</v>
      </c>
      <c r="O982">
        <v>0.27336302839662602</v>
      </c>
    </row>
    <row r="983" spans="1:15" x14ac:dyDescent="0.3">
      <c r="A983">
        <v>4334</v>
      </c>
      <c r="B983">
        <v>2585</v>
      </c>
      <c r="C983">
        <v>267</v>
      </c>
      <c r="D983" t="s">
        <v>23</v>
      </c>
      <c r="E983" t="s">
        <v>20</v>
      </c>
      <c r="F983" t="s">
        <v>21</v>
      </c>
      <c r="G983" t="s">
        <v>25</v>
      </c>
      <c r="H983">
        <v>275.39999999999998</v>
      </c>
      <c r="I983">
        <v>244.5</v>
      </c>
      <c r="J983">
        <v>95.4</v>
      </c>
      <c r="K983">
        <v>67</v>
      </c>
      <c r="L983">
        <v>22.2</v>
      </c>
      <c r="M983">
        <v>9.5</v>
      </c>
      <c r="N983">
        <v>0.24016913800561501</v>
      </c>
      <c r="O983">
        <v>0.21266453466718399</v>
      </c>
    </row>
    <row r="984" spans="1:15" x14ac:dyDescent="0.3">
      <c r="A984">
        <v>4335</v>
      </c>
      <c r="B984">
        <v>2585</v>
      </c>
      <c r="C984">
        <v>267</v>
      </c>
      <c r="D984" t="s">
        <v>23</v>
      </c>
      <c r="E984" t="s">
        <v>20</v>
      </c>
      <c r="F984" t="s">
        <v>21</v>
      </c>
      <c r="G984" t="s">
        <v>25</v>
      </c>
      <c r="H984">
        <v>275.39999999999998</v>
      </c>
      <c r="I984">
        <v>244.5</v>
      </c>
      <c r="J984">
        <v>95.4</v>
      </c>
      <c r="K984">
        <v>67</v>
      </c>
      <c r="L984">
        <v>22.2</v>
      </c>
      <c r="M984">
        <v>9.5</v>
      </c>
      <c r="N984">
        <v>0.27191825614589399</v>
      </c>
      <c r="O984">
        <v>0.21850212452629</v>
      </c>
    </row>
    <row r="985" spans="1:15" x14ac:dyDescent="0.3">
      <c r="A985">
        <v>4342</v>
      </c>
      <c r="B985">
        <v>2588</v>
      </c>
      <c r="C985">
        <v>256</v>
      </c>
      <c r="D985" t="s">
        <v>23</v>
      </c>
      <c r="E985" t="s">
        <v>16</v>
      </c>
      <c r="F985" t="s">
        <v>17</v>
      </c>
      <c r="G985" t="s">
        <v>22</v>
      </c>
      <c r="H985">
        <v>276.89999999999998</v>
      </c>
      <c r="I985">
        <v>246</v>
      </c>
      <c r="J985">
        <v>94.3</v>
      </c>
      <c r="K985">
        <v>65.5</v>
      </c>
      <c r="L985">
        <v>25.1</v>
      </c>
      <c r="M985">
        <v>6</v>
      </c>
      <c r="N985">
        <v>0.20684865658858601</v>
      </c>
      <c r="O985">
        <v>0.41854924428655299</v>
      </c>
    </row>
    <row r="986" spans="1:15" x14ac:dyDescent="0.3">
      <c r="A986">
        <v>4343</v>
      </c>
      <c r="B986">
        <v>2588</v>
      </c>
      <c r="C986">
        <v>256</v>
      </c>
      <c r="D986" t="s">
        <v>23</v>
      </c>
      <c r="E986" t="s">
        <v>16</v>
      </c>
      <c r="F986" t="s">
        <v>17</v>
      </c>
      <c r="G986" t="s">
        <v>22</v>
      </c>
      <c r="H986">
        <v>276.89999999999998</v>
      </c>
      <c r="I986">
        <v>246</v>
      </c>
      <c r="J986">
        <v>94.3</v>
      </c>
      <c r="K986">
        <v>65.5</v>
      </c>
      <c r="L986">
        <v>25.1</v>
      </c>
      <c r="M986">
        <v>6</v>
      </c>
      <c r="N986">
        <v>0.228191415144883</v>
      </c>
      <c r="O986">
        <v>0.40203719893829698</v>
      </c>
    </row>
    <row r="987" spans="1:15" x14ac:dyDescent="0.3">
      <c r="A987">
        <v>4350</v>
      </c>
      <c r="B987">
        <v>2590</v>
      </c>
      <c r="C987">
        <v>89</v>
      </c>
      <c r="D987" t="s">
        <v>19</v>
      </c>
      <c r="E987" t="s">
        <v>20</v>
      </c>
      <c r="F987" t="s">
        <v>21</v>
      </c>
      <c r="G987" t="s">
        <v>24</v>
      </c>
      <c r="H987">
        <v>275.89999999999998</v>
      </c>
      <c r="I987">
        <v>245.5</v>
      </c>
      <c r="J987">
        <v>92.8</v>
      </c>
      <c r="K987">
        <v>66.5</v>
      </c>
      <c r="L987">
        <v>26.7</v>
      </c>
      <c r="M987">
        <v>12.5</v>
      </c>
      <c r="N987">
        <v>7.0028133750480601E-2</v>
      </c>
      <c r="O987">
        <v>0.10104709620209799</v>
      </c>
    </row>
    <row r="988" spans="1:15" x14ac:dyDescent="0.3">
      <c r="A988">
        <v>4351</v>
      </c>
      <c r="B988">
        <v>2590</v>
      </c>
      <c r="C988">
        <v>89</v>
      </c>
      <c r="D988" t="s">
        <v>19</v>
      </c>
      <c r="E988" t="s">
        <v>20</v>
      </c>
      <c r="F988" t="s">
        <v>21</v>
      </c>
      <c r="G988" t="s">
        <v>24</v>
      </c>
      <c r="H988">
        <v>275.89999999999998</v>
      </c>
      <c r="I988">
        <v>245.5</v>
      </c>
      <c r="J988">
        <v>92.8</v>
      </c>
      <c r="K988">
        <v>66.5</v>
      </c>
      <c r="L988">
        <v>26.7</v>
      </c>
      <c r="M988">
        <v>12.5</v>
      </c>
      <c r="N988">
        <v>9.6726565602888295E-2</v>
      </c>
      <c r="O988">
        <v>0.12960051698133501</v>
      </c>
    </row>
    <row r="989" spans="1:15" x14ac:dyDescent="0.3">
      <c r="A989">
        <v>4352</v>
      </c>
      <c r="B989">
        <v>2590</v>
      </c>
      <c r="C989">
        <v>89</v>
      </c>
      <c r="D989" t="s">
        <v>19</v>
      </c>
      <c r="E989" t="s">
        <v>20</v>
      </c>
      <c r="F989" t="s">
        <v>21</v>
      </c>
      <c r="G989" t="s">
        <v>24</v>
      </c>
      <c r="H989">
        <v>275.89999999999998</v>
      </c>
      <c r="I989">
        <v>245.5</v>
      </c>
      <c r="J989">
        <v>92.8</v>
      </c>
      <c r="K989">
        <v>66.5</v>
      </c>
      <c r="L989">
        <v>26.7</v>
      </c>
      <c r="M989">
        <v>12.5</v>
      </c>
      <c r="N989">
        <v>9.0749384801099398E-2</v>
      </c>
      <c r="O989">
        <v>0.11880374171479401</v>
      </c>
    </row>
    <row r="990" spans="1:15" x14ac:dyDescent="0.3">
      <c r="A990">
        <v>4353</v>
      </c>
      <c r="B990">
        <v>2590</v>
      </c>
      <c r="C990">
        <v>89</v>
      </c>
      <c r="D990" t="s">
        <v>19</v>
      </c>
      <c r="E990" t="s">
        <v>20</v>
      </c>
      <c r="F990" t="s">
        <v>21</v>
      </c>
      <c r="G990" t="s">
        <v>24</v>
      </c>
      <c r="H990">
        <v>275.89999999999998</v>
      </c>
      <c r="I990">
        <v>245.5</v>
      </c>
      <c r="J990">
        <v>92.8</v>
      </c>
      <c r="K990">
        <v>66.5</v>
      </c>
      <c r="L990">
        <v>26.7</v>
      </c>
      <c r="M990">
        <v>12.5</v>
      </c>
      <c r="N990">
        <v>6.7687317240868197E-2</v>
      </c>
      <c r="O990">
        <v>0.109550135892358</v>
      </c>
    </row>
    <row r="991" spans="1:15" x14ac:dyDescent="0.3">
      <c r="A991">
        <v>4355</v>
      </c>
      <c r="B991">
        <v>2592</v>
      </c>
      <c r="C991">
        <v>110</v>
      </c>
      <c r="D991" t="s">
        <v>23</v>
      </c>
      <c r="E991" t="s">
        <v>20</v>
      </c>
      <c r="F991" t="s">
        <v>21</v>
      </c>
      <c r="G991" t="s">
        <v>26</v>
      </c>
      <c r="H991">
        <v>271.3</v>
      </c>
      <c r="I991">
        <v>247.5</v>
      </c>
      <c r="J991">
        <v>95</v>
      </c>
      <c r="K991">
        <v>65.5</v>
      </c>
      <c r="L991">
        <v>24.5</v>
      </c>
      <c r="M991">
        <v>8</v>
      </c>
      <c r="N991">
        <v>0.22400074853610999</v>
      </c>
      <c r="O991">
        <v>0.34782654694327397</v>
      </c>
    </row>
    <row r="992" spans="1:15" x14ac:dyDescent="0.3">
      <c r="A992">
        <v>4356</v>
      </c>
      <c r="B992">
        <v>2592</v>
      </c>
      <c r="C992">
        <v>110</v>
      </c>
      <c r="D992" t="s">
        <v>23</v>
      </c>
      <c r="E992" t="s">
        <v>20</v>
      </c>
      <c r="F992" t="s">
        <v>21</v>
      </c>
      <c r="G992" t="s">
        <v>26</v>
      </c>
      <c r="H992">
        <v>271.3</v>
      </c>
      <c r="I992">
        <v>247.5</v>
      </c>
      <c r="J992">
        <v>95</v>
      </c>
      <c r="K992">
        <v>65.5</v>
      </c>
      <c r="L992">
        <v>24.5</v>
      </c>
      <c r="M992">
        <v>8</v>
      </c>
      <c r="N992">
        <v>0.24441966966907899</v>
      </c>
      <c r="O992">
        <v>0.360651133913726</v>
      </c>
    </row>
    <row r="993" spans="1:15" x14ac:dyDescent="0.3">
      <c r="A993">
        <v>4357</v>
      </c>
      <c r="B993">
        <v>2592</v>
      </c>
      <c r="C993">
        <v>110</v>
      </c>
      <c r="D993" t="s">
        <v>23</v>
      </c>
      <c r="E993" t="s">
        <v>20</v>
      </c>
      <c r="F993" t="s">
        <v>21</v>
      </c>
      <c r="G993" t="s">
        <v>26</v>
      </c>
      <c r="H993">
        <v>271.3</v>
      </c>
      <c r="I993">
        <v>247.5</v>
      </c>
      <c r="J993">
        <v>95</v>
      </c>
      <c r="K993">
        <v>65.5</v>
      </c>
      <c r="L993">
        <v>24.5</v>
      </c>
      <c r="M993">
        <v>8</v>
      </c>
      <c r="N993">
        <v>0.23990713710434</v>
      </c>
      <c r="O993">
        <v>0.37014752073859197</v>
      </c>
    </row>
    <row r="994" spans="1:15" x14ac:dyDescent="0.3">
      <c r="A994">
        <v>4365</v>
      </c>
      <c r="B994">
        <v>2595</v>
      </c>
      <c r="C994">
        <v>218</v>
      </c>
      <c r="D994" t="s">
        <v>19</v>
      </c>
      <c r="E994" t="s">
        <v>16</v>
      </c>
      <c r="F994" t="s">
        <v>17</v>
      </c>
      <c r="G994" t="s">
        <v>25</v>
      </c>
      <c r="H994">
        <v>274.5</v>
      </c>
      <c r="I994">
        <v>258</v>
      </c>
      <c r="J994">
        <v>101.5</v>
      </c>
      <c r="K994">
        <v>66.5</v>
      </c>
      <c r="L994">
        <v>27.9</v>
      </c>
      <c r="M994">
        <v>10</v>
      </c>
      <c r="N994">
        <v>0.13273612416271199</v>
      </c>
      <c r="O994">
        <v>7.9099635891665201E-2</v>
      </c>
    </row>
    <row r="995" spans="1:15" x14ac:dyDescent="0.3">
      <c r="A995">
        <v>4366</v>
      </c>
      <c r="B995">
        <v>2595</v>
      </c>
      <c r="C995">
        <v>218</v>
      </c>
      <c r="D995" t="s">
        <v>19</v>
      </c>
      <c r="E995" t="s">
        <v>16</v>
      </c>
      <c r="F995" t="s">
        <v>17</v>
      </c>
      <c r="G995" t="s">
        <v>25</v>
      </c>
      <c r="H995">
        <v>274.5</v>
      </c>
      <c r="I995">
        <v>258</v>
      </c>
      <c r="J995">
        <v>101.5</v>
      </c>
      <c r="K995">
        <v>66.5</v>
      </c>
      <c r="L995">
        <v>27.9</v>
      </c>
      <c r="M995">
        <v>10</v>
      </c>
      <c r="N995">
        <v>0.115216762247374</v>
      </c>
      <c r="O995">
        <v>8.6976876264688793E-2</v>
      </c>
    </row>
    <row r="996" spans="1:15" x14ac:dyDescent="0.3">
      <c r="A996">
        <v>4368</v>
      </c>
      <c r="B996">
        <v>2597</v>
      </c>
      <c r="C996">
        <v>314</v>
      </c>
      <c r="D996" t="s">
        <v>19</v>
      </c>
      <c r="E996" t="s">
        <v>20</v>
      </c>
      <c r="F996" t="s">
        <v>17</v>
      </c>
      <c r="G996" t="s">
        <v>18</v>
      </c>
      <c r="H996">
        <v>273.5</v>
      </c>
      <c r="I996">
        <v>251.5</v>
      </c>
      <c r="J996">
        <v>97.5</v>
      </c>
      <c r="K996">
        <v>65</v>
      </c>
      <c r="L996">
        <v>25.5</v>
      </c>
      <c r="M996">
        <v>13</v>
      </c>
      <c r="N996">
        <v>0.216208511518209</v>
      </c>
      <c r="O996">
        <v>8.1369468716548696E-2</v>
      </c>
    </row>
    <row r="997" spans="1:15" x14ac:dyDescent="0.3">
      <c r="A997">
        <v>4369</v>
      </c>
      <c r="B997">
        <v>2597</v>
      </c>
      <c r="C997">
        <v>314</v>
      </c>
      <c r="D997" t="s">
        <v>19</v>
      </c>
      <c r="E997" t="s">
        <v>20</v>
      </c>
      <c r="F997" t="s">
        <v>17</v>
      </c>
      <c r="G997" t="s">
        <v>18</v>
      </c>
      <c r="H997">
        <v>273.5</v>
      </c>
      <c r="I997">
        <v>251.5</v>
      </c>
      <c r="J997">
        <v>97.5</v>
      </c>
      <c r="K997">
        <v>65</v>
      </c>
      <c r="L997">
        <v>25.5</v>
      </c>
      <c r="M997">
        <v>13</v>
      </c>
      <c r="N997">
        <v>0.221630475295676</v>
      </c>
      <c r="O997">
        <v>8.6705668084085794E-2</v>
      </c>
    </row>
    <row r="998" spans="1:15" x14ac:dyDescent="0.3">
      <c r="A998">
        <v>4370</v>
      </c>
      <c r="B998">
        <v>2597</v>
      </c>
      <c r="C998">
        <v>314</v>
      </c>
      <c r="D998" t="s">
        <v>19</v>
      </c>
      <c r="E998" t="s">
        <v>20</v>
      </c>
      <c r="F998" t="s">
        <v>17</v>
      </c>
      <c r="G998" t="s">
        <v>18</v>
      </c>
      <c r="H998">
        <v>273.5</v>
      </c>
      <c r="I998">
        <v>251.5</v>
      </c>
      <c r="J998">
        <v>97.5</v>
      </c>
      <c r="K998">
        <v>65</v>
      </c>
      <c r="L998">
        <v>25.5</v>
      </c>
      <c r="M998">
        <v>13</v>
      </c>
      <c r="N998">
        <v>0.238558141902218</v>
      </c>
      <c r="O998">
        <v>0.104102668711105</v>
      </c>
    </row>
    <row r="999" spans="1:15" x14ac:dyDescent="0.3">
      <c r="A999">
        <v>4373</v>
      </c>
      <c r="B999">
        <v>26</v>
      </c>
      <c r="C999">
        <v>20</v>
      </c>
      <c r="D999" t="s">
        <v>23</v>
      </c>
      <c r="E999" t="s">
        <v>16</v>
      </c>
      <c r="F999" t="s">
        <v>17</v>
      </c>
      <c r="G999" t="s">
        <v>24</v>
      </c>
      <c r="H999">
        <v>282.7</v>
      </c>
      <c r="I999">
        <v>260</v>
      </c>
      <c r="J999">
        <v>103.8</v>
      </c>
      <c r="K999">
        <v>68</v>
      </c>
      <c r="L999">
        <v>26.4</v>
      </c>
      <c r="M999">
        <v>11.5</v>
      </c>
      <c r="N999">
        <v>7.0619832521474399E-2</v>
      </c>
      <c r="O999">
        <v>0.27471805920991499</v>
      </c>
    </row>
    <row r="1000" spans="1:15" x14ac:dyDescent="0.3">
      <c r="A1000">
        <v>4374</v>
      </c>
      <c r="B1000">
        <v>26</v>
      </c>
      <c r="C1000">
        <v>20</v>
      </c>
      <c r="D1000" t="s">
        <v>23</v>
      </c>
      <c r="E1000" t="s">
        <v>16</v>
      </c>
      <c r="F1000" t="s">
        <v>17</v>
      </c>
      <c r="G1000" t="s">
        <v>24</v>
      </c>
      <c r="H1000">
        <v>282.7</v>
      </c>
      <c r="I1000">
        <v>260</v>
      </c>
      <c r="J1000">
        <v>103.8</v>
      </c>
      <c r="K1000">
        <v>68</v>
      </c>
      <c r="L1000">
        <v>26.4</v>
      </c>
      <c r="M1000">
        <v>11.5</v>
      </c>
      <c r="N1000">
        <v>6.8486882729201504E-2</v>
      </c>
      <c r="O1000">
        <v>0.24417622746454601</v>
      </c>
    </row>
    <row r="1001" spans="1:15" x14ac:dyDescent="0.3">
      <c r="A1001">
        <v>4375</v>
      </c>
      <c r="B1001">
        <v>26</v>
      </c>
      <c r="C1001">
        <v>20</v>
      </c>
      <c r="D1001" t="s">
        <v>23</v>
      </c>
      <c r="E1001" t="s">
        <v>16</v>
      </c>
      <c r="F1001" t="s">
        <v>17</v>
      </c>
      <c r="G1001" t="s">
        <v>24</v>
      </c>
      <c r="H1001">
        <v>282.7</v>
      </c>
      <c r="I1001">
        <v>260</v>
      </c>
      <c r="J1001">
        <v>103.8</v>
      </c>
      <c r="K1001">
        <v>68</v>
      </c>
      <c r="L1001">
        <v>26.4</v>
      </c>
      <c r="M1001">
        <v>11.5</v>
      </c>
      <c r="N1001">
        <v>8.1203665029862093E-2</v>
      </c>
      <c r="O1001">
        <v>0.24453915955212699</v>
      </c>
    </row>
    <row r="1002" spans="1:15" x14ac:dyDescent="0.3">
      <c r="A1002">
        <v>4407</v>
      </c>
      <c r="B1002">
        <v>2607</v>
      </c>
      <c r="C1002">
        <v>125</v>
      </c>
      <c r="D1002" t="s">
        <v>23</v>
      </c>
      <c r="E1002" t="s">
        <v>20</v>
      </c>
      <c r="F1002" t="s">
        <v>21</v>
      </c>
      <c r="G1002" t="s">
        <v>18</v>
      </c>
      <c r="H1002">
        <v>274.39999999999998</v>
      </c>
      <c r="I1002">
        <v>240</v>
      </c>
      <c r="J1002">
        <v>94.3</v>
      </c>
      <c r="K1002">
        <v>68</v>
      </c>
      <c r="L1002">
        <v>23.6</v>
      </c>
      <c r="M1002">
        <v>11.5</v>
      </c>
      <c r="N1002">
        <v>0.223765334904512</v>
      </c>
      <c r="O1002">
        <v>0.43897321357209201</v>
      </c>
    </row>
    <row r="1003" spans="1:15" x14ac:dyDescent="0.3">
      <c r="A1003">
        <v>4408</v>
      </c>
      <c r="B1003">
        <v>2607</v>
      </c>
      <c r="C1003">
        <v>125</v>
      </c>
      <c r="D1003" t="s">
        <v>23</v>
      </c>
      <c r="E1003" t="s">
        <v>20</v>
      </c>
      <c r="F1003" t="s">
        <v>21</v>
      </c>
      <c r="G1003" t="s">
        <v>18</v>
      </c>
      <c r="H1003">
        <v>274.39999999999998</v>
      </c>
      <c r="I1003">
        <v>240</v>
      </c>
      <c r="J1003">
        <v>94.3</v>
      </c>
      <c r="K1003">
        <v>68</v>
      </c>
      <c r="L1003">
        <v>23.6</v>
      </c>
      <c r="M1003">
        <v>11.5</v>
      </c>
      <c r="N1003">
        <v>0.20782474700904299</v>
      </c>
      <c r="O1003">
        <v>0.42770200900106697</v>
      </c>
    </row>
    <row r="1004" spans="1:15" x14ac:dyDescent="0.3">
      <c r="A1004">
        <v>4409</v>
      </c>
      <c r="B1004">
        <v>2607</v>
      </c>
      <c r="C1004">
        <v>125</v>
      </c>
      <c r="D1004" t="s">
        <v>23</v>
      </c>
      <c r="E1004" t="s">
        <v>20</v>
      </c>
      <c r="F1004" t="s">
        <v>21</v>
      </c>
      <c r="G1004" t="s">
        <v>18</v>
      </c>
      <c r="H1004">
        <v>274.39999999999998</v>
      </c>
      <c r="I1004">
        <v>240</v>
      </c>
      <c r="J1004">
        <v>94.3</v>
      </c>
      <c r="K1004">
        <v>68</v>
      </c>
      <c r="L1004">
        <v>23.6</v>
      </c>
      <c r="M1004">
        <v>11.5</v>
      </c>
      <c r="N1004">
        <v>0.2253773899714</v>
      </c>
      <c r="O1004">
        <v>0.41336122366130501</v>
      </c>
    </row>
    <row r="1005" spans="1:15" x14ac:dyDescent="0.3">
      <c r="A1005">
        <v>4410</v>
      </c>
      <c r="B1005">
        <v>2607</v>
      </c>
      <c r="C1005">
        <v>125</v>
      </c>
      <c r="D1005" t="s">
        <v>23</v>
      </c>
      <c r="E1005" t="s">
        <v>20</v>
      </c>
      <c r="F1005" t="s">
        <v>21</v>
      </c>
      <c r="G1005" t="s">
        <v>18</v>
      </c>
      <c r="H1005">
        <v>274.39999999999998</v>
      </c>
      <c r="I1005">
        <v>240</v>
      </c>
      <c r="J1005">
        <v>94.3</v>
      </c>
      <c r="K1005">
        <v>68</v>
      </c>
      <c r="L1005">
        <v>23.6</v>
      </c>
      <c r="M1005">
        <v>11.5</v>
      </c>
      <c r="N1005">
        <v>0.19143165022874101</v>
      </c>
      <c r="O1005">
        <v>0.440645324546802</v>
      </c>
    </row>
    <row r="1006" spans="1:15" x14ac:dyDescent="0.3">
      <c r="A1006">
        <v>4411</v>
      </c>
      <c r="B1006">
        <v>2607</v>
      </c>
      <c r="C1006">
        <v>125</v>
      </c>
      <c r="D1006" t="s">
        <v>23</v>
      </c>
      <c r="E1006" t="s">
        <v>20</v>
      </c>
      <c r="F1006" t="s">
        <v>21</v>
      </c>
      <c r="G1006" t="s">
        <v>18</v>
      </c>
      <c r="H1006">
        <v>274.39999999999998</v>
      </c>
      <c r="I1006">
        <v>240</v>
      </c>
      <c r="J1006">
        <v>94.3</v>
      </c>
      <c r="K1006">
        <v>68</v>
      </c>
      <c r="L1006">
        <v>23.6</v>
      </c>
      <c r="M1006">
        <v>11.5</v>
      </c>
      <c r="N1006">
        <v>0.22008355030071799</v>
      </c>
      <c r="O1006">
        <v>0.44164021241649298</v>
      </c>
    </row>
    <row r="1007" spans="1:15" x14ac:dyDescent="0.3">
      <c r="A1007">
        <v>4415</v>
      </c>
      <c r="B1007">
        <v>261</v>
      </c>
      <c r="C1007">
        <v>233</v>
      </c>
      <c r="D1007" t="s">
        <v>19</v>
      </c>
      <c r="E1007" t="s">
        <v>20</v>
      </c>
      <c r="F1007" t="s">
        <v>17</v>
      </c>
      <c r="G1007" t="s">
        <v>18</v>
      </c>
      <c r="H1007">
        <v>274.7</v>
      </c>
      <c r="I1007">
        <v>248.5</v>
      </c>
      <c r="J1007">
        <v>95.9</v>
      </c>
      <c r="K1007">
        <v>63.5</v>
      </c>
      <c r="L1007">
        <v>27.6</v>
      </c>
      <c r="M1007">
        <v>11</v>
      </c>
      <c r="N1007">
        <v>2.4847619148992899E-2</v>
      </c>
      <c r="O1007">
        <v>0.10709167697847199</v>
      </c>
    </row>
    <row r="1008" spans="1:15" x14ac:dyDescent="0.3">
      <c r="A1008">
        <v>4416</v>
      </c>
      <c r="B1008">
        <v>261</v>
      </c>
      <c r="C1008">
        <v>233</v>
      </c>
      <c r="D1008" t="s">
        <v>19</v>
      </c>
      <c r="E1008" t="s">
        <v>20</v>
      </c>
      <c r="F1008" t="s">
        <v>17</v>
      </c>
      <c r="G1008" t="s">
        <v>18</v>
      </c>
      <c r="H1008">
        <v>274.7</v>
      </c>
      <c r="I1008">
        <v>248.5</v>
      </c>
      <c r="J1008">
        <v>95.9</v>
      </c>
      <c r="K1008">
        <v>63.5</v>
      </c>
      <c r="L1008">
        <v>27.6</v>
      </c>
      <c r="M1008">
        <v>11</v>
      </c>
      <c r="N1008">
        <v>2.30043481579085E-2</v>
      </c>
      <c r="O1008">
        <v>0.12018603650983201</v>
      </c>
    </row>
    <row r="1009" spans="1:15" x14ac:dyDescent="0.3">
      <c r="A1009">
        <v>4417</v>
      </c>
      <c r="B1009">
        <v>2610</v>
      </c>
      <c r="C1009">
        <v>149</v>
      </c>
      <c r="D1009" t="s">
        <v>19</v>
      </c>
      <c r="E1009" t="s">
        <v>20</v>
      </c>
      <c r="F1009" t="s">
        <v>17</v>
      </c>
      <c r="G1009" t="s">
        <v>24</v>
      </c>
      <c r="H1009">
        <v>275.8</v>
      </c>
      <c r="I1009">
        <v>245.5</v>
      </c>
      <c r="J1009">
        <v>93.1</v>
      </c>
      <c r="K1009">
        <v>67</v>
      </c>
      <c r="L1009">
        <v>28.1</v>
      </c>
      <c r="M1009">
        <v>7</v>
      </c>
      <c r="N1009">
        <v>0.14570130278053101</v>
      </c>
      <c r="O1009">
        <v>0.105945960188586</v>
      </c>
    </row>
    <row r="1010" spans="1:15" x14ac:dyDescent="0.3">
      <c r="A1010">
        <v>4418</v>
      </c>
      <c r="B1010">
        <v>2610</v>
      </c>
      <c r="C1010">
        <v>149</v>
      </c>
      <c r="D1010" t="s">
        <v>19</v>
      </c>
      <c r="E1010" t="s">
        <v>20</v>
      </c>
      <c r="F1010" t="s">
        <v>17</v>
      </c>
      <c r="G1010" t="s">
        <v>24</v>
      </c>
      <c r="H1010">
        <v>275.8</v>
      </c>
      <c r="I1010">
        <v>245.5</v>
      </c>
      <c r="J1010">
        <v>93.1</v>
      </c>
      <c r="K1010">
        <v>67</v>
      </c>
      <c r="L1010">
        <v>28.1</v>
      </c>
      <c r="M1010">
        <v>7</v>
      </c>
      <c r="N1010">
        <v>0.15630748643779699</v>
      </c>
      <c r="O1010">
        <v>7.4869968601150999E-2</v>
      </c>
    </row>
    <row r="1011" spans="1:15" x14ac:dyDescent="0.3">
      <c r="A1011">
        <v>4419</v>
      </c>
      <c r="B1011">
        <v>2610</v>
      </c>
      <c r="C1011">
        <v>149</v>
      </c>
      <c r="D1011" t="s">
        <v>19</v>
      </c>
      <c r="E1011" t="s">
        <v>20</v>
      </c>
      <c r="F1011" t="s">
        <v>17</v>
      </c>
      <c r="G1011" t="s">
        <v>24</v>
      </c>
      <c r="H1011">
        <v>275.8</v>
      </c>
      <c r="I1011">
        <v>245.5</v>
      </c>
      <c r="J1011">
        <v>93.1</v>
      </c>
      <c r="K1011">
        <v>67</v>
      </c>
      <c r="L1011">
        <v>28.1</v>
      </c>
      <c r="M1011">
        <v>7</v>
      </c>
      <c r="N1011">
        <v>0.137072778595205</v>
      </c>
      <c r="O1011">
        <v>8.4830434457238604E-2</v>
      </c>
    </row>
    <row r="1012" spans="1:15" x14ac:dyDescent="0.3">
      <c r="A1012">
        <v>4420</v>
      </c>
      <c r="B1012">
        <v>2610</v>
      </c>
      <c r="C1012">
        <v>149</v>
      </c>
      <c r="D1012" t="s">
        <v>19</v>
      </c>
      <c r="E1012" t="s">
        <v>20</v>
      </c>
      <c r="F1012" t="s">
        <v>17</v>
      </c>
      <c r="G1012" t="s">
        <v>24</v>
      </c>
      <c r="H1012">
        <v>275.8</v>
      </c>
      <c r="I1012">
        <v>245.5</v>
      </c>
      <c r="J1012">
        <v>93.1</v>
      </c>
      <c r="K1012">
        <v>67</v>
      </c>
      <c r="L1012">
        <v>28.1</v>
      </c>
      <c r="M1012">
        <v>7</v>
      </c>
      <c r="N1012">
        <v>0.171373526673089</v>
      </c>
      <c r="O1012">
        <v>8.6411501370756302E-2</v>
      </c>
    </row>
    <row r="1013" spans="1:15" x14ac:dyDescent="0.3">
      <c r="A1013">
        <v>4428</v>
      </c>
      <c r="B1013">
        <v>2615</v>
      </c>
      <c r="C1013">
        <v>497</v>
      </c>
      <c r="D1013" t="s">
        <v>23</v>
      </c>
      <c r="E1013" t="s">
        <v>20</v>
      </c>
      <c r="F1013" t="s">
        <v>17</v>
      </c>
      <c r="G1013" t="s">
        <v>26</v>
      </c>
      <c r="H1013">
        <v>269.7</v>
      </c>
      <c r="I1013">
        <v>245</v>
      </c>
      <c r="J1013">
        <v>94</v>
      </c>
      <c r="K1013">
        <v>67</v>
      </c>
      <c r="L1013">
        <v>24.2</v>
      </c>
      <c r="M1013">
        <v>9</v>
      </c>
      <c r="N1013">
        <v>0.224906896502194</v>
      </c>
      <c r="O1013">
        <v>0.37316404351745502</v>
      </c>
    </row>
    <row r="1014" spans="1:15" x14ac:dyDescent="0.3">
      <c r="A1014">
        <v>4429</v>
      </c>
      <c r="B1014">
        <v>2615</v>
      </c>
      <c r="C1014">
        <v>497</v>
      </c>
      <c r="D1014" t="s">
        <v>23</v>
      </c>
      <c r="E1014" t="s">
        <v>20</v>
      </c>
      <c r="F1014" t="s">
        <v>17</v>
      </c>
      <c r="G1014" t="s">
        <v>26</v>
      </c>
      <c r="H1014">
        <v>269.7</v>
      </c>
      <c r="I1014">
        <v>245</v>
      </c>
      <c r="J1014">
        <v>94</v>
      </c>
      <c r="K1014">
        <v>67</v>
      </c>
      <c r="L1014">
        <v>24.2</v>
      </c>
      <c r="M1014">
        <v>9</v>
      </c>
      <c r="N1014">
        <v>0.20728939917868</v>
      </c>
      <c r="O1014">
        <v>0.37685979667118802</v>
      </c>
    </row>
    <row r="1015" spans="1:15" x14ac:dyDescent="0.3">
      <c r="A1015">
        <v>4430</v>
      </c>
      <c r="B1015">
        <v>2615</v>
      </c>
      <c r="C1015">
        <v>497</v>
      </c>
      <c r="D1015" t="s">
        <v>23</v>
      </c>
      <c r="E1015" t="s">
        <v>20</v>
      </c>
      <c r="F1015" t="s">
        <v>17</v>
      </c>
      <c r="G1015" t="s">
        <v>26</v>
      </c>
      <c r="H1015">
        <v>269.7</v>
      </c>
      <c r="I1015">
        <v>245</v>
      </c>
      <c r="J1015">
        <v>94</v>
      </c>
      <c r="K1015">
        <v>67</v>
      </c>
      <c r="L1015">
        <v>24.2</v>
      </c>
      <c r="M1015">
        <v>9</v>
      </c>
      <c r="N1015">
        <v>0.19760123658261899</v>
      </c>
      <c r="O1015">
        <v>0.38453118968546601</v>
      </c>
    </row>
    <row r="1016" spans="1:15" x14ac:dyDescent="0.3">
      <c r="A1016">
        <v>4434</v>
      </c>
      <c r="B1016">
        <v>2617</v>
      </c>
      <c r="C1016">
        <v>79</v>
      </c>
      <c r="D1016" t="s">
        <v>23</v>
      </c>
      <c r="E1016" t="s">
        <v>20</v>
      </c>
      <c r="F1016" t="s">
        <v>17</v>
      </c>
      <c r="G1016" t="s">
        <v>25</v>
      </c>
      <c r="H1016">
        <v>276.8</v>
      </c>
      <c r="I1016">
        <v>258.5</v>
      </c>
      <c r="J1016">
        <v>101.8</v>
      </c>
      <c r="K1016">
        <v>65</v>
      </c>
      <c r="L1016">
        <v>24.9</v>
      </c>
      <c r="M1016">
        <v>11.5</v>
      </c>
      <c r="N1016">
        <v>0.17824930091082</v>
      </c>
      <c r="O1016">
        <v>0.222756507030753</v>
      </c>
    </row>
    <row r="1017" spans="1:15" x14ac:dyDescent="0.3">
      <c r="A1017">
        <v>4435</v>
      </c>
      <c r="B1017">
        <v>2617</v>
      </c>
      <c r="C1017">
        <v>79</v>
      </c>
      <c r="D1017" t="s">
        <v>23</v>
      </c>
      <c r="E1017" t="s">
        <v>20</v>
      </c>
      <c r="F1017" t="s">
        <v>17</v>
      </c>
      <c r="G1017" t="s">
        <v>25</v>
      </c>
      <c r="H1017">
        <v>276.8</v>
      </c>
      <c r="I1017">
        <v>258.5</v>
      </c>
      <c r="J1017">
        <v>101.8</v>
      </c>
      <c r="K1017">
        <v>65</v>
      </c>
      <c r="L1017">
        <v>24.9</v>
      </c>
      <c r="M1017">
        <v>11.5</v>
      </c>
      <c r="N1017">
        <v>0.160283313805195</v>
      </c>
      <c r="O1017">
        <v>0.203609806872312</v>
      </c>
    </row>
    <row r="1018" spans="1:15" x14ac:dyDescent="0.3">
      <c r="A1018">
        <v>4436</v>
      </c>
      <c r="B1018">
        <v>2617</v>
      </c>
      <c r="C1018">
        <v>79</v>
      </c>
      <c r="D1018" t="s">
        <v>23</v>
      </c>
      <c r="E1018" t="s">
        <v>20</v>
      </c>
      <c r="F1018" t="s">
        <v>17</v>
      </c>
      <c r="G1018" t="s">
        <v>25</v>
      </c>
      <c r="H1018">
        <v>276.8</v>
      </c>
      <c r="I1018">
        <v>258.5</v>
      </c>
      <c r="J1018">
        <v>101.8</v>
      </c>
      <c r="K1018">
        <v>65</v>
      </c>
      <c r="L1018">
        <v>24.9</v>
      </c>
      <c r="M1018">
        <v>11.5</v>
      </c>
      <c r="N1018">
        <v>0.17762900452314001</v>
      </c>
      <c r="O1018">
        <v>0.19695639498844</v>
      </c>
    </row>
    <row r="1019" spans="1:15" x14ac:dyDescent="0.3">
      <c r="A1019">
        <v>4441</v>
      </c>
      <c r="B1019">
        <v>2620</v>
      </c>
      <c r="C1019">
        <v>417</v>
      </c>
      <c r="D1019" t="s">
        <v>19</v>
      </c>
      <c r="E1019" t="s">
        <v>16</v>
      </c>
      <c r="F1019" t="s">
        <v>21</v>
      </c>
      <c r="G1019" t="s">
        <v>25</v>
      </c>
      <c r="H1019">
        <v>268.60000000000002</v>
      </c>
      <c r="I1019">
        <v>234.5</v>
      </c>
      <c r="J1019">
        <v>92.8</v>
      </c>
      <c r="K1019">
        <v>64</v>
      </c>
      <c r="L1019">
        <v>24.3</v>
      </c>
      <c r="M1019">
        <v>5</v>
      </c>
      <c r="N1019">
        <v>0.22120146773938201</v>
      </c>
      <c r="O1019">
        <v>0.169353679553955</v>
      </c>
    </row>
    <row r="1020" spans="1:15" x14ac:dyDescent="0.3">
      <c r="A1020">
        <v>4442</v>
      </c>
      <c r="B1020">
        <v>2620</v>
      </c>
      <c r="C1020">
        <v>417</v>
      </c>
      <c r="D1020" t="s">
        <v>19</v>
      </c>
      <c r="E1020" t="s">
        <v>16</v>
      </c>
      <c r="F1020" t="s">
        <v>21</v>
      </c>
      <c r="G1020" t="s">
        <v>25</v>
      </c>
      <c r="H1020">
        <v>268.60000000000002</v>
      </c>
      <c r="I1020">
        <v>234.5</v>
      </c>
      <c r="J1020">
        <v>92.8</v>
      </c>
      <c r="K1020">
        <v>64</v>
      </c>
      <c r="L1020">
        <v>24.3</v>
      </c>
      <c r="M1020">
        <v>5</v>
      </c>
      <c r="N1020">
        <v>0.21089078488473101</v>
      </c>
      <c r="O1020">
        <v>0.142062131058484</v>
      </c>
    </row>
    <row r="1021" spans="1:15" x14ac:dyDescent="0.3">
      <c r="A1021">
        <v>4443</v>
      </c>
      <c r="B1021">
        <v>2620</v>
      </c>
      <c r="C1021">
        <v>417</v>
      </c>
      <c r="D1021" t="s">
        <v>19</v>
      </c>
      <c r="E1021" t="s">
        <v>16</v>
      </c>
      <c r="F1021" t="s">
        <v>21</v>
      </c>
      <c r="G1021" t="s">
        <v>25</v>
      </c>
      <c r="H1021">
        <v>268.60000000000002</v>
      </c>
      <c r="I1021">
        <v>234.5</v>
      </c>
      <c r="J1021">
        <v>92.8</v>
      </c>
      <c r="K1021">
        <v>64</v>
      </c>
      <c r="L1021">
        <v>24.3</v>
      </c>
      <c r="M1021">
        <v>5</v>
      </c>
      <c r="N1021">
        <v>0.212363017858551</v>
      </c>
      <c r="O1021">
        <v>0.17473702248873901</v>
      </c>
    </row>
    <row r="1022" spans="1:15" x14ac:dyDescent="0.3">
      <c r="A1022">
        <v>4454</v>
      </c>
      <c r="B1022">
        <v>2625</v>
      </c>
      <c r="C1022">
        <v>79</v>
      </c>
      <c r="D1022" t="s">
        <v>23</v>
      </c>
      <c r="E1022" t="s">
        <v>20</v>
      </c>
      <c r="F1022" t="s">
        <v>17</v>
      </c>
      <c r="G1022" t="s">
        <v>22</v>
      </c>
      <c r="H1022">
        <v>276.8</v>
      </c>
      <c r="I1022">
        <v>258.5</v>
      </c>
      <c r="J1022">
        <v>101.8</v>
      </c>
      <c r="K1022">
        <v>65</v>
      </c>
      <c r="L1022">
        <v>24.9</v>
      </c>
      <c r="M1022">
        <v>11.5</v>
      </c>
      <c r="N1022">
        <v>0.17824914560324501</v>
      </c>
      <c r="O1022">
        <v>0.21388290791373801</v>
      </c>
    </row>
    <row r="1023" spans="1:15" x14ac:dyDescent="0.3">
      <c r="A1023">
        <v>4455</v>
      </c>
      <c r="B1023">
        <v>2625</v>
      </c>
      <c r="C1023">
        <v>79</v>
      </c>
      <c r="D1023" t="s">
        <v>23</v>
      </c>
      <c r="E1023" t="s">
        <v>20</v>
      </c>
      <c r="F1023" t="s">
        <v>17</v>
      </c>
      <c r="G1023" t="s">
        <v>22</v>
      </c>
      <c r="H1023">
        <v>276.8</v>
      </c>
      <c r="I1023">
        <v>258.5</v>
      </c>
      <c r="J1023">
        <v>101.8</v>
      </c>
      <c r="K1023">
        <v>65</v>
      </c>
      <c r="L1023">
        <v>24.9</v>
      </c>
      <c r="M1023">
        <v>11.5</v>
      </c>
      <c r="N1023">
        <v>0.17994190705032201</v>
      </c>
      <c r="O1023">
        <v>0.21934678177530101</v>
      </c>
    </row>
    <row r="1024" spans="1:15" x14ac:dyDescent="0.3">
      <c r="A1024">
        <v>4456</v>
      </c>
      <c r="B1024">
        <v>2625</v>
      </c>
      <c r="C1024">
        <v>79</v>
      </c>
      <c r="D1024" t="s">
        <v>23</v>
      </c>
      <c r="E1024" t="s">
        <v>20</v>
      </c>
      <c r="F1024" t="s">
        <v>17</v>
      </c>
      <c r="G1024" t="s">
        <v>22</v>
      </c>
      <c r="H1024">
        <v>276.8</v>
      </c>
      <c r="I1024">
        <v>258.5</v>
      </c>
      <c r="J1024">
        <v>101.8</v>
      </c>
      <c r="K1024">
        <v>65</v>
      </c>
      <c r="L1024">
        <v>24.9</v>
      </c>
      <c r="M1024">
        <v>11.5</v>
      </c>
      <c r="N1024">
        <v>0.165221128678499</v>
      </c>
      <c r="O1024">
        <v>0.21972540102181001</v>
      </c>
    </row>
    <row r="1025" spans="1:15" x14ac:dyDescent="0.3">
      <c r="A1025">
        <v>4457</v>
      </c>
      <c r="B1025">
        <v>2625</v>
      </c>
      <c r="C1025">
        <v>79</v>
      </c>
      <c r="D1025" t="s">
        <v>23</v>
      </c>
      <c r="E1025" t="s">
        <v>20</v>
      </c>
      <c r="F1025" t="s">
        <v>17</v>
      </c>
      <c r="G1025" t="s">
        <v>22</v>
      </c>
      <c r="H1025">
        <v>276.8</v>
      </c>
      <c r="I1025">
        <v>258.5</v>
      </c>
      <c r="J1025">
        <v>101.8</v>
      </c>
      <c r="K1025">
        <v>65</v>
      </c>
      <c r="L1025">
        <v>24.9</v>
      </c>
      <c r="M1025">
        <v>11.5</v>
      </c>
      <c r="N1025">
        <v>0.18078306209225101</v>
      </c>
      <c r="O1025">
        <v>0.19654399466484401</v>
      </c>
    </row>
    <row r="1026" spans="1:15" x14ac:dyDescent="0.3">
      <c r="A1026">
        <v>4469</v>
      </c>
      <c r="B1026">
        <v>2630</v>
      </c>
      <c r="C1026">
        <v>122</v>
      </c>
      <c r="D1026" t="s">
        <v>23</v>
      </c>
      <c r="E1026" t="s">
        <v>20</v>
      </c>
      <c r="F1026" t="s">
        <v>17</v>
      </c>
      <c r="G1026" t="s">
        <v>22</v>
      </c>
      <c r="H1026">
        <v>276.60000000000002</v>
      </c>
      <c r="I1026">
        <v>246.5</v>
      </c>
      <c r="J1026">
        <v>96.7</v>
      </c>
      <c r="K1026">
        <v>65.5</v>
      </c>
      <c r="L1026">
        <v>30.9</v>
      </c>
      <c r="M1026">
        <v>8.5</v>
      </c>
      <c r="N1026">
        <v>4.4480000554986902E-2</v>
      </c>
      <c r="O1026">
        <v>0.31677405649948498</v>
      </c>
    </row>
    <row r="1027" spans="1:15" x14ac:dyDescent="0.3">
      <c r="A1027">
        <v>4470</v>
      </c>
      <c r="B1027">
        <v>2630</v>
      </c>
      <c r="C1027">
        <v>122</v>
      </c>
      <c r="D1027" t="s">
        <v>23</v>
      </c>
      <c r="E1027" t="s">
        <v>20</v>
      </c>
      <c r="F1027" t="s">
        <v>17</v>
      </c>
      <c r="G1027" t="s">
        <v>22</v>
      </c>
      <c r="H1027">
        <v>276.60000000000002</v>
      </c>
      <c r="I1027">
        <v>246.5</v>
      </c>
      <c r="J1027">
        <v>96.7</v>
      </c>
      <c r="K1027">
        <v>65.5</v>
      </c>
      <c r="L1027">
        <v>30.9</v>
      </c>
      <c r="M1027">
        <v>8.5</v>
      </c>
      <c r="N1027">
        <v>7.2431332892092998E-2</v>
      </c>
      <c r="O1027">
        <v>0.313674524904477</v>
      </c>
    </row>
    <row r="1028" spans="1:15" x14ac:dyDescent="0.3">
      <c r="A1028">
        <v>4471</v>
      </c>
      <c r="B1028">
        <v>2630</v>
      </c>
      <c r="C1028">
        <v>122</v>
      </c>
      <c r="D1028" t="s">
        <v>23</v>
      </c>
      <c r="E1028" t="s">
        <v>20</v>
      </c>
      <c r="F1028" t="s">
        <v>17</v>
      </c>
      <c r="G1028" t="s">
        <v>22</v>
      </c>
      <c r="H1028">
        <v>276.60000000000002</v>
      </c>
      <c r="I1028">
        <v>246.5</v>
      </c>
      <c r="J1028">
        <v>96.7</v>
      </c>
      <c r="K1028">
        <v>65.5</v>
      </c>
      <c r="L1028">
        <v>30.9</v>
      </c>
      <c r="M1028">
        <v>8.5</v>
      </c>
      <c r="N1028">
        <v>7.8511624193903701E-2</v>
      </c>
      <c r="O1028">
        <v>0.30634536838830501</v>
      </c>
    </row>
    <row r="1029" spans="1:15" x14ac:dyDescent="0.3">
      <c r="A1029">
        <v>4472</v>
      </c>
      <c r="B1029">
        <v>2630</v>
      </c>
      <c r="C1029">
        <v>122</v>
      </c>
      <c r="D1029" t="s">
        <v>23</v>
      </c>
      <c r="E1029" t="s">
        <v>20</v>
      </c>
      <c r="F1029" t="s">
        <v>17</v>
      </c>
      <c r="G1029" t="s">
        <v>22</v>
      </c>
      <c r="H1029">
        <v>276.60000000000002</v>
      </c>
      <c r="I1029">
        <v>246.5</v>
      </c>
      <c r="J1029">
        <v>96.7</v>
      </c>
      <c r="K1029">
        <v>65.5</v>
      </c>
      <c r="L1029">
        <v>30.9</v>
      </c>
      <c r="M1029">
        <v>8.5</v>
      </c>
      <c r="N1029">
        <v>7.2489101809115095E-2</v>
      </c>
      <c r="O1029">
        <v>0.31203548175685902</v>
      </c>
    </row>
    <row r="1030" spans="1:15" x14ac:dyDescent="0.3">
      <c r="A1030">
        <v>4480</v>
      </c>
      <c r="B1030">
        <v>2633</v>
      </c>
      <c r="C1030">
        <v>454</v>
      </c>
      <c r="D1030" t="s">
        <v>23</v>
      </c>
      <c r="E1030" t="s">
        <v>16</v>
      </c>
      <c r="F1030" t="s">
        <v>17</v>
      </c>
      <c r="G1030" t="s">
        <v>22</v>
      </c>
      <c r="H1030">
        <v>272.8</v>
      </c>
      <c r="I1030">
        <v>242.5</v>
      </c>
      <c r="J1030">
        <v>92.2</v>
      </c>
      <c r="K1030">
        <v>67</v>
      </c>
      <c r="L1030">
        <v>26.4</v>
      </c>
      <c r="M1030">
        <v>6</v>
      </c>
      <c r="N1030">
        <v>0.20707849722421101</v>
      </c>
      <c r="O1030">
        <v>0.30815941708443501</v>
      </c>
    </row>
    <row r="1031" spans="1:15" x14ac:dyDescent="0.3">
      <c r="A1031">
        <v>4481</v>
      </c>
      <c r="B1031">
        <v>2633</v>
      </c>
      <c r="C1031">
        <v>454</v>
      </c>
      <c r="D1031" t="s">
        <v>23</v>
      </c>
      <c r="E1031" t="s">
        <v>16</v>
      </c>
      <c r="F1031" t="s">
        <v>17</v>
      </c>
      <c r="G1031" t="s">
        <v>22</v>
      </c>
      <c r="H1031">
        <v>272.8</v>
      </c>
      <c r="I1031">
        <v>242.5</v>
      </c>
      <c r="J1031">
        <v>92.2</v>
      </c>
      <c r="K1031">
        <v>67</v>
      </c>
      <c r="L1031">
        <v>26.4</v>
      </c>
      <c r="M1031">
        <v>6</v>
      </c>
      <c r="N1031">
        <v>0.183886605867424</v>
      </c>
      <c r="O1031">
        <v>0.33145109853573301</v>
      </c>
    </row>
    <row r="1032" spans="1:15" x14ac:dyDescent="0.3">
      <c r="A1032">
        <v>4482</v>
      </c>
      <c r="B1032">
        <v>2633</v>
      </c>
      <c r="C1032">
        <v>454</v>
      </c>
      <c r="D1032" t="s">
        <v>23</v>
      </c>
      <c r="E1032" t="s">
        <v>16</v>
      </c>
      <c r="F1032" t="s">
        <v>17</v>
      </c>
      <c r="G1032" t="s">
        <v>22</v>
      </c>
      <c r="H1032">
        <v>272.8</v>
      </c>
      <c r="I1032">
        <v>242.5</v>
      </c>
      <c r="J1032">
        <v>92.2</v>
      </c>
      <c r="K1032">
        <v>67</v>
      </c>
      <c r="L1032">
        <v>26.4</v>
      </c>
      <c r="M1032">
        <v>6</v>
      </c>
      <c r="N1032">
        <v>0.21431601833399699</v>
      </c>
      <c r="O1032">
        <v>0.321391362646818</v>
      </c>
    </row>
    <row r="1033" spans="1:15" x14ac:dyDescent="0.3">
      <c r="A1033">
        <v>4496</v>
      </c>
      <c r="B1033">
        <v>2637</v>
      </c>
      <c r="C1033">
        <v>149</v>
      </c>
      <c r="D1033" t="s">
        <v>19</v>
      </c>
      <c r="E1033" t="s">
        <v>20</v>
      </c>
      <c r="F1033" t="s">
        <v>17</v>
      </c>
      <c r="G1033" t="s">
        <v>25</v>
      </c>
      <c r="H1033">
        <v>275.8</v>
      </c>
      <c r="I1033">
        <v>245.5</v>
      </c>
      <c r="J1033">
        <v>93.1</v>
      </c>
      <c r="K1033">
        <v>67</v>
      </c>
      <c r="L1033">
        <v>28.1</v>
      </c>
      <c r="M1033">
        <v>7</v>
      </c>
      <c r="N1033">
        <v>0.17194526428173099</v>
      </c>
      <c r="O1033">
        <v>0.108474397447787</v>
      </c>
    </row>
    <row r="1034" spans="1:15" x14ac:dyDescent="0.3">
      <c r="A1034">
        <v>4497</v>
      </c>
      <c r="B1034">
        <v>2637</v>
      </c>
      <c r="C1034">
        <v>149</v>
      </c>
      <c r="D1034" t="s">
        <v>19</v>
      </c>
      <c r="E1034" t="s">
        <v>20</v>
      </c>
      <c r="F1034" t="s">
        <v>17</v>
      </c>
      <c r="G1034" t="s">
        <v>25</v>
      </c>
      <c r="H1034">
        <v>275.8</v>
      </c>
      <c r="I1034">
        <v>245.5</v>
      </c>
      <c r="J1034">
        <v>93.1</v>
      </c>
      <c r="K1034">
        <v>67</v>
      </c>
      <c r="L1034">
        <v>28.1</v>
      </c>
      <c r="M1034">
        <v>7</v>
      </c>
      <c r="N1034">
        <v>0.15815665722577399</v>
      </c>
      <c r="O1034">
        <v>7.2248474907642204E-2</v>
      </c>
    </row>
    <row r="1035" spans="1:15" x14ac:dyDescent="0.3">
      <c r="A1035">
        <v>4498</v>
      </c>
      <c r="B1035">
        <v>2637</v>
      </c>
      <c r="C1035">
        <v>149</v>
      </c>
      <c r="D1035" t="s">
        <v>19</v>
      </c>
      <c r="E1035" t="s">
        <v>20</v>
      </c>
      <c r="F1035" t="s">
        <v>17</v>
      </c>
      <c r="G1035" t="s">
        <v>25</v>
      </c>
      <c r="H1035">
        <v>275.8</v>
      </c>
      <c r="I1035">
        <v>245.5</v>
      </c>
      <c r="J1035">
        <v>93.1</v>
      </c>
      <c r="K1035">
        <v>67</v>
      </c>
      <c r="L1035">
        <v>28.1</v>
      </c>
      <c r="M1035">
        <v>7</v>
      </c>
      <c r="N1035">
        <v>0.16837740897069001</v>
      </c>
      <c r="O1035">
        <v>9.4150357115764402E-2</v>
      </c>
    </row>
    <row r="1036" spans="1:15" x14ac:dyDescent="0.3">
      <c r="A1036">
        <v>4504</v>
      </c>
      <c r="B1036">
        <v>2640</v>
      </c>
      <c r="C1036">
        <v>345</v>
      </c>
      <c r="D1036" t="s">
        <v>19</v>
      </c>
      <c r="E1036" t="s">
        <v>20</v>
      </c>
      <c r="F1036" t="s">
        <v>21</v>
      </c>
      <c r="G1036" t="s">
        <v>18</v>
      </c>
      <c r="H1036">
        <v>277.60000000000002</v>
      </c>
      <c r="I1036">
        <v>252.5</v>
      </c>
      <c r="J1036">
        <v>98.4</v>
      </c>
      <c r="K1036">
        <v>67.5</v>
      </c>
      <c r="L1036">
        <v>25.8</v>
      </c>
      <c r="M1036">
        <v>13.5</v>
      </c>
      <c r="N1036">
        <v>0.123759973410295</v>
      </c>
      <c r="O1036">
        <v>0.114906093004163</v>
      </c>
    </row>
    <row r="1037" spans="1:15" x14ac:dyDescent="0.3">
      <c r="A1037">
        <v>4505</v>
      </c>
      <c r="B1037">
        <v>2640</v>
      </c>
      <c r="C1037">
        <v>345</v>
      </c>
      <c r="D1037" t="s">
        <v>19</v>
      </c>
      <c r="E1037" t="s">
        <v>20</v>
      </c>
      <c r="F1037" t="s">
        <v>21</v>
      </c>
      <c r="G1037" t="s">
        <v>18</v>
      </c>
      <c r="H1037">
        <v>277.60000000000002</v>
      </c>
      <c r="I1037">
        <v>252.5</v>
      </c>
      <c r="J1037">
        <v>98.4</v>
      </c>
      <c r="K1037">
        <v>67.5</v>
      </c>
      <c r="L1037">
        <v>25.8</v>
      </c>
      <c r="M1037">
        <v>13.5</v>
      </c>
      <c r="N1037">
        <v>0.14008210824016301</v>
      </c>
      <c r="O1037">
        <v>0.12073721443701101</v>
      </c>
    </row>
    <row r="1038" spans="1:15" x14ac:dyDescent="0.3">
      <c r="A1038">
        <v>4506</v>
      </c>
      <c r="B1038">
        <v>2640</v>
      </c>
      <c r="C1038">
        <v>345</v>
      </c>
      <c r="D1038" t="s">
        <v>19</v>
      </c>
      <c r="E1038" t="s">
        <v>20</v>
      </c>
      <c r="F1038" t="s">
        <v>21</v>
      </c>
      <c r="G1038" t="s">
        <v>18</v>
      </c>
      <c r="H1038">
        <v>277.60000000000002</v>
      </c>
      <c r="I1038">
        <v>252.5</v>
      </c>
      <c r="J1038">
        <v>98.4</v>
      </c>
      <c r="K1038">
        <v>67.5</v>
      </c>
      <c r="L1038">
        <v>25.8</v>
      </c>
      <c r="M1038">
        <v>13.5</v>
      </c>
      <c r="N1038">
        <v>0.113210205664987</v>
      </c>
      <c r="O1038">
        <v>9.3554979949441106E-2</v>
      </c>
    </row>
    <row r="1039" spans="1:15" x14ac:dyDescent="0.3">
      <c r="A1039">
        <v>4507</v>
      </c>
      <c r="B1039">
        <v>2640</v>
      </c>
      <c r="C1039">
        <v>345</v>
      </c>
      <c r="D1039" t="s">
        <v>19</v>
      </c>
      <c r="E1039" t="s">
        <v>20</v>
      </c>
      <c r="F1039" t="s">
        <v>21</v>
      </c>
      <c r="G1039" t="s">
        <v>18</v>
      </c>
      <c r="H1039">
        <v>277.60000000000002</v>
      </c>
      <c r="I1039">
        <v>252.5</v>
      </c>
      <c r="J1039">
        <v>98.4</v>
      </c>
      <c r="K1039">
        <v>67.5</v>
      </c>
      <c r="L1039">
        <v>25.8</v>
      </c>
      <c r="M1039">
        <v>13.5</v>
      </c>
      <c r="N1039">
        <v>0.14069266726097099</v>
      </c>
      <c r="O1039">
        <v>0.12878905539364699</v>
      </c>
    </row>
    <row r="1040" spans="1:15" x14ac:dyDescent="0.3">
      <c r="A1040">
        <v>4508</v>
      </c>
      <c r="B1040">
        <v>2640</v>
      </c>
      <c r="C1040">
        <v>345</v>
      </c>
      <c r="D1040" t="s">
        <v>19</v>
      </c>
      <c r="E1040" t="s">
        <v>20</v>
      </c>
      <c r="F1040" t="s">
        <v>21</v>
      </c>
      <c r="G1040" t="s">
        <v>18</v>
      </c>
      <c r="H1040">
        <v>277.60000000000002</v>
      </c>
      <c r="I1040">
        <v>252.5</v>
      </c>
      <c r="J1040">
        <v>98.4</v>
      </c>
      <c r="K1040">
        <v>67.5</v>
      </c>
      <c r="L1040">
        <v>25.8</v>
      </c>
      <c r="M1040">
        <v>13.5</v>
      </c>
      <c r="N1040">
        <v>0.11742113917506</v>
      </c>
      <c r="O1040">
        <v>0.105637438903984</v>
      </c>
    </row>
    <row r="1041" spans="1:15" x14ac:dyDescent="0.3">
      <c r="A1041">
        <v>4529</v>
      </c>
      <c r="B1041">
        <v>2649</v>
      </c>
      <c r="C1041">
        <v>399</v>
      </c>
      <c r="D1041" t="s">
        <v>19</v>
      </c>
      <c r="E1041" t="s">
        <v>16</v>
      </c>
      <c r="F1041" t="s">
        <v>21</v>
      </c>
      <c r="G1041" t="s">
        <v>25</v>
      </c>
      <c r="H1041">
        <v>273.89999999999998</v>
      </c>
      <c r="I1041">
        <v>253</v>
      </c>
      <c r="J1041">
        <v>99.6</v>
      </c>
      <c r="K1041">
        <v>66</v>
      </c>
      <c r="L1041">
        <v>25.8</v>
      </c>
      <c r="M1041">
        <v>9.5</v>
      </c>
      <c r="N1041">
        <v>0.25198585372802401</v>
      </c>
      <c r="O1041">
        <v>7.1818790947182506E-2</v>
      </c>
    </row>
    <row r="1042" spans="1:15" x14ac:dyDescent="0.3">
      <c r="A1042">
        <v>4530</v>
      </c>
      <c r="B1042">
        <v>2649</v>
      </c>
      <c r="C1042">
        <v>399</v>
      </c>
      <c r="D1042" t="s">
        <v>19</v>
      </c>
      <c r="E1042" t="s">
        <v>16</v>
      </c>
      <c r="F1042" t="s">
        <v>21</v>
      </c>
      <c r="G1042" t="s">
        <v>25</v>
      </c>
      <c r="H1042">
        <v>273.89999999999998</v>
      </c>
      <c r="I1042">
        <v>253</v>
      </c>
      <c r="J1042">
        <v>99.6</v>
      </c>
      <c r="K1042">
        <v>66</v>
      </c>
      <c r="L1042">
        <v>25.8</v>
      </c>
      <c r="M1042">
        <v>9.5</v>
      </c>
      <c r="N1042">
        <v>0.23191557357373799</v>
      </c>
      <c r="O1042">
        <v>6.6760498779329297E-2</v>
      </c>
    </row>
    <row r="1043" spans="1:15" x14ac:dyDescent="0.3">
      <c r="A1043">
        <v>4531</v>
      </c>
      <c r="B1043">
        <v>2649</v>
      </c>
      <c r="C1043">
        <v>399</v>
      </c>
      <c r="D1043" t="s">
        <v>19</v>
      </c>
      <c r="E1043" t="s">
        <v>16</v>
      </c>
      <c r="F1043" t="s">
        <v>21</v>
      </c>
      <c r="G1043" t="s">
        <v>25</v>
      </c>
      <c r="H1043">
        <v>273.89999999999998</v>
      </c>
      <c r="I1043">
        <v>253</v>
      </c>
      <c r="J1043">
        <v>99.6</v>
      </c>
      <c r="K1043">
        <v>66</v>
      </c>
      <c r="L1043">
        <v>25.8</v>
      </c>
      <c r="M1043">
        <v>9.5</v>
      </c>
      <c r="N1043">
        <v>0.237717887930049</v>
      </c>
      <c r="O1043">
        <v>6.5474550825007499E-2</v>
      </c>
    </row>
    <row r="1044" spans="1:15" x14ac:dyDescent="0.3">
      <c r="A1044">
        <v>4532</v>
      </c>
      <c r="B1044">
        <v>265</v>
      </c>
      <c r="C1044">
        <v>29</v>
      </c>
      <c r="D1044" t="s">
        <v>19</v>
      </c>
      <c r="E1044" t="s">
        <v>20</v>
      </c>
      <c r="F1044" t="s">
        <v>17</v>
      </c>
      <c r="G1044" t="s">
        <v>24</v>
      </c>
      <c r="H1044">
        <v>276.60000000000002</v>
      </c>
      <c r="I1044">
        <v>256.5</v>
      </c>
      <c r="J1044">
        <v>98.4</v>
      </c>
      <c r="K1044">
        <v>67.5</v>
      </c>
      <c r="L1044">
        <v>28.3</v>
      </c>
      <c r="M1044">
        <v>8</v>
      </c>
      <c r="N1044">
        <v>0.22275370272276099</v>
      </c>
      <c r="O1044">
        <v>0.100515624229275</v>
      </c>
    </row>
    <row r="1045" spans="1:15" x14ac:dyDescent="0.3">
      <c r="A1045">
        <v>4533</v>
      </c>
      <c r="B1045">
        <v>265</v>
      </c>
      <c r="C1045">
        <v>29</v>
      </c>
      <c r="D1045" t="s">
        <v>19</v>
      </c>
      <c r="E1045" t="s">
        <v>20</v>
      </c>
      <c r="F1045" t="s">
        <v>17</v>
      </c>
      <c r="G1045" t="s">
        <v>24</v>
      </c>
      <c r="H1045">
        <v>276.60000000000002</v>
      </c>
      <c r="I1045">
        <v>256.5</v>
      </c>
      <c r="J1045">
        <v>98.4</v>
      </c>
      <c r="K1045">
        <v>67.5</v>
      </c>
      <c r="L1045">
        <v>28.3</v>
      </c>
      <c r="M1045">
        <v>8</v>
      </c>
      <c r="N1045">
        <v>0.20083430752067899</v>
      </c>
      <c r="O1045">
        <v>0.10937112119597101</v>
      </c>
    </row>
    <row r="1046" spans="1:15" x14ac:dyDescent="0.3">
      <c r="A1046">
        <v>4545</v>
      </c>
      <c r="B1046">
        <v>2653</v>
      </c>
      <c r="C1046">
        <v>28</v>
      </c>
      <c r="D1046" t="s">
        <v>19</v>
      </c>
      <c r="E1046" t="s">
        <v>20</v>
      </c>
      <c r="F1046" t="s">
        <v>17</v>
      </c>
      <c r="G1046" t="s">
        <v>26</v>
      </c>
      <c r="H1046">
        <v>274.39999999999998</v>
      </c>
      <c r="I1046">
        <v>243.5</v>
      </c>
      <c r="J1046">
        <v>94.3</v>
      </c>
      <c r="K1046">
        <v>65.5</v>
      </c>
      <c r="L1046">
        <v>28</v>
      </c>
      <c r="M1046">
        <v>5.5</v>
      </c>
      <c r="N1046">
        <v>0.29522712707639298</v>
      </c>
      <c r="O1046">
        <v>0.102285304912743</v>
      </c>
    </row>
    <row r="1047" spans="1:15" x14ac:dyDescent="0.3">
      <c r="A1047">
        <v>4547</v>
      </c>
      <c r="B1047">
        <v>2653</v>
      </c>
      <c r="C1047">
        <v>28</v>
      </c>
      <c r="D1047" t="s">
        <v>19</v>
      </c>
      <c r="E1047" t="s">
        <v>20</v>
      </c>
      <c r="F1047" t="s">
        <v>17</v>
      </c>
      <c r="G1047" t="s">
        <v>26</v>
      </c>
      <c r="H1047">
        <v>274.39999999999998</v>
      </c>
      <c r="I1047">
        <v>243.5</v>
      </c>
      <c r="J1047">
        <v>94.3</v>
      </c>
      <c r="K1047">
        <v>65.5</v>
      </c>
      <c r="L1047">
        <v>28</v>
      </c>
      <c r="M1047">
        <v>5.5</v>
      </c>
      <c r="N1047">
        <v>0.30547019892807797</v>
      </c>
      <c r="O1047">
        <v>6.9574141897926003E-2</v>
      </c>
    </row>
    <row r="1048" spans="1:15" x14ac:dyDescent="0.3">
      <c r="A1048">
        <v>4549</v>
      </c>
      <c r="B1048">
        <v>2654</v>
      </c>
      <c r="C1048">
        <v>79</v>
      </c>
      <c r="D1048" t="s">
        <v>23</v>
      </c>
      <c r="E1048" t="s">
        <v>20</v>
      </c>
      <c r="F1048" t="s">
        <v>21</v>
      </c>
      <c r="G1048" t="s">
        <v>25</v>
      </c>
      <c r="H1048">
        <v>276.8</v>
      </c>
      <c r="I1048">
        <v>258.5</v>
      </c>
      <c r="J1048">
        <v>101.8</v>
      </c>
      <c r="K1048">
        <v>65</v>
      </c>
      <c r="L1048">
        <v>24.9</v>
      </c>
      <c r="M1048">
        <v>11.5</v>
      </c>
      <c r="N1048">
        <v>0.155361742679273</v>
      </c>
      <c r="O1048">
        <v>0.200197938385661</v>
      </c>
    </row>
    <row r="1049" spans="1:15" x14ac:dyDescent="0.3">
      <c r="A1049">
        <v>4550</v>
      </c>
      <c r="B1049">
        <v>2655</v>
      </c>
      <c r="C1049">
        <v>320</v>
      </c>
      <c r="D1049" t="s">
        <v>19</v>
      </c>
      <c r="E1049" t="s">
        <v>20</v>
      </c>
      <c r="F1049" t="s">
        <v>21</v>
      </c>
      <c r="G1049" t="s">
        <v>25</v>
      </c>
      <c r="H1049">
        <v>279</v>
      </c>
      <c r="I1049">
        <v>253.5</v>
      </c>
      <c r="J1049">
        <v>97.1</v>
      </c>
      <c r="K1049">
        <v>64</v>
      </c>
      <c r="L1049">
        <v>24</v>
      </c>
      <c r="M1049">
        <v>8</v>
      </c>
      <c r="N1049">
        <v>0.16504266767970899</v>
      </c>
      <c r="O1049">
        <v>1.8124734334495199E-2</v>
      </c>
    </row>
    <row r="1050" spans="1:15" x14ac:dyDescent="0.3">
      <c r="A1050">
        <v>4551</v>
      </c>
      <c r="B1050">
        <v>2655</v>
      </c>
      <c r="C1050">
        <v>320</v>
      </c>
      <c r="D1050" t="s">
        <v>19</v>
      </c>
      <c r="E1050" t="s">
        <v>20</v>
      </c>
      <c r="F1050" t="s">
        <v>21</v>
      </c>
      <c r="G1050" t="s">
        <v>25</v>
      </c>
      <c r="H1050">
        <v>279</v>
      </c>
      <c r="I1050">
        <v>253.5</v>
      </c>
      <c r="J1050">
        <v>97.1</v>
      </c>
      <c r="K1050">
        <v>64</v>
      </c>
      <c r="L1050">
        <v>24</v>
      </c>
      <c r="M1050">
        <v>8</v>
      </c>
      <c r="N1050">
        <v>0.14907953097446699</v>
      </c>
      <c r="O1050">
        <v>5.7809955028736502E-2</v>
      </c>
    </row>
    <row r="1051" spans="1:15" x14ac:dyDescent="0.3">
      <c r="A1051">
        <v>4552</v>
      </c>
      <c r="B1051">
        <v>2655</v>
      </c>
      <c r="C1051">
        <v>320</v>
      </c>
      <c r="D1051" t="s">
        <v>19</v>
      </c>
      <c r="E1051" t="s">
        <v>20</v>
      </c>
      <c r="F1051" t="s">
        <v>21</v>
      </c>
      <c r="G1051" t="s">
        <v>25</v>
      </c>
      <c r="H1051">
        <v>279</v>
      </c>
      <c r="I1051">
        <v>253.5</v>
      </c>
      <c r="J1051">
        <v>97.1</v>
      </c>
      <c r="K1051">
        <v>64</v>
      </c>
      <c r="L1051">
        <v>24</v>
      </c>
      <c r="M1051">
        <v>8</v>
      </c>
      <c r="N1051">
        <v>0.149793735595625</v>
      </c>
      <c r="O1051">
        <v>1.9944907200601901E-2</v>
      </c>
    </row>
    <row r="1052" spans="1:15" x14ac:dyDescent="0.3">
      <c r="A1052">
        <v>4553</v>
      </c>
      <c r="B1052">
        <v>2656</v>
      </c>
      <c r="C1052">
        <v>238</v>
      </c>
      <c r="D1052" t="s">
        <v>19</v>
      </c>
      <c r="E1052" t="s">
        <v>16</v>
      </c>
      <c r="F1052" t="s">
        <v>21</v>
      </c>
      <c r="G1052" t="s">
        <v>25</v>
      </c>
      <c r="H1052">
        <v>273.3</v>
      </c>
      <c r="I1052">
        <v>246</v>
      </c>
      <c r="J1052">
        <v>92.6</v>
      </c>
      <c r="K1052">
        <v>63.5</v>
      </c>
      <c r="L1052">
        <v>25.5</v>
      </c>
      <c r="M1052">
        <v>9.5</v>
      </c>
      <c r="N1052">
        <v>0.12554348833940601</v>
      </c>
      <c r="O1052">
        <v>0.153104715586074</v>
      </c>
    </row>
    <row r="1053" spans="1:15" x14ac:dyDescent="0.3">
      <c r="A1053">
        <v>4554</v>
      </c>
      <c r="B1053">
        <v>2657</v>
      </c>
      <c r="C1053">
        <v>332</v>
      </c>
      <c r="D1053" t="s">
        <v>15</v>
      </c>
      <c r="E1053" t="s">
        <v>16</v>
      </c>
      <c r="F1053" t="s">
        <v>21</v>
      </c>
      <c r="G1053" t="s">
        <v>22</v>
      </c>
      <c r="H1053">
        <v>276.8</v>
      </c>
      <c r="I1053">
        <v>249.5</v>
      </c>
      <c r="J1053">
        <v>91.1</v>
      </c>
      <c r="K1053">
        <v>65.5</v>
      </c>
      <c r="L1053">
        <v>24.7</v>
      </c>
      <c r="M1053">
        <v>8.5</v>
      </c>
      <c r="N1053">
        <v>0.119424971197955</v>
      </c>
      <c r="O1053">
        <v>0.13992907986407899</v>
      </c>
    </row>
    <row r="1054" spans="1:15" x14ac:dyDescent="0.3">
      <c r="A1054">
        <v>4555</v>
      </c>
      <c r="B1054">
        <v>2657</v>
      </c>
      <c r="C1054">
        <v>332</v>
      </c>
      <c r="D1054" t="s">
        <v>15</v>
      </c>
      <c r="E1054" t="s">
        <v>16</v>
      </c>
      <c r="F1054" t="s">
        <v>21</v>
      </c>
      <c r="G1054" t="s">
        <v>22</v>
      </c>
      <c r="H1054">
        <v>276.8</v>
      </c>
      <c r="I1054">
        <v>249.5</v>
      </c>
      <c r="J1054">
        <v>91.1</v>
      </c>
      <c r="K1054">
        <v>65.5</v>
      </c>
      <c r="L1054">
        <v>24.7</v>
      </c>
      <c r="M1054">
        <v>8.5</v>
      </c>
      <c r="N1054">
        <v>0.120988232207595</v>
      </c>
      <c r="O1054">
        <v>0.12965849950772601</v>
      </c>
    </row>
    <row r="1055" spans="1:15" x14ac:dyDescent="0.3">
      <c r="A1055">
        <v>4556</v>
      </c>
      <c r="B1055">
        <v>2658</v>
      </c>
      <c r="C1055">
        <v>368</v>
      </c>
      <c r="D1055" t="s">
        <v>19</v>
      </c>
      <c r="E1055" t="s">
        <v>16</v>
      </c>
      <c r="F1055" t="s">
        <v>21</v>
      </c>
      <c r="G1055" t="s">
        <v>22</v>
      </c>
      <c r="H1055">
        <v>273.3</v>
      </c>
      <c r="I1055">
        <v>249</v>
      </c>
      <c r="J1055">
        <v>98.9</v>
      </c>
      <c r="K1055">
        <v>68.5</v>
      </c>
      <c r="L1055">
        <v>23.8</v>
      </c>
      <c r="M1055">
        <v>9</v>
      </c>
      <c r="N1055">
        <v>0.146230483192483</v>
      </c>
      <c r="O1055">
        <v>4.3614883142268503E-2</v>
      </c>
    </row>
    <row r="1056" spans="1:15" x14ac:dyDescent="0.3">
      <c r="A1056">
        <v>4557</v>
      </c>
      <c r="B1056">
        <v>2658</v>
      </c>
      <c r="C1056">
        <v>368</v>
      </c>
      <c r="D1056" t="s">
        <v>19</v>
      </c>
      <c r="E1056" t="s">
        <v>16</v>
      </c>
      <c r="F1056" t="s">
        <v>21</v>
      </c>
      <c r="G1056" t="s">
        <v>22</v>
      </c>
      <c r="H1056">
        <v>273.3</v>
      </c>
      <c r="I1056">
        <v>249</v>
      </c>
      <c r="J1056">
        <v>98.9</v>
      </c>
      <c r="K1056">
        <v>68.5</v>
      </c>
      <c r="L1056">
        <v>23.8</v>
      </c>
      <c r="M1056">
        <v>9</v>
      </c>
      <c r="N1056">
        <v>0.13166068223440899</v>
      </c>
      <c r="O1056">
        <v>3.9606467834927703E-2</v>
      </c>
    </row>
    <row r="1057" spans="1:15" x14ac:dyDescent="0.3">
      <c r="A1057">
        <v>4558</v>
      </c>
      <c r="B1057">
        <v>2658</v>
      </c>
      <c r="C1057">
        <v>368</v>
      </c>
      <c r="D1057" t="s">
        <v>19</v>
      </c>
      <c r="E1057" t="s">
        <v>16</v>
      </c>
      <c r="F1057" t="s">
        <v>21</v>
      </c>
      <c r="G1057" t="s">
        <v>22</v>
      </c>
      <c r="H1057">
        <v>273.3</v>
      </c>
      <c r="I1057">
        <v>249</v>
      </c>
      <c r="J1057">
        <v>98.9</v>
      </c>
      <c r="K1057">
        <v>68.5</v>
      </c>
      <c r="L1057">
        <v>23.8</v>
      </c>
      <c r="M1057">
        <v>9</v>
      </c>
      <c r="N1057">
        <v>0.15428693166416199</v>
      </c>
      <c r="O1057">
        <v>3.57777703628765E-2</v>
      </c>
    </row>
    <row r="1058" spans="1:15" x14ac:dyDescent="0.3">
      <c r="A1058">
        <v>4559</v>
      </c>
      <c r="B1058">
        <v>2659</v>
      </c>
      <c r="C1058">
        <v>29</v>
      </c>
      <c r="D1058" t="s">
        <v>19</v>
      </c>
      <c r="E1058" t="s">
        <v>20</v>
      </c>
      <c r="F1058" t="s">
        <v>21</v>
      </c>
      <c r="G1058" t="s">
        <v>25</v>
      </c>
      <c r="H1058">
        <v>276.60000000000002</v>
      </c>
      <c r="I1058">
        <v>256.5</v>
      </c>
      <c r="J1058">
        <v>98.4</v>
      </c>
      <c r="K1058">
        <v>67.5</v>
      </c>
      <c r="L1058">
        <v>28.3</v>
      </c>
      <c r="M1058">
        <v>8</v>
      </c>
      <c r="N1058">
        <v>0.21330519953962099</v>
      </c>
      <c r="O1058">
        <v>0.120581965362767</v>
      </c>
    </row>
    <row r="1059" spans="1:15" x14ac:dyDescent="0.3">
      <c r="A1059">
        <v>4560</v>
      </c>
      <c r="B1059">
        <v>2659</v>
      </c>
      <c r="C1059">
        <v>29</v>
      </c>
      <c r="D1059" t="s">
        <v>19</v>
      </c>
      <c r="E1059" t="s">
        <v>20</v>
      </c>
      <c r="F1059" t="s">
        <v>21</v>
      </c>
      <c r="G1059" t="s">
        <v>25</v>
      </c>
      <c r="H1059">
        <v>276.60000000000002</v>
      </c>
      <c r="I1059">
        <v>256.5</v>
      </c>
      <c r="J1059">
        <v>98.4</v>
      </c>
      <c r="K1059">
        <v>67.5</v>
      </c>
      <c r="L1059">
        <v>28.3</v>
      </c>
      <c r="M1059">
        <v>8</v>
      </c>
      <c r="N1059">
        <v>0.19819781369343101</v>
      </c>
      <c r="O1059">
        <v>0.107335379563578</v>
      </c>
    </row>
    <row r="1060" spans="1:15" x14ac:dyDescent="0.3">
      <c r="A1060">
        <v>4567</v>
      </c>
      <c r="B1060">
        <v>2662</v>
      </c>
      <c r="C1060">
        <v>149</v>
      </c>
      <c r="D1060" t="s">
        <v>19</v>
      </c>
      <c r="E1060" t="s">
        <v>20</v>
      </c>
      <c r="F1060" t="s">
        <v>21</v>
      </c>
      <c r="G1060" t="s">
        <v>18</v>
      </c>
      <c r="H1060">
        <v>275.8</v>
      </c>
      <c r="I1060">
        <v>245.5</v>
      </c>
      <c r="J1060">
        <v>93.1</v>
      </c>
      <c r="K1060">
        <v>67</v>
      </c>
      <c r="L1060">
        <v>28.1</v>
      </c>
      <c r="M1060">
        <v>7</v>
      </c>
      <c r="N1060">
        <v>0.157758502843767</v>
      </c>
      <c r="O1060">
        <v>8.6135722368298098E-2</v>
      </c>
    </row>
    <row r="1061" spans="1:15" x14ac:dyDescent="0.3">
      <c r="A1061">
        <v>4568</v>
      </c>
      <c r="B1061">
        <v>2662</v>
      </c>
      <c r="C1061">
        <v>149</v>
      </c>
      <c r="D1061" t="s">
        <v>19</v>
      </c>
      <c r="E1061" t="s">
        <v>20</v>
      </c>
      <c r="F1061" t="s">
        <v>21</v>
      </c>
      <c r="G1061" t="s">
        <v>18</v>
      </c>
      <c r="H1061">
        <v>275.8</v>
      </c>
      <c r="I1061">
        <v>245.5</v>
      </c>
      <c r="J1061">
        <v>93.1</v>
      </c>
      <c r="K1061">
        <v>67</v>
      </c>
      <c r="L1061">
        <v>28.1</v>
      </c>
      <c r="M1061">
        <v>7</v>
      </c>
      <c r="N1061">
        <v>0.17775344761411199</v>
      </c>
      <c r="O1061">
        <v>9.2588189880744104E-2</v>
      </c>
    </row>
    <row r="1062" spans="1:15" x14ac:dyDescent="0.3">
      <c r="A1062">
        <v>4569</v>
      </c>
      <c r="B1062">
        <v>2662</v>
      </c>
      <c r="C1062">
        <v>149</v>
      </c>
      <c r="D1062" t="s">
        <v>19</v>
      </c>
      <c r="E1062" t="s">
        <v>20</v>
      </c>
      <c r="F1062" t="s">
        <v>21</v>
      </c>
      <c r="G1062" t="s">
        <v>18</v>
      </c>
      <c r="H1062">
        <v>275.8</v>
      </c>
      <c r="I1062">
        <v>245.5</v>
      </c>
      <c r="J1062">
        <v>93.1</v>
      </c>
      <c r="K1062">
        <v>67</v>
      </c>
      <c r="L1062">
        <v>28.1</v>
      </c>
      <c r="M1062">
        <v>7</v>
      </c>
      <c r="N1062">
        <v>0.18052449137693399</v>
      </c>
      <c r="O1062">
        <v>9.8154848445435497E-2</v>
      </c>
    </row>
    <row r="1063" spans="1:15" x14ac:dyDescent="0.3">
      <c r="A1063">
        <v>4570</v>
      </c>
      <c r="B1063">
        <v>2663</v>
      </c>
      <c r="C1063">
        <v>196</v>
      </c>
      <c r="D1063" t="s">
        <v>23</v>
      </c>
      <c r="E1063" t="s">
        <v>20</v>
      </c>
      <c r="F1063" t="s">
        <v>17</v>
      </c>
      <c r="G1063" t="s">
        <v>24</v>
      </c>
      <c r="H1063">
        <v>274.10000000000002</v>
      </c>
      <c r="I1063">
        <v>257</v>
      </c>
      <c r="J1063">
        <v>95.4</v>
      </c>
      <c r="K1063">
        <v>68</v>
      </c>
      <c r="L1063">
        <v>30.7</v>
      </c>
      <c r="M1063">
        <v>10.5</v>
      </c>
      <c r="N1063">
        <v>1.3715793779039099E-2</v>
      </c>
      <c r="O1063">
        <v>0.33197748521922799</v>
      </c>
    </row>
    <row r="1064" spans="1:15" x14ac:dyDescent="0.3">
      <c r="A1064">
        <v>4574</v>
      </c>
      <c r="B1064">
        <v>2665</v>
      </c>
      <c r="C1064">
        <v>238</v>
      </c>
      <c r="D1064" t="s">
        <v>19</v>
      </c>
      <c r="E1064" t="s">
        <v>16</v>
      </c>
      <c r="F1064" t="s">
        <v>17</v>
      </c>
      <c r="G1064" t="s">
        <v>26</v>
      </c>
      <c r="H1064">
        <v>273.3</v>
      </c>
      <c r="I1064">
        <v>246</v>
      </c>
      <c r="J1064">
        <v>92.6</v>
      </c>
      <c r="K1064">
        <v>63.5</v>
      </c>
      <c r="L1064">
        <v>25.5</v>
      </c>
      <c r="M1064">
        <v>9.5</v>
      </c>
      <c r="N1064">
        <v>8.6333440563492195E-2</v>
      </c>
      <c r="O1064">
        <v>0.14134608421896899</v>
      </c>
    </row>
    <row r="1065" spans="1:15" x14ac:dyDescent="0.3">
      <c r="A1065">
        <v>4575</v>
      </c>
      <c r="B1065">
        <v>2666</v>
      </c>
      <c r="C1065">
        <v>28</v>
      </c>
      <c r="D1065" t="s">
        <v>19</v>
      </c>
      <c r="E1065" t="s">
        <v>20</v>
      </c>
      <c r="F1065" t="s">
        <v>17</v>
      </c>
      <c r="G1065" t="s">
        <v>24</v>
      </c>
      <c r="H1065">
        <v>274.39999999999998</v>
      </c>
      <c r="I1065">
        <v>243.5</v>
      </c>
      <c r="J1065">
        <v>94.3</v>
      </c>
      <c r="K1065">
        <v>65.5</v>
      </c>
      <c r="L1065">
        <v>28</v>
      </c>
      <c r="M1065">
        <v>5.5</v>
      </c>
      <c r="N1065">
        <v>0.30765427933495498</v>
      </c>
      <c r="O1065">
        <v>8.0710874638427896E-2</v>
      </c>
    </row>
    <row r="1066" spans="1:15" x14ac:dyDescent="0.3">
      <c r="A1066">
        <v>4578</v>
      </c>
      <c r="B1066">
        <v>2666</v>
      </c>
      <c r="C1066">
        <v>28</v>
      </c>
      <c r="D1066" t="s">
        <v>19</v>
      </c>
      <c r="E1066" t="s">
        <v>20</v>
      </c>
      <c r="F1066" t="s">
        <v>17</v>
      </c>
      <c r="G1066" t="s">
        <v>24</v>
      </c>
      <c r="H1066">
        <v>274.39999999999998</v>
      </c>
      <c r="I1066">
        <v>243.5</v>
      </c>
      <c r="J1066">
        <v>94.3</v>
      </c>
      <c r="K1066">
        <v>65.5</v>
      </c>
      <c r="L1066">
        <v>28</v>
      </c>
      <c r="M1066">
        <v>5.5</v>
      </c>
      <c r="N1066">
        <v>0.304218188041746</v>
      </c>
      <c r="O1066">
        <v>9.4851021670722402E-2</v>
      </c>
    </row>
    <row r="1067" spans="1:15" x14ac:dyDescent="0.3">
      <c r="A1067">
        <v>4579</v>
      </c>
      <c r="B1067">
        <v>2666</v>
      </c>
      <c r="C1067">
        <v>28</v>
      </c>
      <c r="D1067" t="s">
        <v>19</v>
      </c>
      <c r="E1067" t="s">
        <v>20</v>
      </c>
      <c r="F1067" t="s">
        <v>17</v>
      </c>
      <c r="G1067" t="s">
        <v>24</v>
      </c>
      <c r="H1067">
        <v>274.39999999999998</v>
      </c>
      <c r="I1067">
        <v>243.5</v>
      </c>
      <c r="J1067">
        <v>94.3</v>
      </c>
      <c r="K1067">
        <v>65.5</v>
      </c>
      <c r="L1067">
        <v>28</v>
      </c>
      <c r="M1067">
        <v>5.5</v>
      </c>
      <c r="N1067">
        <v>0.304355913058939</v>
      </c>
      <c r="O1067">
        <v>7.5268151864868696E-2</v>
      </c>
    </row>
    <row r="1068" spans="1:15" x14ac:dyDescent="0.3">
      <c r="A1068">
        <v>4580</v>
      </c>
      <c r="B1068">
        <v>2667</v>
      </c>
      <c r="C1068">
        <v>351</v>
      </c>
      <c r="D1068" t="s">
        <v>23</v>
      </c>
      <c r="E1068" t="s">
        <v>20</v>
      </c>
      <c r="F1068" t="s">
        <v>21</v>
      </c>
      <c r="G1068" t="s">
        <v>25</v>
      </c>
      <c r="H1068">
        <v>277.60000000000002</v>
      </c>
      <c r="I1068">
        <v>246.5</v>
      </c>
      <c r="J1068">
        <v>93.9</v>
      </c>
      <c r="K1068">
        <v>67.5</v>
      </c>
      <c r="L1068">
        <v>27.5</v>
      </c>
      <c r="M1068">
        <v>8</v>
      </c>
      <c r="N1068">
        <v>0.17931914959991199</v>
      </c>
      <c r="O1068">
        <v>0.31153452787375002</v>
      </c>
    </row>
    <row r="1069" spans="1:15" x14ac:dyDescent="0.3">
      <c r="A1069">
        <v>4581</v>
      </c>
      <c r="B1069">
        <v>2667</v>
      </c>
      <c r="C1069">
        <v>351</v>
      </c>
      <c r="D1069" t="s">
        <v>23</v>
      </c>
      <c r="E1069" t="s">
        <v>20</v>
      </c>
      <c r="F1069" t="s">
        <v>21</v>
      </c>
      <c r="G1069" t="s">
        <v>25</v>
      </c>
      <c r="H1069">
        <v>277.60000000000002</v>
      </c>
      <c r="I1069">
        <v>246.5</v>
      </c>
      <c r="J1069">
        <v>93.9</v>
      </c>
      <c r="K1069">
        <v>67.5</v>
      </c>
      <c r="L1069">
        <v>27.5</v>
      </c>
      <c r="M1069">
        <v>8</v>
      </c>
      <c r="N1069">
        <v>0.14978411603914299</v>
      </c>
      <c r="O1069">
        <v>0.306112250190542</v>
      </c>
    </row>
    <row r="1070" spans="1:15" x14ac:dyDescent="0.3">
      <c r="A1070">
        <v>4582</v>
      </c>
      <c r="B1070">
        <v>2667</v>
      </c>
      <c r="C1070">
        <v>351</v>
      </c>
      <c r="D1070" t="s">
        <v>23</v>
      </c>
      <c r="E1070" t="s">
        <v>20</v>
      </c>
      <c r="F1070" t="s">
        <v>21</v>
      </c>
      <c r="G1070" t="s">
        <v>25</v>
      </c>
      <c r="H1070">
        <v>277.60000000000002</v>
      </c>
      <c r="I1070">
        <v>246.5</v>
      </c>
      <c r="J1070">
        <v>93.9</v>
      </c>
      <c r="K1070">
        <v>67.5</v>
      </c>
      <c r="L1070">
        <v>27.5</v>
      </c>
      <c r="M1070">
        <v>8</v>
      </c>
      <c r="N1070">
        <v>0.18593825541265299</v>
      </c>
      <c r="O1070">
        <v>0.306350563195045</v>
      </c>
    </row>
    <row r="1071" spans="1:15" x14ac:dyDescent="0.3">
      <c r="A1071">
        <v>4583</v>
      </c>
      <c r="B1071">
        <v>2667</v>
      </c>
      <c r="C1071">
        <v>351</v>
      </c>
      <c r="D1071" t="s">
        <v>23</v>
      </c>
      <c r="E1071" t="s">
        <v>20</v>
      </c>
      <c r="F1071" t="s">
        <v>21</v>
      </c>
      <c r="G1071" t="s">
        <v>25</v>
      </c>
      <c r="H1071">
        <v>277.60000000000002</v>
      </c>
      <c r="I1071">
        <v>246.5</v>
      </c>
      <c r="J1071">
        <v>93.9</v>
      </c>
      <c r="K1071">
        <v>67.5</v>
      </c>
      <c r="L1071">
        <v>27.5</v>
      </c>
      <c r="M1071">
        <v>8</v>
      </c>
      <c r="N1071">
        <v>0.175270742728104</v>
      </c>
      <c r="O1071">
        <v>0.31172564119604401</v>
      </c>
    </row>
    <row r="1072" spans="1:15" x14ac:dyDescent="0.3">
      <c r="A1072">
        <v>4601</v>
      </c>
      <c r="B1072">
        <v>2673</v>
      </c>
      <c r="C1072">
        <v>203</v>
      </c>
      <c r="D1072" t="s">
        <v>19</v>
      </c>
      <c r="E1072" t="s">
        <v>20</v>
      </c>
      <c r="F1072" t="s">
        <v>21</v>
      </c>
      <c r="G1072" t="s">
        <v>22</v>
      </c>
      <c r="H1072">
        <v>277.60000000000002</v>
      </c>
      <c r="I1072">
        <v>247.5</v>
      </c>
      <c r="J1072">
        <v>94</v>
      </c>
      <c r="K1072">
        <v>65</v>
      </c>
      <c r="L1072">
        <v>24.9</v>
      </c>
      <c r="M1072">
        <v>9.5</v>
      </c>
      <c r="N1072">
        <v>0.26230305827870198</v>
      </c>
      <c r="O1072">
        <v>6.6577543698955993E-2</v>
      </c>
    </row>
    <row r="1073" spans="1:15" x14ac:dyDescent="0.3">
      <c r="A1073">
        <v>4602</v>
      </c>
      <c r="B1073">
        <v>2673</v>
      </c>
      <c r="C1073">
        <v>203</v>
      </c>
      <c r="D1073" t="s">
        <v>19</v>
      </c>
      <c r="E1073" t="s">
        <v>20</v>
      </c>
      <c r="F1073" t="s">
        <v>21</v>
      </c>
      <c r="G1073" t="s">
        <v>22</v>
      </c>
      <c r="H1073">
        <v>277.60000000000002</v>
      </c>
      <c r="I1073">
        <v>247.5</v>
      </c>
      <c r="J1073">
        <v>94</v>
      </c>
      <c r="K1073">
        <v>65</v>
      </c>
      <c r="L1073">
        <v>24.9</v>
      </c>
      <c r="M1073">
        <v>9.5</v>
      </c>
      <c r="N1073">
        <v>0.25812982771187498</v>
      </c>
      <c r="O1073">
        <v>6.7670095345284897E-2</v>
      </c>
    </row>
    <row r="1074" spans="1:15" x14ac:dyDescent="0.3">
      <c r="A1074">
        <v>4603</v>
      </c>
      <c r="B1074">
        <v>2674</v>
      </c>
      <c r="C1074">
        <v>147</v>
      </c>
      <c r="D1074" t="s">
        <v>19</v>
      </c>
      <c r="E1074" t="s">
        <v>20</v>
      </c>
      <c r="F1074" t="s">
        <v>17</v>
      </c>
      <c r="G1074" t="s">
        <v>25</v>
      </c>
      <c r="H1074">
        <v>274.7</v>
      </c>
      <c r="I1074">
        <v>246</v>
      </c>
      <c r="J1074">
        <v>94.8</v>
      </c>
      <c r="K1074">
        <v>66.5</v>
      </c>
      <c r="L1074">
        <v>23.6</v>
      </c>
      <c r="M1074">
        <v>10.5</v>
      </c>
      <c r="N1074">
        <v>0.14426347179687801</v>
      </c>
      <c r="O1074">
        <v>0.105922399505899</v>
      </c>
    </row>
    <row r="1075" spans="1:15" x14ac:dyDescent="0.3">
      <c r="A1075">
        <v>4604</v>
      </c>
      <c r="B1075">
        <v>2674</v>
      </c>
      <c r="C1075">
        <v>147</v>
      </c>
      <c r="D1075" t="s">
        <v>19</v>
      </c>
      <c r="E1075" t="s">
        <v>20</v>
      </c>
      <c r="F1075" t="s">
        <v>17</v>
      </c>
      <c r="G1075" t="s">
        <v>25</v>
      </c>
      <c r="H1075">
        <v>274.7</v>
      </c>
      <c r="I1075">
        <v>246</v>
      </c>
      <c r="J1075">
        <v>94.8</v>
      </c>
      <c r="K1075">
        <v>66.5</v>
      </c>
      <c r="L1075">
        <v>23.6</v>
      </c>
      <c r="M1075">
        <v>10.5</v>
      </c>
      <c r="N1075">
        <v>0.110510984109423</v>
      </c>
      <c r="O1075">
        <v>9.9612627256604996E-2</v>
      </c>
    </row>
    <row r="1076" spans="1:15" x14ac:dyDescent="0.3">
      <c r="A1076">
        <v>4605</v>
      </c>
      <c r="B1076">
        <v>2674</v>
      </c>
      <c r="C1076">
        <v>147</v>
      </c>
      <c r="D1076" t="s">
        <v>19</v>
      </c>
      <c r="E1076" t="s">
        <v>20</v>
      </c>
      <c r="F1076" t="s">
        <v>17</v>
      </c>
      <c r="G1076" t="s">
        <v>25</v>
      </c>
      <c r="H1076">
        <v>274.7</v>
      </c>
      <c r="I1076">
        <v>246</v>
      </c>
      <c r="J1076">
        <v>94.8</v>
      </c>
      <c r="K1076">
        <v>66.5</v>
      </c>
      <c r="L1076">
        <v>23.6</v>
      </c>
      <c r="M1076">
        <v>10.5</v>
      </c>
      <c r="N1076">
        <v>0.13900279079243999</v>
      </c>
      <c r="O1076">
        <v>9.7071794582373097E-2</v>
      </c>
    </row>
    <row r="1077" spans="1:15" x14ac:dyDescent="0.3">
      <c r="A1077">
        <v>4606</v>
      </c>
      <c r="B1077">
        <v>2674</v>
      </c>
      <c r="C1077">
        <v>147</v>
      </c>
      <c r="D1077" t="s">
        <v>19</v>
      </c>
      <c r="E1077" t="s">
        <v>20</v>
      </c>
      <c r="F1077" t="s">
        <v>17</v>
      </c>
      <c r="G1077" t="s">
        <v>25</v>
      </c>
      <c r="H1077">
        <v>274.7</v>
      </c>
      <c r="I1077">
        <v>246</v>
      </c>
      <c r="J1077">
        <v>94.8</v>
      </c>
      <c r="K1077">
        <v>66.5</v>
      </c>
      <c r="L1077">
        <v>23.6</v>
      </c>
      <c r="M1077">
        <v>10.5</v>
      </c>
      <c r="N1077">
        <v>0.128169265632464</v>
      </c>
      <c r="O1077">
        <v>0.100788879720802</v>
      </c>
    </row>
    <row r="1078" spans="1:15" x14ac:dyDescent="0.3">
      <c r="A1078">
        <v>4608</v>
      </c>
      <c r="B1078">
        <v>2675</v>
      </c>
      <c r="C1078">
        <v>179</v>
      </c>
      <c r="D1078" t="s">
        <v>19</v>
      </c>
      <c r="E1078" t="s">
        <v>16</v>
      </c>
      <c r="F1078" t="s">
        <v>21</v>
      </c>
      <c r="G1078" t="s">
        <v>26</v>
      </c>
      <c r="H1078">
        <v>276</v>
      </c>
      <c r="I1078">
        <v>241.5</v>
      </c>
      <c r="J1078">
        <v>96.5</v>
      </c>
      <c r="K1078">
        <v>66.5</v>
      </c>
      <c r="L1078">
        <v>25.1</v>
      </c>
      <c r="M1078">
        <v>9.5</v>
      </c>
      <c r="N1078">
        <v>8.8578981458209902E-2</v>
      </c>
      <c r="O1078">
        <v>0.17823552107551899</v>
      </c>
    </row>
    <row r="1079" spans="1:15" x14ac:dyDescent="0.3">
      <c r="A1079">
        <v>4614</v>
      </c>
      <c r="B1079">
        <v>2678</v>
      </c>
      <c r="C1079">
        <v>66</v>
      </c>
      <c r="D1079" t="s">
        <v>23</v>
      </c>
      <c r="E1079" t="s">
        <v>20</v>
      </c>
      <c r="F1079" t="s">
        <v>21</v>
      </c>
      <c r="G1079" t="s">
        <v>18</v>
      </c>
      <c r="H1079">
        <v>276.2</v>
      </c>
      <c r="I1079">
        <v>258</v>
      </c>
      <c r="J1079">
        <v>95.8</v>
      </c>
      <c r="K1079">
        <v>63.5</v>
      </c>
      <c r="L1079">
        <v>26.4</v>
      </c>
      <c r="M1079">
        <v>7</v>
      </c>
      <c r="N1079">
        <v>0.18550982422751899</v>
      </c>
      <c r="O1079">
        <v>0.27288487843146297</v>
      </c>
    </row>
    <row r="1080" spans="1:15" x14ac:dyDescent="0.3">
      <c r="A1080">
        <v>4615</v>
      </c>
      <c r="B1080">
        <v>2678</v>
      </c>
      <c r="C1080">
        <v>66</v>
      </c>
      <c r="D1080" t="s">
        <v>23</v>
      </c>
      <c r="E1080" t="s">
        <v>20</v>
      </c>
      <c r="F1080" t="s">
        <v>21</v>
      </c>
      <c r="G1080" t="s">
        <v>18</v>
      </c>
      <c r="H1080">
        <v>276.2</v>
      </c>
      <c r="I1080">
        <v>258</v>
      </c>
      <c r="J1080">
        <v>95.8</v>
      </c>
      <c r="K1080">
        <v>63.5</v>
      </c>
      <c r="L1080">
        <v>26.4</v>
      </c>
      <c r="M1080">
        <v>7</v>
      </c>
      <c r="N1080">
        <v>0.16040378248204501</v>
      </c>
      <c r="O1080">
        <v>0.25732535652855798</v>
      </c>
    </row>
    <row r="1081" spans="1:15" x14ac:dyDescent="0.3">
      <c r="A1081">
        <v>4616</v>
      </c>
      <c r="B1081">
        <v>2679</v>
      </c>
      <c r="C1081">
        <v>80</v>
      </c>
      <c r="D1081" t="s">
        <v>23</v>
      </c>
      <c r="E1081" t="s">
        <v>20</v>
      </c>
      <c r="F1081" t="s">
        <v>21</v>
      </c>
      <c r="G1081" t="s">
        <v>26</v>
      </c>
      <c r="H1081">
        <v>279</v>
      </c>
      <c r="I1081">
        <v>254</v>
      </c>
      <c r="J1081">
        <v>97.1</v>
      </c>
      <c r="K1081">
        <v>67</v>
      </c>
      <c r="L1081">
        <v>24.6</v>
      </c>
      <c r="M1081">
        <v>7</v>
      </c>
      <c r="N1081">
        <v>0.20653209537761399</v>
      </c>
      <c r="O1081">
        <v>0.35259390872926</v>
      </c>
    </row>
    <row r="1082" spans="1:15" x14ac:dyDescent="0.3">
      <c r="A1082">
        <v>4617</v>
      </c>
      <c r="B1082">
        <v>2679</v>
      </c>
      <c r="C1082">
        <v>80</v>
      </c>
      <c r="D1082" t="s">
        <v>23</v>
      </c>
      <c r="E1082" t="s">
        <v>20</v>
      </c>
      <c r="F1082" t="s">
        <v>21</v>
      </c>
      <c r="G1082" t="s">
        <v>26</v>
      </c>
      <c r="H1082">
        <v>279</v>
      </c>
      <c r="I1082">
        <v>254</v>
      </c>
      <c r="J1082">
        <v>97.1</v>
      </c>
      <c r="K1082">
        <v>67</v>
      </c>
      <c r="L1082">
        <v>24.6</v>
      </c>
      <c r="M1082">
        <v>7</v>
      </c>
      <c r="N1082">
        <v>0.20360572945987301</v>
      </c>
      <c r="O1082">
        <v>0.34764717049884603</v>
      </c>
    </row>
    <row r="1083" spans="1:15" x14ac:dyDescent="0.3">
      <c r="A1083">
        <v>4656</v>
      </c>
      <c r="B1083">
        <v>2693</v>
      </c>
      <c r="C1083">
        <v>355</v>
      </c>
      <c r="D1083" t="s">
        <v>23</v>
      </c>
      <c r="E1083" t="s">
        <v>20</v>
      </c>
      <c r="F1083" t="s">
        <v>21</v>
      </c>
      <c r="G1083" t="s">
        <v>22</v>
      </c>
      <c r="H1083">
        <v>277.7</v>
      </c>
      <c r="I1083">
        <v>250</v>
      </c>
      <c r="J1083">
        <v>99.3</v>
      </c>
      <c r="K1083">
        <v>65</v>
      </c>
      <c r="L1083">
        <v>25.4</v>
      </c>
      <c r="M1083">
        <v>11.5</v>
      </c>
      <c r="N1083">
        <v>0.135983450761508</v>
      </c>
      <c r="O1083">
        <v>0.31661478923132103</v>
      </c>
    </row>
    <row r="1084" spans="1:15" x14ac:dyDescent="0.3">
      <c r="A1084">
        <v>4657</v>
      </c>
      <c r="B1084">
        <v>2693</v>
      </c>
      <c r="C1084">
        <v>355</v>
      </c>
      <c r="D1084" t="s">
        <v>23</v>
      </c>
      <c r="E1084" t="s">
        <v>20</v>
      </c>
      <c r="F1084" t="s">
        <v>21</v>
      </c>
      <c r="G1084" t="s">
        <v>22</v>
      </c>
      <c r="H1084">
        <v>277.7</v>
      </c>
      <c r="I1084">
        <v>250</v>
      </c>
      <c r="J1084">
        <v>99.3</v>
      </c>
      <c r="K1084">
        <v>65</v>
      </c>
      <c r="L1084">
        <v>25.4</v>
      </c>
      <c r="M1084">
        <v>11.5</v>
      </c>
      <c r="N1084">
        <v>0.12519005283573501</v>
      </c>
      <c r="O1084">
        <v>0.30190561501790297</v>
      </c>
    </row>
    <row r="1085" spans="1:15" x14ac:dyDescent="0.3">
      <c r="A1085">
        <v>4658</v>
      </c>
      <c r="B1085">
        <v>2693</v>
      </c>
      <c r="C1085">
        <v>355</v>
      </c>
      <c r="D1085" t="s">
        <v>23</v>
      </c>
      <c r="E1085" t="s">
        <v>20</v>
      </c>
      <c r="F1085" t="s">
        <v>21</v>
      </c>
      <c r="G1085" t="s">
        <v>22</v>
      </c>
      <c r="H1085">
        <v>277.7</v>
      </c>
      <c r="I1085">
        <v>250</v>
      </c>
      <c r="J1085">
        <v>99.3</v>
      </c>
      <c r="K1085">
        <v>65</v>
      </c>
      <c r="L1085">
        <v>25.4</v>
      </c>
      <c r="M1085">
        <v>11.5</v>
      </c>
      <c r="N1085">
        <v>0.13727691626241201</v>
      </c>
      <c r="O1085">
        <v>0.31795064288314101</v>
      </c>
    </row>
    <row r="1086" spans="1:15" x14ac:dyDescent="0.3">
      <c r="A1086">
        <v>4659</v>
      </c>
      <c r="B1086">
        <v>2694</v>
      </c>
      <c r="C1086">
        <v>20</v>
      </c>
      <c r="D1086" t="s">
        <v>23</v>
      </c>
      <c r="E1086" t="s">
        <v>16</v>
      </c>
      <c r="F1086" t="s">
        <v>17</v>
      </c>
      <c r="G1086" t="s">
        <v>26</v>
      </c>
      <c r="H1086">
        <v>282.7</v>
      </c>
      <c r="I1086">
        <v>260</v>
      </c>
      <c r="J1086">
        <v>103.8</v>
      </c>
      <c r="K1086">
        <v>68</v>
      </c>
      <c r="L1086">
        <v>26.4</v>
      </c>
      <c r="M1086">
        <v>11.5</v>
      </c>
      <c r="N1086">
        <v>7.7460244651195706E-2</v>
      </c>
      <c r="O1086">
        <v>0.27510304600188901</v>
      </c>
    </row>
    <row r="1087" spans="1:15" x14ac:dyDescent="0.3">
      <c r="A1087">
        <v>4660</v>
      </c>
      <c r="B1087">
        <v>2694</v>
      </c>
      <c r="C1087">
        <v>20</v>
      </c>
      <c r="D1087" t="s">
        <v>23</v>
      </c>
      <c r="E1087" t="s">
        <v>16</v>
      </c>
      <c r="F1087" t="s">
        <v>17</v>
      </c>
      <c r="G1087" t="s">
        <v>26</v>
      </c>
      <c r="H1087">
        <v>282.7</v>
      </c>
      <c r="I1087">
        <v>260</v>
      </c>
      <c r="J1087">
        <v>103.8</v>
      </c>
      <c r="K1087">
        <v>68</v>
      </c>
      <c r="L1087">
        <v>26.4</v>
      </c>
      <c r="M1087">
        <v>11.5</v>
      </c>
      <c r="N1087">
        <v>9.4540382111053298E-2</v>
      </c>
      <c r="O1087">
        <v>0.251638965634713</v>
      </c>
    </row>
    <row r="1088" spans="1:15" x14ac:dyDescent="0.3">
      <c r="A1088">
        <v>4669</v>
      </c>
      <c r="B1088">
        <v>2698</v>
      </c>
      <c r="C1088">
        <v>314</v>
      </c>
      <c r="D1088" t="s">
        <v>19</v>
      </c>
      <c r="E1088" t="s">
        <v>20</v>
      </c>
      <c r="F1088" t="s">
        <v>17</v>
      </c>
      <c r="G1088" t="s">
        <v>25</v>
      </c>
      <c r="H1088">
        <v>273.5</v>
      </c>
      <c r="I1088">
        <v>251.5</v>
      </c>
      <c r="J1088">
        <v>97.5</v>
      </c>
      <c r="K1088">
        <v>65</v>
      </c>
      <c r="L1088">
        <v>25.5</v>
      </c>
      <c r="M1088">
        <v>13</v>
      </c>
      <c r="N1088">
        <v>0.23579384473093601</v>
      </c>
      <c r="O1088">
        <v>8.6341503011919202E-2</v>
      </c>
    </row>
    <row r="1089" spans="1:15" x14ac:dyDescent="0.3">
      <c r="A1089">
        <v>4680</v>
      </c>
      <c r="B1089">
        <v>2703</v>
      </c>
      <c r="C1089">
        <v>344</v>
      </c>
      <c r="D1089" t="s">
        <v>19</v>
      </c>
      <c r="E1089" t="s">
        <v>16</v>
      </c>
      <c r="F1089" t="s">
        <v>17</v>
      </c>
      <c r="G1089" t="s">
        <v>25</v>
      </c>
      <c r="H1089">
        <v>266.7</v>
      </c>
      <c r="I1089">
        <v>231.5</v>
      </c>
      <c r="J1089">
        <v>87.8</v>
      </c>
      <c r="K1089">
        <v>64.5</v>
      </c>
      <c r="L1089">
        <v>22.5</v>
      </c>
      <c r="M1089">
        <v>9</v>
      </c>
      <c r="N1089">
        <v>0.221103634095174</v>
      </c>
      <c r="O1089">
        <v>0.16934463506325201</v>
      </c>
    </row>
    <row r="1090" spans="1:15" x14ac:dyDescent="0.3">
      <c r="A1090">
        <v>4681</v>
      </c>
      <c r="B1090">
        <v>2704</v>
      </c>
      <c r="C1090">
        <v>176</v>
      </c>
      <c r="D1090" t="s">
        <v>23</v>
      </c>
      <c r="E1090" t="s">
        <v>20</v>
      </c>
      <c r="F1090" t="s">
        <v>21</v>
      </c>
      <c r="G1090" t="s">
        <v>26</v>
      </c>
      <c r="H1090">
        <v>274.5</v>
      </c>
      <c r="I1090">
        <v>261.5</v>
      </c>
      <c r="J1090">
        <v>100.7</v>
      </c>
      <c r="K1090">
        <v>67</v>
      </c>
      <c r="L1090">
        <v>26.6</v>
      </c>
      <c r="M1090">
        <v>10</v>
      </c>
      <c r="N1090">
        <v>0.142216989834337</v>
      </c>
      <c r="O1090">
        <v>0.425121370309959</v>
      </c>
    </row>
    <row r="1091" spans="1:15" x14ac:dyDescent="0.3">
      <c r="A1091">
        <v>4682</v>
      </c>
      <c r="B1091">
        <v>2704</v>
      </c>
      <c r="C1091">
        <v>176</v>
      </c>
      <c r="D1091" t="s">
        <v>23</v>
      </c>
      <c r="E1091" t="s">
        <v>20</v>
      </c>
      <c r="F1091" t="s">
        <v>21</v>
      </c>
      <c r="G1091" t="s">
        <v>26</v>
      </c>
      <c r="H1091">
        <v>274.5</v>
      </c>
      <c r="I1091">
        <v>261.5</v>
      </c>
      <c r="J1091">
        <v>100.7</v>
      </c>
      <c r="K1091">
        <v>67</v>
      </c>
      <c r="L1091">
        <v>26.6</v>
      </c>
      <c r="M1091">
        <v>10</v>
      </c>
      <c r="N1091">
        <v>0.13018495968871299</v>
      </c>
      <c r="O1091">
        <v>0.41332373104131398</v>
      </c>
    </row>
    <row r="1092" spans="1:15" x14ac:dyDescent="0.3">
      <c r="A1092">
        <v>4691</v>
      </c>
      <c r="B1092">
        <v>2709</v>
      </c>
      <c r="C1092">
        <v>325</v>
      </c>
      <c r="D1092" t="s">
        <v>19</v>
      </c>
      <c r="E1092" t="s">
        <v>16</v>
      </c>
      <c r="F1092" t="s">
        <v>21</v>
      </c>
      <c r="G1092" t="s">
        <v>18</v>
      </c>
      <c r="H1092">
        <v>274</v>
      </c>
      <c r="I1092">
        <v>243.5</v>
      </c>
      <c r="J1092">
        <v>94.8</v>
      </c>
      <c r="K1092">
        <v>65.5</v>
      </c>
      <c r="L1092">
        <v>26.1</v>
      </c>
      <c r="M1092">
        <v>13</v>
      </c>
      <c r="N1092">
        <v>0.21876738154383199</v>
      </c>
      <c r="O1092">
        <v>0.110714525514583</v>
      </c>
    </row>
    <row r="1093" spans="1:15" x14ac:dyDescent="0.3">
      <c r="A1093">
        <v>4692</v>
      </c>
      <c r="B1093">
        <v>2709</v>
      </c>
      <c r="C1093">
        <v>325</v>
      </c>
      <c r="D1093" t="s">
        <v>19</v>
      </c>
      <c r="E1093" t="s">
        <v>16</v>
      </c>
      <c r="F1093" t="s">
        <v>21</v>
      </c>
      <c r="G1093" t="s">
        <v>18</v>
      </c>
      <c r="H1093">
        <v>274</v>
      </c>
      <c r="I1093">
        <v>243.5</v>
      </c>
      <c r="J1093">
        <v>94.8</v>
      </c>
      <c r="K1093">
        <v>65.5</v>
      </c>
      <c r="L1093">
        <v>26.1</v>
      </c>
      <c r="M1093">
        <v>13</v>
      </c>
      <c r="N1093">
        <v>0.23055682849322201</v>
      </c>
      <c r="O1093">
        <v>0.102193451919289</v>
      </c>
    </row>
    <row r="1094" spans="1:15" x14ac:dyDescent="0.3">
      <c r="A1094">
        <v>4693</v>
      </c>
      <c r="B1094">
        <v>2709</v>
      </c>
      <c r="C1094">
        <v>325</v>
      </c>
      <c r="D1094" t="s">
        <v>19</v>
      </c>
      <c r="E1094" t="s">
        <v>16</v>
      </c>
      <c r="F1094" t="s">
        <v>21</v>
      </c>
      <c r="G1094" t="s">
        <v>18</v>
      </c>
      <c r="H1094">
        <v>274</v>
      </c>
      <c r="I1094">
        <v>243.5</v>
      </c>
      <c r="J1094">
        <v>94.8</v>
      </c>
      <c r="K1094">
        <v>65.5</v>
      </c>
      <c r="L1094">
        <v>26.1</v>
      </c>
      <c r="M1094">
        <v>13</v>
      </c>
      <c r="N1094">
        <v>0.238710243417176</v>
      </c>
      <c r="O1094">
        <v>0.101988615721292</v>
      </c>
    </row>
    <row r="1095" spans="1:15" x14ac:dyDescent="0.3">
      <c r="A1095">
        <v>4745</v>
      </c>
      <c r="B1095">
        <v>273</v>
      </c>
      <c r="C1095">
        <v>218</v>
      </c>
      <c r="D1095" t="s">
        <v>19</v>
      </c>
      <c r="E1095" t="s">
        <v>16</v>
      </c>
      <c r="F1095" t="s">
        <v>21</v>
      </c>
      <c r="G1095" t="s">
        <v>22</v>
      </c>
      <c r="H1095">
        <v>274.5</v>
      </c>
      <c r="I1095">
        <v>258</v>
      </c>
      <c r="J1095">
        <v>101.5</v>
      </c>
      <c r="K1095">
        <v>66.5</v>
      </c>
      <c r="L1095">
        <v>27.9</v>
      </c>
      <c r="M1095">
        <v>10</v>
      </c>
      <c r="N1095">
        <v>0.12613442157413801</v>
      </c>
      <c r="O1095">
        <v>8.0417856461991899E-2</v>
      </c>
    </row>
    <row r="1096" spans="1:15" x14ac:dyDescent="0.3">
      <c r="A1096">
        <v>4746</v>
      </c>
      <c r="B1096">
        <v>273</v>
      </c>
      <c r="C1096">
        <v>218</v>
      </c>
      <c r="D1096" t="s">
        <v>19</v>
      </c>
      <c r="E1096" t="s">
        <v>16</v>
      </c>
      <c r="F1096" t="s">
        <v>21</v>
      </c>
      <c r="G1096" t="s">
        <v>22</v>
      </c>
      <c r="H1096">
        <v>274.5</v>
      </c>
      <c r="I1096">
        <v>258</v>
      </c>
      <c r="J1096">
        <v>101.5</v>
      </c>
      <c r="K1096">
        <v>66.5</v>
      </c>
      <c r="L1096">
        <v>27.9</v>
      </c>
      <c r="M1096">
        <v>10</v>
      </c>
      <c r="N1096">
        <v>0.152070418543515</v>
      </c>
      <c r="O1096">
        <v>9.8351014658919295E-2</v>
      </c>
    </row>
    <row r="1097" spans="1:15" x14ac:dyDescent="0.3">
      <c r="A1097">
        <v>4749</v>
      </c>
      <c r="B1097">
        <v>2732</v>
      </c>
      <c r="C1097">
        <v>346</v>
      </c>
      <c r="D1097" t="s">
        <v>19</v>
      </c>
      <c r="E1097" t="s">
        <v>20</v>
      </c>
      <c r="F1097" t="s">
        <v>21</v>
      </c>
      <c r="G1097" t="s">
        <v>22</v>
      </c>
      <c r="H1097">
        <v>271.60000000000002</v>
      </c>
      <c r="I1097">
        <v>238</v>
      </c>
      <c r="J1097">
        <v>91.3</v>
      </c>
      <c r="K1097">
        <v>63</v>
      </c>
      <c r="L1097">
        <v>24.7</v>
      </c>
      <c r="M1097">
        <v>8</v>
      </c>
      <c r="N1097">
        <v>0.17947506155866599</v>
      </c>
      <c r="O1097">
        <v>2.12449628785349E-2</v>
      </c>
    </row>
    <row r="1098" spans="1:15" x14ac:dyDescent="0.3">
      <c r="A1098">
        <v>4751</v>
      </c>
      <c r="B1098">
        <v>2732</v>
      </c>
      <c r="C1098">
        <v>346</v>
      </c>
      <c r="D1098" t="s">
        <v>19</v>
      </c>
      <c r="E1098" t="s">
        <v>20</v>
      </c>
      <c r="F1098" t="s">
        <v>21</v>
      </c>
      <c r="G1098" t="s">
        <v>22</v>
      </c>
      <c r="H1098">
        <v>271.60000000000002</v>
      </c>
      <c r="I1098">
        <v>238</v>
      </c>
      <c r="J1098">
        <v>91.3</v>
      </c>
      <c r="K1098">
        <v>63</v>
      </c>
      <c r="L1098">
        <v>24.7</v>
      </c>
      <c r="M1098">
        <v>8</v>
      </c>
      <c r="N1098">
        <v>0.168969460729884</v>
      </c>
      <c r="O1098">
        <v>6.5646324527164103E-3</v>
      </c>
    </row>
    <row r="1099" spans="1:15" x14ac:dyDescent="0.3">
      <c r="A1099">
        <v>4752</v>
      </c>
      <c r="B1099">
        <v>2734</v>
      </c>
      <c r="C1099">
        <v>497</v>
      </c>
      <c r="D1099" t="s">
        <v>23</v>
      </c>
      <c r="E1099" t="s">
        <v>20</v>
      </c>
      <c r="F1099" t="s">
        <v>17</v>
      </c>
      <c r="G1099" t="s">
        <v>24</v>
      </c>
      <c r="H1099">
        <v>269.7</v>
      </c>
      <c r="I1099">
        <v>245</v>
      </c>
      <c r="J1099">
        <v>94</v>
      </c>
      <c r="K1099">
        <v>67</v>
      </c>
      <c r="L1099">
        <v>24.2</v>
      </c>
      <c r="M1099">
        <v>9</v>
      </c>
      <c r="N1099">
        <v>0.228932638729551</v>
      </c>
      <c r="O1099">
        <v>0.386726446381567</v>
      </c>
    </row>
    <row r="1100" spans="1:15" x14ac:dyDescent="0.3">
      <c r="A1100">
        <v>4753</v>
      </c>
      <c r="B1100">
        <v>2734</v>
      </c>
      <c r="C1100">
        <v>497</v>
      </c>
      <c r="D1100" t="s">
        <v>23</v>
      </c>
      <c r="E1100" t="s">
        <v>20</v>
      </c>
      <c r="F1100" t="s">
        <v>17</v>
      </c>
      <c r="G1100" t="s">
        <v>24</v>
      </c>
      <c r="H1100">
        <v>269.7</v>
      </c>
      <c r="I1100">
        <v>245</v>
      </c>
      <c r="J1100">
        <v>94</v>
      </c>
      <c r="K1100">
        <v>67</v>
      </c>
      <c r="L1100">
        <v>24.2</v>
      </c>
      <c r="M1100">
        <v>9</v>
      </c>
      <c r="N1100">
        <v>0.21979008397476499</v>
      </c>
      <c r="O1100">
        <v>0.36712826152181899</v>
      </c>
    </row>
    <row r="1101" spans="1:15" x14ac:dyDescent="0.3">
      <c r="A1101">
        <v>4763</v>
      </c>
      <c r="B1101">
        <v>2739</v>
      </c>
      <c r="C1101">
        <v>10</v>
      </c>
      <c r="D1101" t="s">
        <v>23</v>
      </c>
      <c r="E1101" t="s">
        <v>16</v>
      </c>
      <c r="F1101" t="s">
        <v>17</v>
      </c>
      <c r="G1101" t="s">
        <v>18</v>
      </c>
      <c r="H1101">
        <v>274.5</v>
      </c>
      <c r="I1101">
        <v>252</v>
      </c>
      <c r="J1101">
        <v>96.3</v>
      </c>
      <c r="K1101">
        <v>71.5</v>
      </c>
      <c r="L1101">
        <v>25.1</v>
      </c>
      <c r="M1101">
        <v>3.5</v>
      </c>
      <c r="N1101">
        <v>0.26833653278177</v>
      </c>
      <c r="O1101">
        <v>0.26401156915280799</v>
      </c>
    </row>
    <row r="1102" spans="1:15" x14ac:dyDescent="0.3">
      <c r="A1102">
        <v>4764</v>
      </c>
      <c r="B1102">
        <v>2739</v>
      </c>
      <c r="C1102">
        <v>10</v>
      </c>
      <c r="D1102" t="s">
        <v>23</v>
      </c>
      <c r="E1102" t="s">
        <v>16</v>
      </c>
      <c r="F1102" t="s">
        <v>17</v>
      </c>
      <c r="G1102" t="s">
        <v>18</v>
      </c>
      <c r="H1102">
        <v>274.5</v>
      </c>
      <c r="I1102">
        <v>252</v>
      </c>
      <c r="J1102">
        <v>96.3</v>
      </c>
      <c r="K1102">
        <v>71.5</v>
      </c>
      <c r="L1102">
        <v>25.1</v>
      </c>
      <c r="M1102">
        <v>3.5</v>
      </c>
      <c r="N1102">
        <v>0.252840371309215</v>
      </c>
      <c r="O1102">
        <v>0.27764575459104202</v>
      </c>
    </row>
    <row r="1103" spans="1:15" x14ac:dyDescent="0.3">
      <c r="A1103">
        <v>4780</v>
      </c>
      <c r="B1103">
        <v>2747</v>
      </c>
      <c r="C1103">
        <v>226</v>
      </c>
      <c r="D1103" t="s">
        <v>23</v>
      </c>
      <c r="E1103" t="s">
        <v>20</v>
      </c>
      <c r="F1103" t="s">
        <v>17</v>
      </c>
      <c r="G1103" t="s">
        <v>18</v>
      </c>
      <c r="H1103">
        <v>279.10000000000002</v>
      </c>
      <c r="I1103">
        <v>257.5</v>
      </c>
      <c r="J1103">
        <v>97.9</v>
      </c>
      <c r="K1103">
        <v>68</v>
      </c>
      <c r="L1103">
        <v>27.6</v>
      </c>
      <c r="M1103">
        <v>2.5</v>
      </c>
      <c r="N1103">
        <v>0.15084362256334199</v>
      </c>
      <c r="O1103">
        <v>0.20290197545649599</v>
      </c>
    </row>
    <row r="1104" spans="1:15" x14ac:dyDescent="0.3">
      <c r="A1104">
        <v>4781</v>
      </c>
      <c r="B1104">
        <v>2747</v>
      </c>
      <c r="C1104">
        <v>226</v>
      </c>
      <c r="D1104" t="s">
        <v>23</v>
      </c>
      <c r="E1104" t="s">
        <v>20</v>
      </c>
      <c r="F1104" t="s">
        <v>17</v>
      </c>
      <c r="G1104" t="s">
        <v>18</v>
      </c>
      <c r="H1104">
        <v>279.10000000000002</v>
      </c>
      <c r="I1104">
        <v>257.5</v>
      </c>
      <c r="J1104">
        <v>97.9</v>
      </c>
      <c r="K1104">
        <v>68</v>
      </c>
      <c r="L1104">
        <v>27.6</v>
      </c>
      <c r="M1104">
        <v>2.5</v>
      </c>
      <c r="N1104">
        <v>0.15266337465747501</v>
      </c>
      <c r="O1104">
        <v>0.201402344467351</v>
      </c>
    </row>
    <row r="1105" spans="1:15" x14ac:dyDescent="0.3">
      <c r="A1105">
        <v>4782</v>
      </c>
      <c r="B1105">
        <v>2747</v>
      </c>
      <c r="C1105">
        <v>226</v>
      </c>
      <c r="D1105" t="s">
        <v>23</v>
      </c>
      <c r="E1105" t="s">
        <v>20</v>
      </c>
      <c r="F1105" t="s">
        <v>17</v>
      </c>
      <c r="G1105" t="s">
        <v>18</v>
      </c>
      <c r="H1105">
        <v>279.10000000000002</v>
      </c>
      <c r="I1105">
        <v>257.5</v>
      </c>
      <c r="J1105">
        <v>97.9</v>
      </c>
      <c r="K1105">
        <v>68</v>
      </c>
      <c r="L1105">
        <v>27.6</v>
      </c>
      <c r="M1105">
        <v>2.5</v>
      </c>
      <c r="N1105">
        <v>0.163093907388906</v>
      </c>
      <c r="O1105">
        <v>0.19653171798070099</v>
      </c>
    </row>
    <row r="1106" spans="1:15" x14ac:dyDescent="0.3">
      <c r="A1106">
        <v>4783</v>
      </c>
      <c r="B1106">
        <v>2747</v>
      </c>
      <c r="C1106">
        <v>226</v>
      </c>
      <c r="D1106" t="s">
        <v>23</v>
      </c>
      <c r="E1106" t="s">
        <v>20</v>
      </c>
      <c r="F1106" t="s">
        <v>17</v>
      </c>
      <c r="G1106" t="s">
        <v>18</v>
      </c>
      <c r="H1106">
        <v>279.10000000000002</v>
      </c>
      <c r="I1106">
        <v>257.5</v>
      </c>
      <c r="J1106">
        <v>97.9</v>
      </c>
      <c r="K1106">
        <v>68</v>
      </c>
      <c r="L1106">
        <v>27.6</v>
      </c>
      <c r="M1106">
        <v>2.5</v>
      </c>
      <c r="N1106">
        <v>0.15003583927967201</v>
      </c>
      <c r="O1106">
        <v>0.205148396855236</v>
      </c>
    </row>
    <row r="1107" spans="1:15" x14ac:dyDescent="0.3">
      <c r="A1107">
        <v>4792</v>
      </c>
      <c r="B1107">
        <v>275</v>
      </c>
      <c r="C1107">
        <v>346</v>
      </c>
      <c r="D1107" t="s">
        <v>19</v>
      </c>
      <c r="E1107" t="s">
        <v>20</v>
      </c>
      <c r="F1107" t="s">
        <v>17</v>
      </c>
      <c r="G1107" t="s">
        <v>24</v>
      </c>
      <c r="H1107">
        <v>271.60000000000002</v>
      </c>
      <c r="I1107">
        <v>238</v>
      </c>
      <c r="J1107">
        <v>91.3</v>
      </c>
      <c r="K1107">
        <v>63</v>
      </c>
      <c r="L1107">
        <v>24.7</v>
      </c>
      <c r="M1107">
        <v>8</v>
      </c>
      <c r="N1107">
        <v>0.15668533034771001</v>
      </c>
      <c r="O1107">
        <v>2.3725355844141299E-2</v>
      </c>
    </row>
    <row r="1108" spans="1:15" x14ac:dyDescent="0.3">
      <c r="A1108">
        <v>4794</v>
      </c>
      <c r="B1108">
        <v>275</v>
      </c>
      <c r="C1108">
        <v>346</v>
      </c>
      <c r="D1108" t="s">
        <v>19</v>
      </c>
      <c r="E1108" t="s">
        <v>20</v>
      </c>
      <c r="F1108" t="s">
        <v>17</v>
      </c>
      <c r="G1108" t="s">
        <v>24</v>
      </c>
      <c r="H1108">
        <v>271.60000000000002</v>
      </c>
      <c r="I1108">
        <v>238</v>
      </c>
      <c r="J1108">
        <v>91.3</v>
      </c>
      <c r="K1108">
        <v>63</v>
      </c>
      <c r="L1108">
        <v>24.7</v>
      </c>
      <c r="M1108">
        <v>8</v>
      </c>
      <c r="N1108">
        <v>0.157725476431822</v>
      </c>
      <c r="O1108">
        <v>1.2568926581052801E-2</v>
      </c>
    </row>
    <row r="1109" spans="1:15" x14ac:dyDescent="0.3">
      <c r="A1109">
        <v>4817</v>
      </c>
      <c r="B1109">
        <v>2758</v>
      </c>
      <c r="C1109">
        <v>306</v>
      </c>
      <c r="D1109" t="s">
        <v>23</v>
      </c>
      <c r="E1109" t="s">
        <v>16</v>
      </c>
      <c r="F1109" t="s">
        <v>17</v>
      </c>
      <c r="G1109" t="s">
        <v>18</v>
      </c>
      <c r="H1109">
        <v>274.39999999999998</v>
      </c>
      <c r="I1109">
        <v>249</v>
      </c>
      <c r="J1109">
        <v>95.3</v>
      </c>
      <c r="K1109">
        <v>69.5</v>
      </c>
      <c r="L1109">
        <v>27.8</v>
      </c>
      <c r="M1109">
        <v>5.5</v>
      </c>
      <c r="N1109">
        <v>0.14110311083002</v>
      </c>
      <c r="O1109">
        <v>0.40473925232892499</v>
      </c>
    </row>
    <row r="1110" spans="1:15" x14ac:dyDescent="0.3">
      <c r="A1110">
        <v>4818</v>
      </c>
      <c r="B1110">
        <v>2758</v>
      </c>
      <c r="C1110">
        <v>306</v>
      </c>
      <c r="D1110" t="s">
        <v>23</v>
      </c>
      <c r="E1110" t="s">
        <v>16</v>
      </c>
      <c r="F1110" t="s">
        <v>17</v>
      </c>
      <c r="G1110" t="s">
        <v>18</v>
      </c>
      <c r="H1110">
        <v>274.39999999999998</v>
      </c>
      <c r="I1110">
        <v>249</v>
      </c>
      <c r="J1110">
        <v>95.3</v>
      </c>
      <c r="K1110">
        <v>69.5</v>
      </c>
      <c r="L1110">
        <v>27.8</v>
      </c>
      <c r="M1110">
        <v>5.5</v>
      </c>
      <c r="N1110">
        <v>0.13200833191073</v>
      </c>
      <c r="O1110">
        <v>0.41179653281890899</v>
      </c>
    </row>
    <row r="1111" spans="1:15" x14ac:dyDescent="0.3">
      <c r="A1111">
        <v>4819</v>
      </c>
      <c r="B1111">
        <v>2758</v>
      </c>
      <c r="C1111">
        <v>306</v>
      </c>
      <c r="D1111" t="s">
        <v>23</v>
      </c>
      <c r="E1111" t="s">
        <v>16</v>
      </c>
      <c r="F1111" t="s">
        <v>17</v>
      </c>
      <c r="G1111" t="s">
        <v>18</v>
      </c>
      <c r="H1111">
        <v>274.39999999999998</v>
      </c>
      <c r="I1111">
        <v>249</v>
      </c>
      <c r="J1111">
        <v>95.3</v>
      </c>
      <c r="K1111">
        <v>69.5</v>
      </c>
      <c r="L1111">
        <v>27.8</v>
      </c>
      <c r="M1111">
        <v>5.5</v>
      </c>
      <c r="N1111">
        <v>0.12346173313713001</v>
      </c>
      <c r="O1111">
        <v>0.41601229171372101</v>
      </c>
    </row>
    <row r="1112" spans="1:15" x14ac:dyDescent="0.3">
      <c r="A1112">
        <v>4820</v>
      </c>
      <c r="B1112">
        <v>2758</v>
      </c>
      <c r="C1112">
        <v>306</v>
      </c>
      <c r="D1112" t="s">
        <v>23</v>
      </c>
      <c r="E1112" t="s">
        <v>16</v>
      </c>
      <c r="F1112" t="s">
        <v>17</v>
      </c>
      <c r="G1112" t="s">
        <v>18</v>
      </c>
      <c r="H1112">
        <v>274.39999999999998</v>
      </c>
      <c r="I1112">
        <v>249</v>
      </c>
      <c r="J1112">
        <v>95.3</v>
      </c>
      <c r="K1112">
        <v>69.5</v>
      </c>
      <c r="L1112">
        <v>27.8</v>
      </c>
      <c r="M1112">
        <v>5.5</v>
      </c>
      <c r="N1112">
        <v>0.15006688404301</v>
      </c>
      <c r="O1112">
        <v>0.39808660505776</v>
      </c>
    </row>
    <row r="1113" spans="1:15" x14ac:dyDescent="0.3">
      <c r="A1113">
        <v>4826</v>
      </c>
      <c r="B1113">
        <v>2760</v>
      </c>
      <c r="C1113">
        <v>244</v>
      </c>
      <c r="D1113" t="s">
        <v>15</v>
      </c>
      <c r="E1113" t="s">
        <v>20</v>
      </c>
      <c r="F1113" t="s">
        <v>17</v>
      </c>
      <c r="G1113" t="s">
        <v>22</v>
      </c>
      <c r="H1113">
        <v>272.7</v>
      </c>
      <c r="I1113">
        <v>237</v>
      </c>
      <c r="J1113">
        <v>92.4</v>
      </c>
      <c r="K1113">
        <v>64.5</v>
      </c>
      <c r="L1113">
        <v>20.6</v>
      </c>
      <c r="M1113">
        <v>9</v>
      </c>
      <c r="N1113">
        <v>0.23362477677624999</v>
      </c>
      <c r="O1113">
        <v>5.5575071871314802E-2</v>
      </c>
    </row>
    <row r="1114" spans="1:15" x14ac:dyDescent="0.3">
      <c r="A1114">
        <v>4827</v>
      </c>
      <c r="B1114">
        <v>2760</v>
      </c>
      <c r="C1114">
        <v>244</v>
      </c>
      <c r="D1114" t="s">
        <v>15</v>
      </c>
      <c r="E1114" t="s">
        <v>20</v>
      </c>
      <c r="F1114" t="s">
        <v>17</v>
      </c>
      <c r="G1114" t="s">
        <v>22</v>
      </c>
      <c r="H1114">
        <v>272.7</v>
      </c>
      <c r="I1114">
        <v>237</v>
      </c>
      <c r="J1114">
        <v>92.4</v>
      </c>
      <c r="K1114">
        <v>64.5</v>
      </c>
      <c r="L1114">
        <v>20.6</v>
      </c>
      <c r="M1114">
        <v>9</v>
      </c>
      <c r="N1114">
        <v>0.26645363346550599</v>
      </c>
      <c r="O1114">
        <v>4.77713851778645E-2</v>
      </c>
    </row>
    <row r="1115" spans="1:15" x14ac:dyDescent="0.3">
      <c r="A1115">
        <v>4828</v>
      </c>
      <c r="B1115">
        <v>2760</v>
      </c>
      <c r="C1115">
        <v>244</v>
      </c>
      <c r="D1115" t="s">
        <v>15</v>
      </c>
      <c r="E1115" t="s">
        <v>20</v>
      </c>
      <c r="F1115" t="s">
        <v>17</v>
      </c>
      <c r="G1115" t="s">
        <v>22</v>
      </c>
      <c r="H1115">
        <v>272.7</v>
      </c>
      <c r="I1115">
        <v>237</v>
      </c>
      <c r="J1115">
        <v>92.4</v>
      </c>
      <c r="K1115">
        <v>64.5</v>
      </c>
      <c r="L1115">
        <v>20.6</v>
      </c>
      <c r="M1115">
        <v>9</v>
      </c>
      <c r="N1115">
        <v>0.24079943095640899</v>
      </c>
      <c r="O1115">
        <v>3.4240839075386199E-2</v>
      </c>
    </row>
    <row r="1116" spans="1:15" x14ac:dyDescent="0.3">
      <c r="A1116">
        <v>4847</v>
      </c>
      <c r="B1116">
        <v>2765</v>
      </c>
      <c r="C1116">
        <v>395</v>
      </c>
      <c r="D1116" t="s">
        <v>23</v>
      </c>
      <c r="E1116" t="s">
        <v>20</v>
      </c>
      <c r="F1116" t="s">
        <v>21</v>
      </c>
      <c r="G1116" t="s">
        <v>24</v>
      </c>
      <c r="H1116">
        <v>273.60000000000002</v>
      </c>
      <c r="I1116">
        <v>247</v>
      </c>
      <c r="J1116">
        <v>94</v>
      </c>
      <c r="K1116">
        <v>68</v>
      </c>
      <c r="L1116">
        <v>26.7</v>
      </c>
      <c r="M1116">
        <v>7.5</v>
      </c>
      <c r="N1116">
        <v>0.178250894449418</v>
      </c>
      <c r="O1116">
        <v>0.36596342144473298</v>
      </c>
    </row>
    <row r="1117" spans="1:15" x14ac:dyDescent="0.3">
      <c r="A1117">
        <v>4848</v>
      </c>
      <c r="B1117">
        <v>2765</v>
      </c>
      <c r="C1117">
        <v>395</v>
      </c>
      <c r="D1117" t="s">
        <v>23</v>
      </c>
      <c r="E1117" t="s">
        <v>20</v>
      </c>
      <c r="F1117" t="s">
        <v>21</v>
      </c>
      <c r="G1117" t="s">
        <v>24</v>
      </c>
      <c r="H1117">
        <v>273.60000000000002</v>
      </c>
      <c r="I1117">
        <v>247</v>
      </c>
      <c r="J1117">
        <v>94</v>
      </c>
      <c r="K1117">
        <v>68</v>
      </c>
      <c r="L1117">
        <v>26.7</v>
      </c>
      <c r="M1117">
        <v>7.5</v>
      </c>
      <c r="N1117">
        <v>0.15706525535572699</v>
      </c>
      <c r="O1117">
        <v>0.34883404581621602</v>
      </c>
    </row>
    <row r="1118" spans="1:15" x14ac:dyDescent="0.3">
      <c r="A1118">
        <v>4849</v>
      </c>
      <c r="B1118">
        <v>2765</v>
      </c>
      <c r="C1118">
        <v>395</v>
      </c>
      <c r="D1118" t="s">
        <v>23</v>
      </c>
      <c r="E1118" t="s">
        <v>20</v>
      </c>
      <c r="F1118" t="s">
        <v>21</v>
      </c>
      <c r="G1118" t="s">
        <v>24</v>
      </c>
      <c r="H1118">
        <v>273.60000000000002</v>
      </c>
      <c r="I1118">
        <v>247</v>
      </c>
      <c r="J1118">
        <v>94</v>
      </c>
      <c r="K1118">
        <v>68</v>
      </c>
      <c r="L1118">
        <v>26.7</v>
      </c>
      <c r="M1118">
        <v>7.5</v>
      </c>
      <c r="N1118">
        <v>0.18717712391334501</v>
      </c>
      <c r="O1118">
        <v>0.35732497862437701</v>
      </c>
    </row>
    <row r="1119" spans="1:15" x14ac:dyDescent="0.3">
      <c r="A1119">
        <v>4850</v>
      </c>
      <c r="B1119">
        <v>2765</v>
      </c>
      <c r="C1119">
        <v>395</v>
      </c>
      <c r="D1119" t="s">
        <v>23</v>
      </c>
      <c r="E1119" t="s">
        <v>20</v>
      </c>
      <c r="F1119" t="s">
        <v>21</v>
      </c>
      <c r="G1119" t="s">
        <v>24</v>
      </c>
      <c r="H1119">
        <v>273.60000000000002</v>
      </c>
      <c r="I1119">
        <v>247</v>
      </c>
      <c r="J1119">
        <v>94</v>
      </c>
      <c r="K1119">
        <v>68</v>
      </c>
      <c r="L1119">
        <v>26.7</v>
      </c>
      <c r="M1119">
        <v>7.5</v>
      </c>
      <c r="N1119">
        <v>0.16867191211152099</v>
      </c>
      <c r="O1119">
        <v>0.361788234804997</v>
      </c>
    </row>
    <row r="1120" spans="1:15" x14ac:dyDescent="0.3">
      <c r="A1120">
        <v>4857</v>
      </c>
      <c r="B1120">
        <v>2767</v>
      </c>
      <c r="C1120">
        <v>405</v>
      </c>
      <c r="D1120" t="s">
        <v>19</v>
      </c>
      <c r="E1120" t="s">
        <v>16</v>
      </c>
      <c r="F1120" t="s">
        <v>21</v>
      </c>
      <c r="G1120" t="s">
        <v>24</v>
      </c>
      <c r="H1120">
        <v>277.60000000000002</v>
      </c>
      <c r="I1120">
        <v>250</v>
      </c>
      <c r="J1120">
        <v>93.4</v>
      </c>
      <c r="K1120">
        <v>67.5</v>
      </c>
      <c r="L1120">
        <v>29.4</v>
      </c>
      <c r="M1120">
        <v>6</v>
      </c>
      <c r="N1120">
        <v>0.29031532916684399</v>
      </c>
      <c r="O1120">
        <v>8.3607810172116506E-2</v>
      </c>
    </row>
    <row r="1121" spans="1:15" x14ac:dyDescent="0.3">
      <c r="A1121">
        <v>4861</v>
      </c>
      <c r="B1121">
        <v>2769</v>
      </c>
      <c r="C1121">
        <v>12</v>
      </c>
      <c r="D1121" t="s">
        <v>19</v>
      </c>
      <c r="E1121" t="s">
        <v>16</v>
      </c>
      <c r="F1121" t="s">
        <v>21</v>
      </c>
      <c r="G1121" t="s">
        <v>26</v>
      </c>
      <c r="H1121">
        <v>280.39999999999998</v>
      </c>
      <c r="I1121">
        <v>260</v>
      </c>
      <c r="J1121">
        <v>102.4</v>
      </c>
      <c r="K1121">
        <v>69.5</v>
      </c>
      <c r="L1121">
        <v>28.2</v>
      </c>
      <c r="M1121">
        <v>9</v>
      </c>
      <c r="N1121">
        <v>0.16415185337775301</v>
      </c>
      <c r="O1121">
        <v>0.131990702692936</v>
      </c>
    </row>
    <row r="1122" spans="1:15" x14ac:dyDescent="0.3">
      <c r="A1122">
        <v>4862</v>
      </c>
      <c r="B1122">
        <v>2769</v>
      </c>
      <c r="C1122">
        <v>12</v>
      </c>
      <c r="D1122" t="s">
        <v>19</v>
      </c>
      <c r="E1122" t="s">
        <v>16</v>
      </c>
      <c r="F1122" t="s">
        <v>21</v>
      </c>
      <c r="G1122" t="s">
        <v>26</v>
      </c>
      <c r="H1122">
        <v>280.39999999999998</v>
      </c>
      <c r="I1122">
        <v>260</v>
      </c>
      <c r="J1122">
        <v>102.4</v>
      </c>
      <c r="K1122">
        <v>69.5</v>
      </c>
      <c r="L1122">
        <v>28.2</v>
      </c>
      <c r="M1122">
        <v>9</v>
      </c>
      <c r="N1122">
        <v>0.15184993507705</v>
      </c>
      <c r="O1122">
        <v>0.12219812425220999</v>
      </c>
    </row>
    <row r="1123" spans="1:15" x14ac:dyDescent="0.3">
      <c r="A1123">
        <v>4864</v>
      </c>
      <c r="B1123">
        <v>277</v>
      </c>
      <c r="C1123">
        <v>274</v>
      </c>
      <c r="D1123" t="s">
        <v>19</v>
      </c>
      <c r="E1123" t="s">
        <v>20</v>
      </c>
      <c r="F1123" t="s">
        <v>17</v>
      </c>
      <c r="G1123" t="s">
        <v>24</v>
      </c>
      <c r="H1123">
        <v>270.8</v>
      </c>
      <c r="I1123">
        <v>241</v>
      </c>
      <c r="J1123">
        <v>93</v>
      </c>
      <c r="K1123">
        <v>61.5</v>
      </c>
      <c r="L1123">
        <v>24.5</v>
      </c>
      <c r="M1123">
        <v>11.5</v>
      </c>
      <c r="N1123">
        <v>0.110081415725795</v>
      </c>
      <c r="O1123">
        <v>0.20986510773088601</v>
      </c>
    </row>
    <row r="1124" spans="1:15" x14ac:dyDescent="0.3">
      <c r="A1124">
        <v>4877</v>
      </c>
      <c r="B1124">
        <v>2775</v>
      </c>
      <c r="C1124">
        <v>474</v>
      </c>
      <c r="D1124" t="s">
        <v>15</v>
      </c>
      <c r="E1124" t="s">
        <v>16</v>
      </c>
      <c r="F1124" t="s">
        <v>17</v>
      </c>
      <c r="G1124" t="s">
        <v>22</v>
      </c>
      <c r="H1124">
        <v>273.89999999999998</v>
      </c>
      <c r="I1124">
        <v>243</v>
      </c>
      <c r="J1124">
        <v>92.6</v>
      </c>
      <c r="K1124">
        <v>64.5</v>
      </c>
      <c r="L1124">
        <v>27.4</v>
      </c>
      <c r="M1124">
        <v>5</v>
      </c>
      <c r="N1124">
        <v>0.147639107913273</v>
      </c>
      <c r="O1124">
        <v>0.198710978313131</v>
      </c>
    </row>
    <row r="1125" spans="1:15" x14ac:dyDescent="0.3">
      <c r="A1125">
        <v>4888</v>
      </c>
      <c r="B1125">
        <v>278</v>
      </c>
      <c r="C1125">
        <v>341</v>
      </c>
      <c r="D1125" t="s">
        <v>19</v>
      </c>
      <c r="E1125" t="s">
        <v>20</v>
      </c>
      <c r="F1125" t="s">
        <v>21</v>
      </c>
      <c r="G1125" t="s">
        <v>18</v>
      </c>
      <c r="H1125">
        <v>273</v>
      </c>
      <c r="I1125">
        <v>246.5</v>
      </c>
      <c r="J1125">
        <v>95.4</v>
      </c>
      <c r="K1125">
        <v>66.5</v>
      </c>
      <c r="L1125">
        <v>26.4</v>
      </c>
      <c r="M1125">
        <v>11</v>
      </c>
      <c r="N1125">
        <v>0.29902960502949499</v>
      </c>
      <c r="O1125">
        <v>9.4887110891664905E-2</v>
      </c>
    </row>
    <row r="1126" spans="1:15" x14ac:dyDescent="0.3">
      <c r="A1126">
        <v>4892</v>
      </c>
      <c r="B1126">
        <v>2781</v>
      </c>
      <c r="C1126">
        <v>417</v>
      </c>
      <c r="D1126" t="s">
        <v>19</v>
      </c>
      <c r="E1126" t="s">
        <v>16</v>
      </c>
      <c r="F1126" t="s">
        <v>17</v>
      </c>
      <c r="G1126" t="s">
        <v>26</v>
      </c>
      <c r="H1126">
        <v>268.60000000000002</v>
      </c>
      <c r="I1126">
        <v>234.5</v>
      </c>
      <c r="J1126">
        <v>92.8</v>
      </c>
      <c r="K1126">
        <v>64</v>
      </c>
      <c r="L1126">
        <v>24.3</v>
      </c>
      <c r="M1126">
        <v>5</v>
      </c>
      <c r="N1126">
        <v>0.22313395030387001</v>
      </c>
      <c r="O1126">
        <v>0.14311288346654999</v>
      </c>
    </row>
    <row r="1127" spans="1:15" x14ac:dyDescent="0.3">
      <c r="A1127">
        <v>4893</v>
      </c>
      <c r="B1127">
        <v>2781</v>
      </c>
      <c r="C1127">
        <v>417</v>
      </c>
      <c r="D1127" t="s">
        <v>19</v>
      </c>
      <c r="E1127" t="s">
        <v>16</v>
      </c>
      <c r="F1127" t="s">
        <v>17</v>
      </c>
      <c r="G1127" t="s">
        <v>26</v>
      </c>
      <c r="H1127">
        <v>268.60000000000002</v>
      </c>
      <c r="I1127">
        <v>234.5</v>
      </c>
      <c r="J1127">
        <v>92.8</v>
      </c>
      <c r="K1127">
        <v>64</v>
      </c>
      <c r="L1127">
        <v>24.3</v>
      </c>
      <c r="M1127">
        <v>5</v>
      </c>
      <c r="N1127">
        <v>0.20605500046443401</v>
      </c>
      <c r="O1127">
        <v>0.150558947862624</v>
      </c>
    </row>
    <row r="1128" spans="1:15" x14ac:dyDescent="0.3">
      <c r="A1128">
        <v>4894</v>
      </c>
      <c r="B1128">
        <v>2781</v>
      </c>
      <c r="C1128">
        <v>417</v>
      </c>
      <c r="D1128" t="s">
        <v>19</v>
      </c>
      <c r="E1128" t="s">
        <v>16</v>
      </c>
      <c r="F1128" t="s">
        <v>17</v>
      </c>
      <c r="G1128" t="s">
        <v>26</v>
      </c>
      <c r="H1128">
        <v>268.60000000000002</v>
      </c>
      <c r="I1128">
        <v>234.5</v>
      </c>
      <c r="J1128">
        <v>92.8</v>
      </c>
      <c r="K1128">
        <v>64</v>
      </c>
      <c r="L1128">
        <v>24.3</v>
      </c>
      <c r="M1128">
        <v>5</v>
      </c>
      <c r="N1128">
        <v>0.203642033616795</v>
      </c>
      <c r="O1128">
        <v>0.13228862031543401</v>
      </c>
    </row>
    <row r="1129" spans="1:15" x14ac:dyDescent="0.3">
      <c r="A1129">
        <v>4895</v>
      </c>
      <c r="B1129">
        <v>2781</v>
      </c>
      <c r="C1129">
        <v>417</v>
      </c>
      <c r="D1129" t="s">
        <v>19</v>
      </c>
      <c r="E1129" t="s">
        <v>16</v>
      </c>
      <c r="F1129" t="s">
        <v>17</v>
      </c>
      <c r="G1129" t="s">
        <v>26</v>
      </c>
      <c r="H1129">
        <v>268.60000000000002</v>
      </c>
      <c r="I1129">
        <v>234.5</v>
      </c>
      <c r="J1129">
        <v>92.8</v>
      </c>
      <c r="K1129">
        <v>64</v>
      </c>
      <c r="L1129">
        <v>24.3</v>
      </c>
      <c r="M1129">
        <v>5</v>
      </c>
      <c r="N1129">
        <v>0.208588389815903</v>
      </c>
      <c r="O1129">
        <v>0.156058010346903</v>
      </c>
    </row>
    <row r="1130" spans="1:15" x14ac:dyDescent="0.3">
      <c r="A1130">
        <v>4896</v>
      </c>
      <c r="B1130">
        <v>2782</v>
      </c>
      <c r="C1130">
        <v>379</v>
      </c>
      <c r="D1130" t="s">
        <v>19</v>
      </c>
      <c r="E1130" t="s">
        <v>20</v>
      </c>
      <c r="F1130" t="s">
        <v>17</v>
      </c>
      <c r="G1130" t="s">
        <v>22</v>
      </c>
      <c r="H1130">
        <v>276.5</v>
      </c>
      <c r="I1130">
        <v>259.5</v>
      </c>
      <c r="J1130">
        <v>97.2</v>
      </c>
      <c r="K1130">
        <v>68</v>
      </c>
      <c r="L1130">
        <v>26.4</v>
      </c>
      <c r="M1130">
        <v>4</v>
      </c>
      <c r="N1130">
        <v>0.28567786861262801</v>
      </c>
      <c r="O1130">
        <v>2.8611951950185E-2</v>
      </c>
    </row>
    <row r="1131" spans="1:15" x14ac:dyDescent="0.3">
      <c r="A1131">
        <v>4897</v>
      </c>
      <c r="B1131">
        <v>2782</v>
      </c>
      <c r="C1131">
        <v>379</v>
      </c>
      <c r="D1131" t="s">
        <v>19</v>
      </c>
      <c r="E1131" t="s">
        <v>20</v>
      </c>
      <c r="F1131" t="s">
        <v>17</v>
      </c>
      <c r="G1131" t="s">
        <v>22</v>
      </c>
      <c r="H1131">
        <v>276.5</v>
      </c>
      <c r="I1131">
        <v>259.5</v>
      </c>
      <c r="J1131">
        <v>97.2</v>
      </c>
      <c r="K1131">
        <v>68</v>
      </c>
      <c r="L1131">
        <v>26.4</v>
      </c>
      <c r="M1131">
        <v>4</v>
      </c>
      <c r="N1131">
        <v>0.29906523896312698</v>
      </c>
      <c r="O1131">
        <v>4.20355046873018E-2</v>
      </c>
    </row>
    <row r="1132" spans="1:15" x14ac:dyDescent="0.3">
      <c r="A1132">
        <v>4898</v>
      </c>
      <c r="B1132">
        <v>2783</v>
      </c>
      <c r="C1132">
        <v>269</v>
      </c>
      <c r="D1132" t="s">
        <v>19</v>
      </c>
      <c r="E1132" t="s">
        <v>20</v>
      </c>
      <c r="F1132" t="s">
        <v>21</v>
      </c>
      <c r="G1132" t="s">
        <v>26</v>
      </c>
      <c r="H1132">
        <v>273.8</v>
      </c>
      <c r="I1132">
        <v>243</v>
      </c>
      <c r="J1132">
        <v>91.5</v>
      </c>
      <c r="K1132">
        <v>66</v>
      </c>
      <c r="L1132">
        <v>24.8</v>
      </c>
      <c r="M1132">
        <v>8.5</v>
      </c>
      <c r="N1132">
        <v>7.8264763287682504E-2</v>
      </c>
      <c r="O1132">
        <v>0.152047238579855</v>
      </c>
    </row>
    <row r="1133" spans="1:15" x14ac:dyDescent="0.3">
      <c r="A1133">
        <v>4903</v>
      </c>
      <c r="B1133">
        <v>2787</v>
      </c>
      <c r="C1133">
        <v>314</v>
      </c>
      <c r="D1133" t="s">
        <v>19</v>
      </c>
      <c r="E1133" t="s">
        <v>20</v>
      </c>
      <c r="F1133" t="s">
        <v>17</v>
      </c>
      <c r="G1133" t="s">
        <v>24</v>
      </c>
      <c r="H1133">
        <v>273.5</v>
      </c>
      <c r="I1133">
        <v>251.5</v>
      </c>
      <c r="J1133">
        <v>97.5</v>
      </c>
      <c r="K1133">
        <v>65</v>
      </c>
      <c r="L1133">
        <v>25.5</v>
      </c>
      <c r="M1133">
        <v>13</v>
      </c>
      <c r="N1133">
        <v>0.24578863300251</v>
      </c>
      <c r="O1133">
        <v>6.7318270422979401E-2</v>
      </c>
    </row>
    <row r="1134" spans="1:15" x14ac:dyDescent="0.3">
      <c r="A1134">
        <v>4904</v>
      </c>
      <c r="B1134">
        <v>2787</v>
      </c>
      <c r="C1134">
        <v>314</v>
      </c>
      <c r="D1134" t="s">
        <v>19</v>
      </c>
      <c r="E1134" t="s">
        <v>20</v>
      </c>
      <c r="F1134" t="s">
        <v>17</v>
      </c>
      <c r="G1134" t="s">
        <v>24</v>
      </c>
      <c r="H1134">
        <v>273.5</v>
      </c>
      <c r="I1134">
        <v>251.5</v>
      </c>
      <c r="J1134">
        <v>97.5</v>
      </c>
      <c r="K1134">
        <v>65</v>
      </c>
      <c r="L1134">
        <v>25.5</v>
      </c>
      <c r="M1134">
        <v>13</v>
      </c>
      <c r="N1134">
        <v>0.24148770951047899</v>
      </c>
      <c r="O1134">
        <v>8.3584694440089993E-2</v>
      </c>
    </row>
    <row r="1135" spans="1:15" x14ac:dyDescent="0.3">
      <c r="A1135">
        <v>4905</v>
      </c>
      <c r="B1135">
        <v>2787</v>
      </c>
      <c r="C1135">
        <v>314</v>
      </c>
      <c r="D1135" t="s">
        <v>19</v>
      </c>
      <c r="E1135" t="s">
        <v>20</v>
      </c>
      <c r="F1135" t="s">
        <v>17</v>
      </c>
      <c r="G1135" t="s">
        <v>24</v>
      </c>
      <c r="H1135">
        <v>273.5</v>
      </c>
      <c r="I1135">
        <v>251.5</v>
      </c>
      <c r="J1135">
        <v>97.5</v>
      </c>
      <c r="K1135">
        <v>65</v>
      </c>
      <c r="L1135">
        <v>25.5</v>
      </c>
      <c r="M1135">
        <v>13</v>
      </c>
      <c r="N1135">
        <v>0.236312806150794</v>
      </c>
      <c r="O1135">
        <v>8.0067664588339305E-2</v>
      </c>
    </row>
    <row r="1136" spans="1:15" x14ac:dyDescent="0.3">
      <c r="A1136">
        <v>4906</v>
      </c>
      <c r="B1136">
        <v>2787</v>
      </c>
      <c r="C1136">
        <v>314</v>
      </c>
      <c r="D1136" t="s">
        <v>19</v>
      </c>
      <c r="E1136" t="s">
        <v>20</v>
      </c>
      <c r="F1136" t="s">
        <v>17</v>
      </c>
      <c r="G1136" t="s">
        <v>24</v>
      </c>
      <c r="H1136">
        <v>273.5</v>
      </c>
      <c r="I1136">
        <v>251.5</v>
      </c>
      <c r="J1136">
        <v>97.5</v>
      </c>
      <c r="K1136">
        <v>65</v>
      </c>
      <c r="L1136">
        <v>25.5</v>
      </c>
      <c r="M1136">
        <v>13</v>
      </c>
      <c r="N1136">
        <v>0.234959086057032</v>
      </c>
      <c r="O1136">
        <v>7.9861762820932297E-2</v>
      </c>
    </row>
    <row r="1137" spans="1:15" x14ac:dyDescent="0.3">
      <c r="A1137">
        <v>4907</v>
      </c>
      <c r="B1137">
        <v>2788</v>
      </c>
      <c r="C1137">
        <v>203</v>
      </c>
      <c r="D1137" t="s">
        <v>19</v>
      </c>
      <c r="E1137" t="s">
        <v>20</v>
      </c>
      <c r="F1137" t="s">
        <v>21</v>
      </c>
      <c r="G1137" t="s">
        <v>18</v>
      </c>
      <c r="H1137">
        <v>277.60000000000002</v>
      </c>
      <c r="I1137">
        <v>247.5</v>
      </c>
      <c r="J1137">
        <v>94</v>
      </c>
      <c r="K1137">
        <v>65</v>
      </c>
      <c r="L1137">
        <v>24.9</v>
      </c>
      <c r="M1137">
        <v>9.5</v>
      </c>
      <c r="N1137">
        <v>0.27009659668342201</v>
      </c>
      <c r="O1137">
        <v>5.5588845301044902E-2</v>
      </c>
    </row>
    <row r="1138" spans="1:15" x14ac:dyDescent="0.3">
      <c r="A1138">
        <v>4911</v>
      </c>
      <c r="B1138">
        <v>2790</v>
      </c>
      <c r="C1138">
        <v>12</v>
      </c>
      <c r="D1138" t="s">
        <v>19</v>
      </c>
      <c r="E1138" t="s">
        <v>16</v>
      </c>
      <c r="F1138" t="s">
        <v>17</v>
      </c>
      <c r="G1138" t="s">
        <v>24</v>
      </c>
      <c r="H1138">
        <v>280.39999999999998</v>
      </c>
      <c r="I1138">
        <v>260</v>
      </c>
      <c r="J1138">
        <v>102.4</v>
      </c>
      <c r="K1138">
        <v>69.5</v>
      </c>
      <c r="L1138">
        <v>28.2</v>
      </c>
      <c r="M1138">
        <v>9</v>
      </c>
      <c r="N1138">
        <v>0.15666817001784</v>
      </c>
      <c r="O1138">
        <v>0.13059695003158001</v>
      </c>
    </row>
    <row r="1139" spans="1:15" x14ac:dyDescent="0.3">
      <c r="A1139">
        <v>4920</v>
      </c>
      <c r="B1139">
        <v>2794</v>
      </c>
      <c r="C1139">
        <v>320</v>
      </c>
      <c r="D1139" t="s">
        <v>19</v>
      </c>
      <c r="E1139" t="s">
        <v>20</v>
      </c>
      <c r="F1139" t="s">
        <v>17</v>
      </c>
      <c r="G1139" t="s">
        <v>26</v>
      </c>
      <c r="H1139">
        <v>279</v>
      </c>
      <c r="I1139">
        <v>253.5</v>
      </c>
      <c r="J1139">
        <v>97.1</v>
      </c>
      <c r="K1139">
        <v>64</v>
      </c>
      <c r="L1139">
        <v>24</v>
      </c>
      <c r="M1139">
        <v>8</v>
      </c>
      <c r="N1139">
        <v>0.13752124340754701</v>
      </c>
      <c r="O1139">
        <v>3.23388667555152E-2</v>
      </c>
    </row>
    <row r="1140" spans="1:15" x14ac:dyDescent="0.3">
      <c r="A1140">
        <v>4921</v>
      </c>
      <c r="B1140">
        <v>2794</v>
      </c>
      <c r="C1140">
        <v>320</v>
      </c>
      <c r="D1140" t="s">
        <v>19</v>
      </c>
      <c r="E1140" t="s">
        <v>20</v>
      </c>
      <c r="F1140" t="s">
        <v>17</v>
      </c>
      <c r="G1140" t="s">
        <v>26</v>
      </c>
      <c r="H1140">
        <v>279</v>
      </c>
      <c r="I1140">
        <v>253.5</v>
      </c>
      <c r="J1140">
        <v>97.1</v>
      </c>
      <c r="K1140">
        <v>64</v>
      </c>
      <c r="L1140">
        <v>24</v>
      </c>
      <c r="M1140">
        <v>8</v>
      </c>
      <c r="N1140">
        <v>0.162978444173625</v>
      </c>
      <c r="O1140">
        <v>3.2931707583728799E-2</v>
      </c>
    </row>
    <row r="1141" spans="1:15" x14ac:dyDescent="0.3">
      <c r="A1141">
        <v>4927</v>
      </c>
      <c r="B1141">
        <v>2797</v>
      </c>
      <c r="C1141">
        <v>98</v>
      </c>
      <c r="D1141" t="s">
        <v>23</v>
      </c>
      <c r="E1141" t="s">
        <v>20</v>
      </c>
      <c r="F1141" t="s">
        <v>17</v>
      </c>
      <c r="G1141" t="s">
        <v>22</v>
      </c>
      <c r="H1141">
        <v>276.60000000000002</v>
      </c>
      <c r="I1141">
        <v>257.5</v>
      </c>
      <c r="J1141">
        <v>95.2</v>
      </c>
      <c r="K1141">
        <v>67.5</v>
      </c>
      <c r="L1141">
        <v>24.1</v>
      </c>
      <c r="M1141">
        <v>9.5</v>
      </c>
      <c r="N1141">
        <v>0.17967746946072599</v>
      </c>
      <c r="O1141">
        <v>0.37000544256258999</v>
      </c>
    </row>
    <row r="1142" spans="1:15" x14ac:dyDescent="0.3">
      <c r="A1142">
        <v>4928</v>
      </c>
      <c r="B1142">
        <v>2797</v>
      </c>
      <c r="C1142">
        <v>98</v>
      </c>
      <c r="D1142" t="s">
        <v>23</v>
      </c>
      <c r="E1142" t="s">
        <v>20</v>
      </c>
      <c r="F1142" t="s">
        <v>17</v>
      </c>
      <c r="G1142" t="s">
        <v>22</v>
      </c>
      <c r="H1142">
        <v>276.60000000000002</v>
      </c>
      <c r="I1142">
        <v>257.5</v>
      </c>
      <c r="J1142">
        <v>95.2</v>
      </c>
      <c r="K1142">
        <v>67.5</v>
      </c>
      <c r="L1142">
        <v>24.1</v>
      </c>
      <c r="M1142">
        <v>9.5</v>
      </c>
      <c r="N1142">
        <v>0.18148566249574899</v>
      </c>
      <c r="O1142">
        <v>0.36867369289368501</v>
      </c>
    </row>
    <row r="1143" spans="1:15" x14ac:dyDescent="0.3">
      <c r="A1143">
        <v>4929</v>
      </c>
      <c r="B1143">
        <v>2798</v>
      </c>
      <c r="C1143">
        <v>466</v>
      </c>
      <c r="D1143" t="s">
        <v>23</v>
      </c>
      <c r="E1143" t="s">
        <v>20</v>
      </c>
      <c r="F1143" t="s">
        <v>21</v>
      </c>
      <c r="G1143" t="s">
        <v>26</v>
      </c>
      <c r="H1143">
        <v>282.10000000000002</v>
      </c>
      <c r="I1143">
        <v>257</v>
      </c>
      <c r="J1143">
        <v>100.3</v>
      </c>
      <c r="K1143">
        <v>68.5</v>
      </c>
      <c r="L1143">
        <v>27.5</v>
      </c>
      <c r="M1143">
        <v>11</v>
      </c>
      <c r="N1143">
        <v>8.3465345877393404E-2</v>
      </c>
      <c r="O1143">
        <v>0.26877804357073798</v>
      </c>
    </row>
    <row r="1144" spans="1:15" x14ac:dyDescent="0.3">
      <c r="A1144">
        <v>4930</v>
      </c>
      <c r="B1144">
        <v>2798</v>
      </c>
      <c r="C1144">
        <v>466</v>
      </c>
      <c r="D1144" t="s">
        <v>23</v>
      </c>
      <c r="E1144" t="s">
        <v>20</v>
      </c>
      <c r="F1144" t="s">
        <v>21</v>
      </c>
      <c r="G1144" t="s">
        <v>26</v>
      </c>
      <c r="H1144">
        <v>282.10000000000002</v>
      </c>
      <c r="I1144">
        <v>257</v>
      </c>
      <c r="J1144">
        <v>100.3</v>
      </c>
      <c r="K1144">
        <v>68.5</v>
      </c>
      <c r="L1144">
        <v>27.5</v>
      </c>
      <c r="M1144">
        <v>11</v>
      </c>
      <c r="N1144">
        <v>5.1035450323383802E-2</v>
      </c>
      <c r="O1144">
        <v>0.27185001828491001</v>
      </c>
    </row>
    <row r="1145" spans="1:15" x14ac:dyDescent="0.3">
      <c r="A1145">
        <v>4931</v>
      </c>
      <c r="B1145">
        <v>2798</v>
      </c>
      <c r="C1145">
        <v>466</v>
      </c>
      <c r="D1145" t="s">
        <v>23</v>
      </c>
      <c r="E1145" t="s">
        <v>20</v>
      </c>
      <c r="F1145" t="s">
        <v>21</v>
      </c>
      <c r="G1145" t="s">
        <v>26</v>
      </c>
      <c r="H1145">
        <v>282.10000000000002</v>
      </c>
      <c r="I1145">
        <v>257</v>
      </c>
      <c r="J1145">
        <v>100.3</v>
      </c>
      <c r="K1145">
        <v>68.5</v>
      </c>
      <c r="L1145">
        <v>27.5</v>
      </c>
      <c r="M1145">
        <v>11</v>
      </c>
      <c r="N1145">
        <v>8.5616016880678505E-2</v>
      </c>
      <c r="O1145">
        <v>0.26488767260020601</v>
      </c>
    </row>
    <row r="1146" spans="1:15" x14ac:dyDescent="0.3">
      <c r="A1146">
        <v>4932</v>
      </c>
      <c r="B1146">
        <v>2799</v>
      </c>
      <c r="C1146">
        <v>246</v>
      </c>
      <c r="D1146" t="s">
        <v>23</v>
      </c>
      <c r="E1146" t="s">
        <v>16</v>
      </c>
      <c r="F1146" t="s">
        <v>17</v>
      </c>
      <c r="G1146" t="s">
        <v>25</v>
      </c>
      <c r="H1146">
        <v>278.2</v>
      </c>
      <c r="I1146">
        <v>257</v>
      </c>
      <c r="J1146">
        <v>97.9</v>
      </c>
      <c r="K1146">
        <v>67</v>
      </c>
      <c r="L1146">
        <v>24.3</v>
      </c>
      <c r="M1146">
        <v>12.5</v>
      </c>
      <c r="N1146">
        <v>0.156389046528219</v>
      </c>
      <c r="O1146">
        <v>0.37186547052943197</v>
      </c>
    </row>
    <row r="1147" spans="1:15" x14ac:dyDescent="0.3">
      <c r="A1147">
        <v>4933</v>
      </c>
      <c r="B1147">
        <v>2799</v>
      </c>
      <c r="C1147">
        <v>246</v>
      </c>
      <c r="D1147" t="s">
        <v>23</v>
      </c>
      <c r="E1147" t="s">
        <v>16</v>
      </c>
      <c r="F1147" t="s">
        <v>17</v>
      </c>
      <c r="G1147" t="s">
        <v>25</v>
      </c>
      <c r="H1147">
        <v>278.2</v>
      </c>
      <c r="I1147">
        <v>257</v>
      </c>
      <c r="J1147">
        <v>97.9</v>
      </c>
      <c r="K1147">
        <v>67</v>
      </c>
      <c r="L1147">
        <v>24.3</v>
      </c>
      <c r="M1147">
        <v>12.5</v>
      </c>
      <c r="N1147">
        <v>0.14753886835212099</v>
      </c>
      <c r="O1147">
        <v>0.371938824740697</v>
      </c>
    </row>
    <row r="1148" spans="1:15" x14ac:dyDescent="0.3">
      <c r="A1148">
        <v>4934</v>
      </c>
      <c r="B1148">
        <v>2799</v>
      </c>
      <c r="C1148">
        <v>246</v>
      </c>
      <c r="D1148" t="s">
        <v>23</v>
      </c>
      <c r="E1148" t="s">
        <v>16</v>
      </c>
      <c r="F1148" t="s">
        <v>17</v>
      </c>
      <c r="G1148" t="s">
        <v>25</v>
      </c>
      <c r="H1148">
        <v>278.2</v>
      </c>
      <c r="I1148">
        <v>257</v>
      </c>
      <c r="J1148">
        <v>97.9</v>
      </c>
      <c r="K1148">
        <v>67</v>
      </c>
      <c r="L1148">
        <v>24.3</v>
      </c>
      <c r="M1148">
        <v>12.5</v>
      </c>
      <c r="N1148">
        <v>0.14876541570620999</v>
      </c>
      <c r="O1148">
        <v>0.40043792684095902</v>
      </c>
    </row>
    <row r="1149" spans="1:15" x14ac:dyDescent="0.3">
      <c r="A1149">
        <v>4937</v>
      </c>
      <c r="B1149">
        <v>280</v>
      </c>
      <c r="C1149">
        <v>454</v>
      </c>
      <c r="D1149" t="s">
        <v>23</v>
      </c>
      <c r="E1149" t="s">
        <v>16</v>
      </c>
      <c r="F1149" t="s">
        <v>17</v>
      </c>
      <c r="G1149" t="s">
        <v>22</v>
      </c>
      <c r="H1149">
        <v>272.8</v>
      </c>
      <c r="I1149">
        <v>242.5</v>
      </c>
      <c r="J1149">
        <v>92.2</v>
      </c>
      <c r="K1149">
        <v>67</v>
      </c>
      <c r="L1149">
        <v>26.4</v>
      </c>
      <c r="M1149">
        <v>6</v>
      </c>
      <c r="N1149">
        <v>0.21214785365226299</v>
      </c>
      <c r="O1149">
        <v>0.29942017509318097</v>
      </c>
    </row>
    <row r="1150" spans="1:15" x14ac:dyDescent="0.3">
      <c r="A1150">
        <v>4938</v>
      </c>
      <c r="B1150">
        <v>280</v>
      </c>
      <c r="C1150">
        <v>454</v>
      </c>
      <c r="D1150" t="s">
        <v>23</v>
      </c>
      <c r="E1150" t="s">
        <v>16</v>
      </c>
      <c r="F1150" t="s">
        <v>17</v>
      </c>
      <c r="G1150" t="s">
        <v>22</v>
      </c>
      <c r="H1150">
        <v>272.8</v>
      </c>
      <c r="I1150">
        <v>242.5</v>
      </c>
      <c r="J1150">
        <v>92.2</v>
      </c>
      <c r="K1150">
        <v>67</v>
      </c>
      <c r="L1150">
        <v>26.4</v>
      </c>
      <c r="M1150">
        <v>6</v>
      </c>
      <c r="N1150">
        <v>0.21480514492670699</v>
      </c>
      <c r="O1150">
        <v>0.31705289813672499</v>
      </c>
    </row>
    <row r="1151" spans="1:15" x14ac:dyDescent="0.3">
      <c r="A1151">
        <v>4939</v>
      </c>
      <c r="B1151">
        <v>280</v>
      </c>
      <c r="C1151">
        <v>454</v>
      </c>
      <c r="D1151" t="s">
        <v>23</v>
      </c>
      <c r="E1151" t="s">
        <v>16</v>
      </c>
      <c r="F1151" t="s">
        <v>17</v>
      </c>
      <c r="G1151" t="s">
        <v>22</v>
      </c>
      <c r="H1151">
        <v>272.8</v>
      </c>
      <c r="I1151">
        <v>242.5</v>
      </c>
      <c r="J1151">
        <v>92.2</v>
      </c>
      <c r="K1151">
        <v>67</v>
      </c>
      <c r="L1151">
        <v>26.4</v>
      </c>
      <c r="M1151">
        <v>6</v>
      </c>
      <c r="N1151">
        <v>0.21410478781411901</v>
      </c>
      <c r="O1151">
        <v>0.30240367627484099</v>
      </c>
    </row>
    <row r="1152" spans="1:15" x14ac:dyDescent="0.3">
      <c r="A1152">
        <v>4941</v>
      </c>
      <c r="B1152">
        <v>2800</v>
      </c>
      <c r="C1152">
        <v>183</v>
      </c>
      <c r="D1152" t="s">
        <v>19</v>
      </c>
      <c r="E1152" t="s">
        <v>20</v>
      </c>
      <c r="F1152" t="s">
        <v>21</v>
      </c>
      <c r="G1152" t="s">
        <v>26</v>
      </c>
      <c r="H1152">
        <v>276.39999999999998</v>
      </c>
      <c r="I1152">
        <v>248</v>
      </c>
      <c r="J1152">
        <v>92.7</v>
      </c>
      <c r="K1152">
        <v>64</v>
      </c>
      <c r="L1152">
        <v>27.8</v>
      </c>
      <c r="M1152">
        <v>6.5</v>
      </c>
      <c r="N1152">
        <v>0.32034039086243499</v>
      </c>
      <c r="O1152">
        <v>7.2439968310461997E-2</v>
      </c>
    </row>
    <row r="1153" spans="1:15" x14ac:dyDescent="0.3">
      <c r="A1153">
        <v>4943</v>
      </c>
      <c r="B1153">
        <v>2801</v>
      </c>
      <c r="C1153">
        <v>75</v>
      </c>
      <c r="D1153" t="s">
        <v>15</v>
      </c>
      <c r="E1153" t="s">
        <v>20</v>
      </c>
      <c r="F1153" t="s">
        <v>17</v>
      </c>
      <c r="G1153" t="s">
        <v>18</v>
      </c>
      <c r="H1153">
        <v>278</v>
      </c>
      <c r="I1153">
        <v>259</v>
      </c>
      <c r="J1153">
        <v>97.6</v>
      </c>
      <c r="K1153">
        <v>68.5</v>
      </c>
      <c r="L1153">
        <v>26.2</v>
      </c>
      <c r="M1153">
        <v>4</v>
      </c>
      <c r="N1153">
        <v>0.132409401861347</v>
      </c>
      <c r="O1153">
        <v>0.15597533757875201</v>
      </c>
    </row>
    <row r="1154" spans="1:15" x14ac:dyDescent="0.3">
      <c r="A1154">
        <v>4944</v>
      </c>
      <c r="B1154">
        <v>2801</v>
      </c>
      <c r="C1154">
        <v>75</v>
      </c>
      <c r="D1154" t="s">
        <v>15</v>
      </c>
      <c r="E1154" t="s">
        <v>20</v>
      </c>
      <c r="F1154" t="s">
        <v>17</v>
      </c>
      <c r="G1154" t="s">
        <v>18</v>
      </c>
      <c r="H1154">
        <v>278</v>
      </c>
      <c r="I1154">
        <v>259</v>
      </c>
      <c r="J1154">
        <v>97.6</v>
      </c>
      <c r="K1154">
        <v>68.5</v>
      </c>
      <c r="L1154">
        <v>26.2</v>
      </c>
      <c r="M1154">
        <v>4</v>
      </c>
      <c r="N1154">
        <v>0.118935934899546</v>
      </c>
      <c r="O1154">
        <v>0.169749713226229</v>
      </c>
    </row>
    <row r="1155" spans="1:15" x14ac:dyDescent="0.3">
      <c r="A1155">
        <v>4945</v>
      </c>
      <c r="B1155">
        <v>2801</v>
      </c>
      <c r="C1155">
        <v>75</v>
      </c>
      <c r="D1155" t="s">
        <v>15</v>
      </c>
      <c r="E1155" t="s">
        <v>20</v>
      </c>
      <c r="F1155" t="s">
        <v>17</v>
      </c>
      <c r="G1155" t="s">
        <v>18</v>
      </c>
      <c r="H1155">
        <v>278</v>
      </c>
      <c r="I1155">
        <v>259</v>
      </c>
      <c r="J1155">
        <v>97.6</v>
      </c>
      <c r="K1155">
        <v>68.5</v>
      </c>
      <c r="L1155">
        <v>26.2</v>
      </c>
      <c r="M1155">
        <v>4</v>
      </c>
      <c r="N1155">
        <v>0.11857625862116</v>
      </c>
      <c r="O1155">
        <v>0.14915022978880699</v>
      </c>
    </row>
    <row r="1156" spans="1:15" x14ac:dyDescent="0.3">
      <c r="A1156">
        <v>4949</v>
      </c>
      <c r="B1156">
        <v>2804</v>
      </c>
      <c r="C1156">
        <v>366</v>
      </c>
      <c r="D1156" t="s">
        <v>19</v>
      </c>
      <c r="E1156" t="s">
        <v>20</v>
      </c>
      <c r="F1156" t="s">
        <v>21</v>
      </c>
      <c r="G1156" t="s">
        <v>26</v>
      </c>
      <c r="H1156">
        <v>275.89999999999998</v>
      </c>
      <c r="I1156">
        <v>255</v>
      </c>
      <c r="J1156">
        <v>94.9</v>
      </c>
      <c r="K1156">
        <v>64</v>
      </c>
      <c r="L1156">
        <v>26.8</v>
      </c>
      <c r="M1156">
        <v>17</v>
      </c>
      <c r="N1156">
        <v>0.16756103265702599</v>
      </c>
      <c r="O1156">
        <v>0.13748899615171301</v>
      </c>
    </row>
    <row r="1157" spans="1:15" x14ac:dyDescent="0.3">
      <c r="A1157">
        <v>4950</v>
      </c>
      <c r="B1157">
        <v>2805</v>
      </c>
      <c r="C1157">
        <v>32</v>
      </c>
      <c r="D1157" t="s">
        <v>19</v>
      </c>
      <c r="E1157" t="s">
        <v>20</v>
      </c>
      <c r="F1157" t="s">
        <v>21</v>
      </c>
      <c r="G1157" t="s">
        <v>24</v>
      </c>
      <c r="H1157">
        <v>274.8</v>
      </c>
      <c r="I1157">
        <v>261</v>
      </c>
      <c r="J1157">
        <v>101</v>
      </c>
      <c r="K1157">
        <v>66</v>
      </c>
      <c r="L1157">
        <v>24.4</v>
      </c>
      <c r="M1157">
        <v>8.5</v>
      </c>
      <c r="N1157">
        <v>0.134484555027786</v>
      </c>
      <c r="O1157">
        <v>0.13493450414296199</v>
      </c>
    </row>
    <row r="1158" spans="1:15" x14ac:dyDescent="0.3">
      <c r="A1158">
        <v>4951</v>
      </c>
      <c r="B1158">
        <v>2805</v>
      </c>
      <c r="C1158">
        <v>32</v>
      </c>
      <c r="D1158" t="s">
        <v>19</v>
      </c>
      <c r="E1158" t="s">
        <v>20</v>
      </c>
      <c r="F1158" t="s">
        <v>21</v>
      </c>
      <c r="G1158" t="s">
        <v>24</v>
      </c>
      <c r="H1158">
        <v>274.8</v>
      </c>
      <c r="I1158">
        <v>261</v>
      </c>
      <c r="J1158">
        <v>101</v>
      </c>
      <c r="K1158">
        <v>66</v>
      </c>
      <c r="L1158">
        <v>24.4</v>
      </c>
      <c r="M1158">
        <v>8.5</v>
      </c>
      <c r="N1158">
        <v>0.111481391371275</v>
      </c>
      <c r="O1158">
        <v>0.13944748887807101</v>
      </c>
    </row>
    <row r="1159" spans="1:15" x14ac:dyDescent="0.3">
      <c r="A1159">
        <v>4972</v>
      </c>
      <c r="B1159">
        <v>2814</v>
      </c>
      <c r="C1159">
        <v>350</v>
      </c>
      <c r="D1159" t="s">
        <v>23</v>
      </c>
      <c r="E1159" t="s">
        <v>16</v>
      </c>
      <c r="F1159" t="s">
        <v>21</v>
      </c>
      <c r="G1159" t="s">
        <v>26</v>
      </c>
      <c r="H1159">
        <v>271.60000000000002</v>
      </c>
      <c r="I1159">
        <v>240.5</v>
      </c>
      <c r="J1159">
        <v>93.3</v>
      </c>
      <c r="K1159">
        <v>65</v>
      </c>
      <c r="L1159">
        <v>23.4</v>
      </c>
      <c r="M1159">
        <v>7.5</v>
      </c>
      <c r="N1159">
        <v>0.25031816315211403</v>
      </c>
      <c r="O1159">
        <v>0.40125488296350198</v>
      </c>
    </row>
    <row r="1160" spans="1:15" x14ac:dyDescent="0.3">
      <c r="A1160">
        <v>4973</v>
      </c>
      <c r="B1160">
        <v>2814</v>
      </c>
      <c r="C1160">
        <v>350</v>
      </c>
      <c r="D1160" t="s">
        <v>23</v>
      </c>
      <c r="E1160" t="s">
        <v>16</v>
      </c>
      <c r="F1160" t="s">
        <v>21</v>
      </c>
      <c r="G1160" t="s">
        <v>26</v>
      </c>
      <c r="H1160">
        <v>271.60000000000002</v>
      </c>
      <c r="I1160">
        <v>240.5</v>
      </c>
      <c r="J1160">
        <v>93.3</v>
      </c>
      <c r="K1160">
        <v>65</v>
      </c>
      <c r="L1160">
        <v>23.4</v>
      </c>
      <c r="M1160">
        <v>7.5</v>
      </c>
      <c r="N1160">
        <v>0.26854042365695902</v>
      </c>
      <c r="O1160">
        <v>0.37712733628124501</v>
      </c>
    </row>
    <row r="1161" spans="1:15" x14ac:dyDescent="0.3">
      <c r="A1161">
        <v>4974</v>
      </c>
      <c r="B1161">
        <v>2814</v>
      </c>
      <c r="C1161">
        <v>350</v>
      </c>
      <c r="D1161" t="s">
        <v>23</v>
      </c>
      <c r="E1161" t="s">
        <v>16</v>
      </c>
      <c r="F1161" t="s">
        <v>21</v>
      </c>
      <c r="G1161" t="s">
        <v>26</v>
      </c>
      <c r="H1161">
        <v>271.60000000000002</v>
      </c>
      <c r="I1161">
        <v>240.5</v>
      </c>
      <c r="J1161">
        <v>93.3</v>
      </c>
      <c r="K1161">
        <v>65</v>
      </c>
      <c r="L1161">
        <v>23.4</v>
      </c>
      <c r="M1161">
        <v>7.5</v>
      </c>
      <c r="N1161">
        <v>0.25280237835776898</v>
      </c>
      <c r="O1161">
        <v>0.37621406073589297</v>
      </c>
    </row>
    <row r="1162" spans="1:15" x14ac:dyDescent="0.3">
      <c r="A1162">
        <v>4975</v>
      </c>
      <c r="B1162">
        <v>2814</v>
      </c>
      <c r="C1162">
        <v>350</v>
      </c>
      <c r="D1162" t="s">
        <v>23</v>
      </c>
      <c r="E1162" t="s">
        <v>16</v>
      </c>
      <c r="F1162" t="s">
        <v>21</v>
      </c>
      <c r="G1162" t="s">
        <v>26</v>
      </c>
      <c r="H1162">
        <v>271.60000000000002</v>
      </c>
      <c r="I1162">
        <v>240.5</v>
      </c>
      <c r="J1162">
        <v>93.3</v>
      </c>
      <c r="K1162">
        <v>65</v>
      </c>
      <c r="L1162">
        <v>23.4</v>
      </c>
      <c r="M1162">
        <v>7.5</v>
      </c>
      <c r="N1162">
        <v>0.28044960730339002</v>
      </c>
      <c r="O1162">
        <v>0.380774589043472</v>
      </c>
    </row>
    <row r="1163" spans="1:15" x14ac:dyDescent="0.3">
      <c r="A1163">
        <v>4976</v>
      </c>
      <c r="B1163">
        <v>2815</v>
      </c>
      <c r="C1163">
        <v>102</v>
      </c>
      <c r="D1163" t="s">
        <v>19</v>
      </c>
      <c r="E1163" t="s">
        <v>20</v>
      </c>
      <c r="F1163" t="s">
        <v>21</v>
      </c>
      <c r="G1163" t="s">
        <v>25</v>
      </c>
      <c r="H1163">
        <v>273.60000000000002</v>
      </c>
      <c r="I1163">
        <v>246</v>
      </c>
      <c r="J1163">
        <v>93.6</v>
      </c>
      <c r="K1163">
        <v>64.5</v>
      </c>
      <c r="L1163">
        <v>25.6</v>
      </c>
      <c r="M1163">
        <v>1.5</v>
      </c>
      <c r="N1163">
        <v>0.17271242712271001</v>
      </c>
      <c r="O1163">
        <v>0.21893873660176899</v>
      </c>
    </row>
    <row r="1164" spans="1:15" x14ac:dyDescent="0.3">
      <c r="A1164">
        <v>4977</v>
      </c>
      <c r="B1164">
        <v>2815</v>
      </c>
      <c r="C1164">
        <v>102</v>
      </c>
      <c r="D1164" t="s">
        <v>19</v>
      </c>
      <c r="E1164" t="s">
        <v>20</v>
      </c>
      <c r="F1164" t="s">
        <v>21</v>
      </c>
      <c r="G1164" t="s">
        <v>25</v>
      </c>
      <c r="H1164">
        <v>273.60000000000002</v>
      </c>
      <c r="I1164">
        <v>246</v>
      </c>
      <c r="J1164">
        <v>93.6</v>
      </c>
      <c r="K1164">
        <v>64.5</v>
      </c>
      <c r="L1164">
        <v>25.6</v>
      </c>
      <c r="M1164">
        <v>1.5</v>
      </c>
      <c r="N1164">
        <v>0.17293959721510499</v>
      </c>
      <c r="O1164">
        <v>0.18196757994482399</v>
      </c>
    </row>
    <row r="1165" spans="1:15" x14ac:dyDescent="0.3">
      <c r="A1165">
        <v>4978</v>
      </c>
      <c r="B1165">
        <v>2815</v>
      </c>
      <c r="C1165">
        <v>102</v>
      </c>
      <c r="D1165" t="s">
        <v>19</v>
      </c>
      <c r="E1165" t="s">
        <v>20</v>
      </c>
      <c r="F1165" t="s">
        <v>21</v>
      </c>
      <c r="G1165" t="s">
        <v>25</v>
      </c>
      <c r="H1165">
        <v>273.60000000000002</v>
      </c>
      <c r="I1165">
        <v>246</v>
      </c>
      <c r="J1165">
        <v>93.6</v>
      </c>
      <c r="K1165">
        <v>64.5</v>
      </c>
      <c r="L1165">
        <v>25.6</v>
      </c>
      <c r="M1165">
        <v>1.5</v>
      </c>
      <c r="N1165">
        <v>0.16660451291793599</v>
      </c>
      <c r="O1165">
        <v>0.18695865641127701</v>
      </c>
    </row>
    <row r="1166" spans="1:15" x14ac:dyDescent="0.3">
      <c r="A1166">
        <v>4996</v>
      </c>
      <c r="B1166">
        <v>2822</v>
      </c>
      <c r="C1166">
        <v>255</v>
      </c>
      <c r="D1166" t="s">
        <v>19</v>
      </c>
      <c r="E1166" t="s">
        <v>16</v>
      </c>
      <c r="F1166" t="s">
        <v>17</v>
      </c>
      <c r="G1166" t="s">
        <v>18</v>
      </c>
      <c r="H1166">
        <v>278.2</v>
      </c>
      <c r="I1166">
        <v>254.5</v>
      </c>
      <c r="J1166">
        <v>94.5</v>
      </c>
      <c r="K1166">
        <v>67</v>
      </c>
      <c r="L1166">
        <v>27.9</v>
      </c>
      <c r="M1166">
        <v>11.5</v>
      </c>
      <c r="N1166">
        <v>0.26363846977702199</v>
      </c>
      <c r="O1166">
        <v>0.118716068514679</v>
      </c>
    </row>
    <row r="1167" spans="1:15" x14ac:dyDescent="0.3">
      <c r="A1167">
        <v>5003</v>
      </c>
      <c r="B1167">
        <v>2824</v>
      </c>
      <c r="C1167">
        <v>18</v>
      </c>
      <c r="D1167" t="s">
        <v>19</v>
      </c>
      <c r="E1167" t="s">
        <v>20</v>
      </c>
      <c r="F1167" t="s">
        <v>17</v>
      </c>
      <c r="G1167" t="s">
        <v>24</v>
      </c>
      <c r="H1167">
        <v>271.39999999999998</v>
      </c>
      <c r="I1167">
        <v>244</v>
      </c>
      <c r="J1167">
        <v>97.3</v>
      </c>
      <c r="K1167">
        <v>64</v>
      </c>
      <c r="L1167">
        <v>23.3</v>
      </c>
      <c r="M1167">
        <v>6.5</v>
      </c>
      <c r="N1167">
        <v>0.257977326906008</v>
      </c>
      <c r="O1167">
        <v>7.9960960433944506E-3</v>
      </c>
    </row>
    <row r="1168" spans="1:15" x14ac:dyDescent="0.3">
      <c r="A1168">
        <v>5013</v>
      </c>
      <c r="B1168">
        <v>2830</v>
      </c>
      <c r="C1168">
        <v>227</v>
      </c>
      <c r="D1168" t="s">
        <v>15</v>
      </c>
      <c r="E1168" t="s">
        <v>20</v>
      </c>
      <c r="F1168" t="s">
        <v>17</v>
      </c>
      <c r="G1168" t="s">
        <v>22</v>
      </c>
      <c r="H1168">
        <v>281.2</v>
      </c>
      <c r="I1168">
        <v>257</v>
      </c>
      <c r="J1168">
        <v>100.5</v>
      </c>
      <c r="K1168">
        <v>67</v>
      </c>
      <c r="L1168">
        <v>25.4</v>
      </c>
      <c r="M1168">
        <v>12.5</v>
      </c>
      <c r="N1168">
        <v>5.1120640037280098E-2</v>
      </c>
      <c r="O1168">
        <v>0.16268514335380199</v>
      </c>
    </row>
    <row r="1169" spans="1:15" x14ac:dyDescent="0.3">
      <c r="A1169">
        <v>5014</v>
      </c>
      <c r="B1169">
        <v>2830</v>
      </c>
      <c r="C1169">
        <v>227</v>
      </c>
      <c r="D1169" t="s">
        <v>15</v>
      </c>
      <c r="E1169" t="s">
        <v>20</v>
      </c>
      <c r="F1169" t="s">
        <v>17</v>
      </c>
      <c r="G1169" t="s">
        <v>22</v>
      </c>
      <c r="H1169">
        <v>281.2</v>
      </c>
      <c r="I1169">
        <v>257</v>
      </c>
      <c r="J1169">
        <v>100.5</v>
      </c>
      <c r="K1169">
        <v>67</v>
      </c>
      <c r="L1169">
        <v>25.4</v>
      </c>
      <c r="M1169">
        <v>12.5</v>
      </c>
      <c r="N1169">
        <v>7.4377768960709106E-2</v>
      </c>
      <c r="O1169">
        <v>0.12729028639643999</v>
      </c>
    </row>
    <row r="1170" spans="1:15" x14ac:dyDescent="0.3">
      <c r="A1170">
        <v>5016</v>
      </c>
      <c r="B1170">
        <v>2832</v>
      </c>
      <c r="C1170">
        <v>203</v>
      </c>
      <c r="D1170" t="s">
        <v>19</v>
      </c>
      <c r="E1170" t="s">
        <v>20</v>
      </c>
      <c r="F1170" t="s">
        <v>21</v>
      </c>
      <c r="G1170" t="s">
        <v>25</v>
      </c>
      <c r="H1170">
        <v>277.60000000000002</v>
      </c>
      <c r="I1170">
        <v>247.5</v>
      </c>
      <c r="J1170">
        <v>94</v>
      </c>
      <c r="K1170">
        <v>65</v>
      </c>
      <c r="L1170">
        <v>24.9</v>
      </c>
      <c r="M1170">
        <v>9.5</v>
      </c>
      <c r="N1170">
        <v>0.26956935741286098</v>
      </c>
      <c r="O1170">
        <v>5.4690864593017099E-2</v>
      </c>
    </row>
    <row r="1171" spans="1:15" x14ac:dyDescent="0.3">
      <c r="A1171">
        <v>5017</v>
      </c>
      <c r="B1171">
        <v>2832</v>
      </c>
      <c r="C1171">
        <v>203</v>
      </c>
      <c r="D1171" t="s">
        <v>19</v>
      </c>
      <c r="E1171" t="s">
        <v>20</v>
      </c>
      <c r="F1171" t="s">
        <v>21</v>
      </c>
      <c r="G1171" t="s">
        <v>25</v>
      </c>
      <c r="H1171">
        <v>277.60000000000002</v>
      </c>
      <c r="I1171">
        <v>247.5</v>
      </c>
      <c r="J1171">
        <v>94</v>
      </c>
      <c r="K1171">
        <v>65</v>
      </c>
      <c r="L1171">
        <v>24.9</v>
      </c>
      <c r="M1171">
        <v>9.5</v>
      </c>
      <c r="N1171">
        <v>0.28249946312924501</v>
      </c>
      <c r="O1171">
        <v>6.7266851532871097E-2</v>
      </c>
    </row>
    <row r="1172" spans="1:15" x14ac:dyDescent="0.3">
      <c r="A1172">
        <v>5018</v>
      </c>
      <c r="B1172">
        <v>2832</v>
      </c>
      <c r="C1172">
        <v>203</v>
      </c>
      <c r="D1172" t="s">
        <v>19</v>
      </c>
      <c r="E1172" t="s">
        <v>20</v>
      </c>
      <c r="F1172" t="s">
        <v>21</v>
      </c>
      <c r="G1172" t="s">
        <v>25</v>
      </c>
      <c r="H1172">
        <v>277.60000000000002</v>
      </c>
      <c r="I1172">
        <v>247.5</v>
      </c>
      <c r="J1172">
        <v>94</v>
      </c>
      <c r="K1172">
        <v>65</v>
      </c>
      <c r="L1172">
        <v>24.9</v>
      </c>
      <c r="M1172">
        <v>9.5</v>
      </c>
      <c r="N1172">
        <v>0.26804102060561802</v>
      </c>
      <c r="O1172">
        <v>5.67801062190217E-2</v>
      </c>
    </row>
    <row r="1173" spans="1:15" x14ac:dyDescent="0.3">
      <c r="A1173">
        <v>5033</v>
      </c>
      <c r="B1173">
        <v>2839</v>
      </c>
      <c r="C1173">
        <v>28</v>
      </c>
      <c r="D1173" t="s">
        <v>19</v>
      </c>
      <c r="E1173" t="s">
        <v>20</v>
      </c>
      <c r="F1173" t="s">
        <v>17</v>
      </c>
      <c r="G1173" t="s">
        <v>26</v>
      </c>
      <c r="H1173">
        <v>274.39999999999998</v>
      </c>
      <c r="I1173">
        <v>243.5</v>
      </c>
      <c r="J1173">
        <v>94.3</v>
      </c>
      <c r="K1173">
        <v>65.5</v>
      </c>
      <c r="L1173">
        <v>28</v>
      </c>
      <c r="M1173">
        <v>5.5</v>
      </c>
      <c r="N1173">
        <v>0.29376315668849601</v>
      </c>
      <c r="O1173">
        <v>8.4048130225497494E-2</v>
      </c>
    </row>
    <row r="1174" spans="1:15" x14ac:dyDescent="0.3">
      <c r="A1174">
        <v>5054</v>
      </c>
      <c r="B1174">
        <v>2846</v>
      </c>
      <c r="C1174">
        <v>68</v>
      </c>
      <c r="D1174" t="s">
        <v>19</v>
      </c>
      <c r="E1174" t="s">
        <v>20</v>
      </c>
      <c r="F1174" t="s">
        <v>17</v>
      </c>
      <c r="G1174" t="s">
        <v>25</v>
      </c>
      <c r="H1174">
        <v>275.60000000000002</v>
      </c>
      <c r="I1174">
        <v>254.5</v>
      </c>
      <c r="J1174">
        <v>95.5</v>
      </c>
      <c r="K1174">
        <v>65.5</v>
      </c>
      <c r="L1174">
        <v>29.1</v>
      </c>
      <c r="M1174">
        <v>10</v>
      </c>
      <c r="N1174">
        <v>0.18555845172060401</v>
      </c>
      <c r="O1174">
        <v>0.16913565447051501</v>
      </c>
    </row>
    <row r="1175" spans="1:15" x14ac:dyDescent="0.3">
      <c r="A1175">
        <v>5055</v>
      </c>
      <c r="B1175">
        <v>2846</v>
      </c>
      <c r="C1175">
        <v>68</v>
      </c>
      <c r="D1175" t="s">
        <v>19</v>
      </c>
      <c r="E1175" t="s">
        <v>20</v>
      </c>
      <c r="F1175" t="s">
        <v>17</v>
      </c>
      <c r="G1175" t="s">
        <v>25</v>
      </c>
      <c r="H1175">
        <v>275.60000000000002</v>
      </c>
      <c r="I1175">
        <v>254.5</v>
      </c>
      <c r="J1175">
        <v>95.5</v>
      </c>
      <c r="K1175">
        <v>65.5</v>
      </c>
      <c r="L1175">
        <v>29.1</v>
      </c>
      <c r="M1175">
        <v>10</v>
      </c>
      <c r="N1175">
        <v>0.218587016364377</v>
      </c>
      <c r="O1175">
        <v>0.17551179442009701</v>
      </c>
    </row>
    <row r="1176" spans="1:15" x14ac:dyDescent="0.3">
      <c r="A1176">
        <v>5065</v>
      </c>
      <c r="B1176">
        <v>285</v>
      </c>
      <c r="C1176">
        <v>325</v>
      </c>
      <c r="D1176" t="s">
        <v>19</v>
      </c>
      <c r="E1176" t="s">
        <v>16</v>
      </c>
      <c r="F1176" t="s">
        <v>17</v>
      </c>
      <c r="G1176" t="s">
        <v>26</v>
      </c>
      <c r="H1176">
        <v>274</v>
      </c>
      <c r="I1176">
        <v>243.5</v>
      </c>
      <c r="J1176">
        <v>94.8</v>
      </c>
      <c r="K1176">
        <v>65.5</v>
      </c>
      <c r="L1176">
        <v>26.1</v>
      </c>
      <c r="M1176">
        <v>13</v>
      </c>
      <c r="N1176">
        <v>0.24045197729482901</v>
      </c>
      <c r="O1176">
        <v>6.4634608956750106E-2</v>
      </c>
    </row>
    <row r="1177" spans="1:15" x14ac:dyDescent="0.3">
      <c r="A1177">
        <v>5066</v>
      </c>
      <c r="B1177">
        <v>285</v>
      </c>
      <c r="C1177">
        <v>325</v>
      </c>
      <c r="D1177" t="s">
        <v>19</v>
      </c>
      <c r="E1177" t="s">
        <v>16</v>
      </c>
      <c r="F1177" t="s">
        <v>17</v>
      </c>
      <c r="G1177" t="s">
        <v>26</v>
      </c>
      <c r="H1177">
        <v>274</v>
      </c>
      <c r="I1177">
        <v>243.5</v>
      </c>
      <c r="J1177">
        <v>94.8</v>
      </c>
      <c r="K1177">
        <v>65.5</v>
      </c>
      <c r="L1177">
        <v>26.1</v>
      </c>
      <c r="M1177">
        <v>13</v>
      </c>
      <c r="N1177">
        <v>0.22243921508482201</v>
      </c>
      <c r="O1177">
        <v>9.3087987548443205E-2</v>
      </c>
    </row>
    <row r="1178" spans="1:15" x14ac:dyDescent="0.3">
      <c r="A1178">
        <v>5067</v>
      </c>
      <c r="B1178">
        <v>285</v>
      </c>
      <c r="C1178">
        <v>325</v>
      </c>
      <c r="D1178" t="s">
        <v>19</v>
      </c>
      <c r="E1178" t="s">
        <v>16</v>
      </c>
      <c r="F1178" t="s">
        <v>17</v>
      </c>
      <c r="G1178" t="s">
        <v>26</v>
      </c>
      <c r="H1178">
        <v>274</v>
      </c>
      <c r="I1178">
        <v>243.5</v>
      </c>
      <c r="J1178">
        <v>94.8</v>
      </c>
      <c r="K1178">
        <v>65.5</v>
      </c>
      <c r="L1178">
        <v>26.1</v>
      </c>
      <c r="M1178">
        <v>13</v>
      </c>
      <c r="N1178">
        <v>0.239239344129206</v>
      </c>
      <c r="O1178">
        <v>7.6732897959488996E-2</v>
      </c>
    </row>
    <row r="1179" spans="1:15" x14ac:dyDescent="0.3">
      <c r="A1179">
        <v>5077</v>
      </c>
      <c r="B1179">
        <v>2854</v>
      </c>
      <c r="C1179">
        <v>395</v>
      </c>
      <c r="D1179" t="s">
        <v>23</v>
      </c>
      <c r="E1179" t="s">
        <v>20</v>
      </c>
      <c r="F1179" t="s">
        <v>21</v>
      </c>
      <c r="G1179" t="s">
        <v>25</v>
      </c>
      <c r="H1179">
        <v>273.60000000000002</v>
      </c>
      <c r="I1179">
        <v>247</v>
      </c>
      <c r="J1179">
        <v>94</v>
      </c>
      <c r="K1179">
        <v>68</v>
      </c>
      <c r="L1179">
        <v>26.7</v>
      </c>
      <c r="M1179">
        <v>7.5</v>
      </c>
      <c r="N1179">
        <v>0.16602370682057199</v>
      </c>
      <c r="O1179">
        <v>0.34185341538584202</v>
      </c>
    </row>
    <row r="1180" spans="1:15" x14ac:dyDescent="0.3">
      <c r="A1180">
        <v>5078</v>
      </c>
      <c r="B1180">
        <v>2854</v>
      </c>
      <c r="C1180">
        <v>395</v>
      </c>
      <c r="D1180" t="s">
        <v>23</v>
      </c>
      <c r="E1180" t="s">
        <v>20</v>
      </c>
      <c r="F1180" t="s">
        <v>21</v>
      </c>
      <c r="G1180" t="s">
        <v>25</v>
      </c>
      <c r="H1180">
        <v>273.60000000000002</v>
      </c>
      <c r="I1180">
        <v>247</v>
      </c>
      <c r="J1180">
        <v>94</v>
      </c>
      <c r="K1180">
        <v>68</v>
      </c>
      <c r="L1180">
        <v>26.7</v>
      </c>
      <c r="M1180">
        <v>7.5</v>
      </c>
      <c r="N1180">
        <v>0.17727767770089101</v>
      </c>
      <c r="O1180">
        <v>0.33561504011075499</v>
      </c>
    </row>
    <row r="1181" spans="1:15" x14ac:dyDescent="0.3">
      <c r="A1181">
        <v>5079</v>
      </c>
      <c r="B1181">
        <v>2854</v>
      </c>
      <c r="C1181">
        <v>395</v>
      </c>
      <c r="D1181" t="s">
        <v>23</v>
      </c>
      <c r="E1181" t="s">
        <v>20</v>
      </c>
      <c r="F1181" t="s">
        <v>21</v>
      </c>
      <c r="G1181" t="s">
        <v>25</v>
      </c>
      <c r="H1181">
        <v>273.60000000000002</v>
      </c>
      <c r="I1181">
        <v>247</v>
      </c>
      <c r="J1181">
        <v>94</v>
      </c>
      <c r="K1181">
        <v>68</v>
      </c>
      <c r="L1181">
        <v>26.7</v>
      </c>
      <c r="M1181">
        <v>7.5</v>
      </c>
      <c r="N1181">
        <v>0.18160463986921499</v>
      </c>
      <c r="O1181">
        <v>0.34294088964557301</v>
      </c>
    </row>
    <row r="1182" spans="1:15" x14ac:dyDescent="0.3">
      <c r="A1182">
        <v>5080</v>
      </c>
      <c r="B1182">
        <v>2854</v>
      </c>
      <c r="C1182">
        <v>395</v>
      </c>
      <c r="D1182" t="s">
        <v>23</v>
      </c>
      <c r="E1182" t="s">
        <v>20</v>
      </c>
      <c r="F1182" t="s">
        <v>21</v>
      </c>
      <c r="G1182" t="s">
        <v>25</v>
      </c>
      <c r="H1182">
        <v>273.60000000000002</v>
      </c>
      <c r="I1182">
        <v>247</v>
      </c>
      <c r="J1182">
        <v>94</v>
      </c>
      <c r="K1182">
        <v>68</v>
      </c>
      <c r="L1182">
        <v>26.7</v>
      </c>
      <c r="M1182">
        <v>7.5</v>
      </c>
      <c r="N1182">
        <v>0.18182441544803901</v>
      </c>
      <c r="O1182">
        <v>0.34748998357676197</v>
      </c>
    </row>
    <row r="1183" spans="1:15" x14ac:dyDescent="0.3">
      <c r="A1183">
        <v>5081</v>
      </c>
      <c r="B1183">
        <v>2854</v>
      </c>
      <c r="C1183">
        <v>395</v>
      </c>
      <c r="D1183" t="s">
        <v>23</v>
      </c>
      <c r="E1183" t="s">
        <v>20</v>
      </c>
      <c r="F1183" t="s">
        <v>21</v>
      </c>
      <c r="G1183" t="s">
        <v>25</v>
      </c>
      <c r="H1183">
        <v>273.60000000000002</v>
      </c>
      <c r="I1183">
        <v>247</v>
      </c>
      <c r="J1183">
        <v>94</v>
      </c>
      <c r="K1183">
        <v>68</v>
      </c>
      <c r="L1183">
        <v>26.7</v>
      </c>
      <c r="M1183">
        <v>7.5</v>
      </c>
      <c r="N1183">
        <v>0.180995935624464</v>
      </c>
      <c r="O1183">
        <v>0.33674028781917098</v>
      </c>
    </row>
    <row r="1184" spans="1:15" x14ac:dyDescent="0.3">
      <c r="A1184">
        <v>5082</v>
      </c>
      <c r="B1184">
        <v>2854</v>
      </c>
      <c r="C1184">
        <v>395</v>
      </c>
      <c r="D1184" t="s">
        <v>23</v>
      </c>
      <c r="E1184" t="s">
        <v>20</v>
      </c>
      <c r="F1184" t="s">
        <v>21</v>
      </c>
      <c r="G1184" t="s">
        <v>25</v>
      </c>
      <c r="H1184">
        <v>273.60000000000002</v>
      </c>
      <c r="I1184">
        <v>247</v>
      </c>
      <c r="J1184">
        <v>94</v>
      </c>
      <c r="K1184">
        <v>68</v>
      </c>
      <c r="L1184">
        <v>26.7</v>
      </c>
      <c r="M1184">
        <v>7.5</v>
      </c>
      <c r="N1184">
        <v>0.188045207139139</v>
      </c>
      <c r="O1184">
        <v>0.35696806008524501</v>
      </c>
    </row>
    <row r="1185" spans="1:15" x14ac:dyDescent="0.3">
      <c r="A1185">
        <v>5083</v>
      </c>
      <c r="B1185">
        <v>2855</v>
      </c>
      <c r="C1185">
        <v>468</v>
      </c>
      <c r="D1185" t="s">
        <v>19</v>
      </c>
      <c r="E1185" t="s">
        <v>20</v>
      </c>
      <c r="F1185" t="s">
        <v>17</v>
      </c>
      <c r="G1185" t="s">
        <v>18</v>
      </c>
      <c r="H1185">
        <v>273.39999999999998</v>
      </c>
      <c r="I1185">
        <v>243.5</v>
      </c>
      <c r="J1185">
        <v>92.9</v>
      </c>
      <c r="K1185">
        <v>63.5</v>
      </c>
      <c r="L1185">
        <v>24.1</v>
      </c>
      <c r="M1185">
        <v>7.5</v>
      </c>
      <c r="N1185">
        <v>0.191010383426782</v>
      </c>
      <c r="O1185">
        <v>0.115514540179304</v>
      </c>
    </row>
    <row r="1186" spans="1:15" x14ac:dyDescent="0.3">
      <c r="A1186">
        <v>5084</v>
      </c>
      <c r="B1186">
        <v>2855</v>
      </c>
      <c r="C1186">
        <v>468</v>
      </c>
      <c r="D1186" t="s">
        <v>19</v>
      </c>
      <c r="E1186" t="s">
        <v>20</v>
      </c>
      <c r="F1186" t="s">
        <v>17</v>
      </c>
      <c r="G1186" t="s">
        <v>18</v>
      </c>
      <c r="H1186">
        <v>273.39999999999998</v>
      </c>
      <c r="I1186">
        <v>243.5</v>
      </c>
      <c r="J1186">
        <v>92.9</v>
      </c>
      <c r="K1186">
        <v>63.5</v>
      </c>
      <c r="L1186">
        <v>24.1</v>
      </c>
      <c r="M1186">
        <v>7.5</v>
      </c>
      <c r="N1186">
        <v>0.17826493846886801</v>
      </c>
      <c r="O1186">
        <v>0.111475195869603</v>
      </c>
    </row>
    <row r="1187" spans="1:15" x14ac:dyDescent="0.3">
      <c r="A1187">
        <v>5088</v>
      </c>
      <c r="B1187">
        <v>2857</v>
      </c>
      <c r="C1187">
        <v>350</v>
      </c>
      <c r="D1187" t="s">
        <v>23</v>
      </c>
      <c r="E1187" t="s">
        <v>16</v>
      </c>
      <c r="F1187" t="s">
        <v>21</v>
      </c>
      <c r="G1187" t="s">
        <v>26</v>
      </c>
      <c r="H1187">
        <v>271.60000000000002</v>
      </c>
      <c r="I1187">
        <v>240.5</v>
      </c>
      <c r="J1187">
        <v>93.3</v>
      </c>
      <c r="K1187">
        <v>65</v>
      </c>
      <c r="L1187">
        <v>23.4</v>
      </c>
      <c r="M1187">
        <v>7.5</v>
      </c>
      <c r="N1187">
        <v>0.27313832205052102</v>
      </c>
      <c r="O1187">
        <v>0.39668218108511299</v>
      </c>
    </row>
    <row r="1188" spans="1:15" x14ac:dyDescent="0.3">
      <c r="A1188">
        <v>5089</v>
      </c>
      <c r="B1188">
        <v>2857</v>
      </c>
      <c r="C1188">
        <v>350</v>
      </c>
      <c r="D1188" t="s">
        <v>23</v>
      </c>
      <c r="E1188" t="s">
        <v>16</v>
      </c>
      <c r="F1188" t="s">
        <v>21</v>
      </c>
      <c r="G1188" t="s">
        <v>26</v>
      </c>
      <c r="H1188">
        <v>271.60000000000002</v>
      </c>
      <c r="I1188">
        <v>240.5</v>
      </c>
      <c r="J1188">
        <v>93.3</v>
      </c>
      <c r="K1188">
        <v>65</v>
      </c>
      <c r="L1188">
        <v>23.4</v>
      </c>
      <c r="M1188">
        <v>7.5</v>
      </c>
      <c r="N1188">
        <v>0.27401274903317302</v>
      </c>
      <c r="O1188">
        <v>0.38315286136603399</v>
      </c>
    </row>
    <row r="1189" spans="1:15" x14ac:dyDescent="0.3">
      <c r="A1189">
        <v>5095</v>
      </c>
      <c r="B1189">
        <v>2859</v>
      </c>
      <c r="C1189">
        <v>26</v>
      </c>
      <c r="D1189" t="s">
        <v>23</v>
      </c>
      <c r="E1189" t="s">
        <v>20</v>
      </c>
      <c r="F1189" t="s">
        <v>17</v>
      </c>
      <c r="G1189" t="s">
        <v>18</v>
      </c>
      <c r="H1189">
        <v>270.5</v>
      </c>
      <c r="I1189">
        <v>243.5</v>
      </c>
      <c r="J1189">
        <v>95.9</v>
      </c>
      <c r="K1189">
        <v>66</v>
      </c>
      <c r="L1189">
        <v>26.9</v>
      </c>
      <c r="M1189">
        <v>6</v>
      </c>
      <c r="N1189">
        <v>0.18210151134502101</v>
      </c>
      <c r="O1189">
        <v>0.384291261219734</v>
      </c>
    </row>
    <row r="1190" spans="1:15" x14ac:dyDescent="0.3">
      <c r="A1190">
        <v>5096</v>
      </c>
      <c r="B1190">
        <v>2859</v>
      </c>
      <c r="C1190">
        <v>26</v>
      </c>
      <c r="D1190" t="s">
        <v>23</v>
      </c>
      <c r="E1190" t="s">
        <v>20</v>
      </c>
      <c r="F1190" t="s">
        <v>17</v>
      </c>
      <c r="G1190" t="s">
        <v>18</v>
      </c>
      <c r="H1190">
        <v>270.5</v>
      </c>
      <c r="I1190">
        <v>243.5</v>
      </c>
      <c r="J1190">
        <v>95.9</v>
      </c>
      <c r="K1190">
        <v>66</v>
      </c>
      <c r="L1190">
        <v>26.9</v>
      </c>
      <c r="M1190">
        <v>6</v>
      </c>
      <c r="N1190">
        <v>0.19297063718878599</v>
      </c>
      <c r="O1190">
        <v>0.37439297225395202</v>
      </c>
    </row>
    <row r="1191" spans="1:15" x14ac:dyDescent="0.3">
      <c r="A1191">
        <v>5098</v>
      </c>
      <c r="B1191">
        <v>286</v>
      </c>
      <c r="C1191">
        <v>71</v>
      </c>
      <c r="D1191" t="s">
        <v>23</v>
      </c>
      <c r="E1191" t="s">
        <v>20</v>
      </c>
      <c r="F1191" t="s">
        <v>17</v>
      </c>
      <c r="G1191" t="s">
        <v>26</v>
      </c>
      <c r="H1191">
        <v>281</v>
      </c>
      <c r="I1191">
        <v>265.5</v>
      </c>
      <c r="J1191">
        <v>100.2</v>
      </c>
      <c r="K1191">
        <v>66.5</v>
      </c>
      <c r="L1191">
        <v>25.2</v>
      </c>
      <c r="M1191">
        <v>8</v>
      </c>
      <c r="N1191">
        <v>0.173300192634327</v>
      </c>
      <c r="O1191">
        <v>0.16406014804888699</v>
      </c>
    </row>
    <row r="1192" spans="1:15" x14ac:dyDescent="0.3">
      <c r="A1192">
        <v>5101</v>
      </c>
      <c r="B1192">
        <v>2861</v>
      </c>
      <c r="C1192">
        <v>340</v>
      </c>
      <c r="D1192" t="s">
        <v>23</v>
      </c>
      <c r="E1192" t="s">
        <v>20</v>
      </c>
      <c r="F1192" t="s">
        <v>17</v>
      </c>
      <c r="G1192" t="s">
        <v>25</v>
      </c>
      <c r="H1192">
        <v>274.60000000000002</v>
      </c>
      <c r="I1192">
        <v>261.5</v>
      </c>
      <c r="J1192">
        <v>96.7</v>
      </c>
      <c r="K1192">
        <v>62</v>
      </c>
      <c r="L1192">
        <v>28.9</v>
      </c>
      <c r="M1192">
        <v>10.5</v>
      </c>
      <c r="N1192">
        <v>5.5101891540608697E-2</v>
      </c>
      <c r="O1192">
        <v>0.38188892357209597</v>
      </c>
    </row>
    <row r="1193" spans="1:15" x14ac:dyDescent="0.3">
      <c r="A1193">
        <v>5102</v>
      </c>
      <c r="B1193">
        <v>2861</v>
      </c>
      <c r="C1193">
        <v>340</v>
      </c>
      <c r="D1193" t="s">
        <v>23</v>
      </c>
      <c r="E1193" t="s">
        <v>20</v>
      </c>
      <c r="F1193" t="s">
        <v>17</v>
      </c>
      <c r="G1193" t="s">
        <v>25</v>
      </c>
      <c r="H1193">
        <v>274.60000000000002</v>
      </c>
      <c r="I1193">
        <v>261.5</v>
      </c>
      <c r="J1193">
        <v>96.7</v>
      </c>
      <c r="K1193">
        <v>62</v>
      </c>
      <c r="L1193">
        <v>28.9</v>
      </c>
      <c r="M1193">
        <v>10.5</v>
      </c>
      <c r="N1193">
        <v>4.9847689049933398E-2</v>
      </c>
      <c r="O1193">
        <v>0.37366587289471198</v>
      </c>
    </row>
    <row r="1194" spans="1:15" x14ac:dyDescent="0.3">
      <c r="A1194">
        <v>5104</v>
      </c>
      <c r="B1194">
        <v>2861</v>
      </c>
      <c r="C1194">
        <v>340</v>
      </c>
      <c r="D1194" t="s">
        <v>23</v>
      </c>
      <c r="E1194" t="s">
        <v>20</v>
      </c>
      <c r="F1194" t="s">
        <v>17</v>
      </c>
      <c r="G1194" t="s">
        <v>25</v>
      </c>
      <c r="H1194">
        <v>274.60000000000002</v>
      </c>
      <c r="I1194">
        <v>261.5</v>
      </c>
      <c r="J1194">
        <v>96.7</v>
      </c>
      <c r="K1194">
        <v>62</v>
      </c>
      <c r="L1194">
        <v>28.9</v>
      </c>
      <c r="M1194">
        <v>10.5</v>
      </c>
      <c r="N1194">
        <v>6.0055165026233703E-2</v>
      </c>
      <c r="O1194">
        <v>0.37699171795068198</v>
      </c>
    </row>
    <row r="1195" spans="1:15" x14ac:dyDescent="0.3">
      <c r="A1195">
        <v>5110</v>
      </c>
      <c r="B1195">
        <v>2863</v>
      </c>
      <c r="C1195">
        <v>385</v>
      </c>
      <c r="D1195" t="s">
        <v>23</v>
      </c>
      <c r="E1195" t="s">
        <v>20</v>
      </c>
      <c r="F1195" t="s">
        <v>17</v>
      </c>
      <c r="G1195" t="s">
        <v>22</v>
      </c>
      <c r="H1195">
        <v>270</v>
      </c>
      <c r="I1195">
        <v>256</v>
      </c>
      <c r="J1195">
        <v>97.2</v>
      </c>
      <c r="K1195">
        <v>65.5</v>
      </c>
      <c r="L1195">
        <v>26</v>
      </c>
      <c r="M1195">
        <v>8</v>
      </c>
      <c r="N1195">
        <v>0.17329052396495401</v>
      </c>
      <c r="O1195">
        <v>0.38834888067817203</v>
      </c>
    </row>
    <row r="1196" spans="1:15" x14ac:dyDescent="0.3">
      <c r="A1196">
        <v>5111</v>
      </c>
      <c r="B1196">
        <v>2863</v>
      </c>
      <c r="C1196">
        <v>385</v>
      </c>
      <c r="D1196" t="s">
        <v>23</v>
      </c>
      <c r="E1196" t="s">
        <v>20</v>
      </c>
      <c r="F1196" t="s">
        <v>17</v>
      </c>
      <c r="G1196" t="s">
        <v>22</v>
      </c>
      <c r="H1196">
        <v>270</v>
      </c>
      <c r="I1196">
        <v>256</v>
      </c>
      <c r="J1196">
        <v>97.2</v>
      </c>
      <c r="K1196">
        <v>65.5</v>
      </c>
      <c r="L1196">
        <v>26</v>
      </c>
      <c r="M1196">
        <v>8</v>
      </c>
      <c r="N1196">
        <v>0.185252662152115</v>
      </c>
      <c r="O1196">
        <v>0.37703655807611602</v>
      </c>
    </row>
    <row r="1197" spans="1:15" x14ac:dyDescent="0.3">
      <c r="A1197">
        <v>5112</v>
      </c>
      <c r="B1197">
        <v>2863</v>
      </c>
      <c r="C1197">
        <v>385</v>
      </c>
      <c r="D1197" t="s">
        <v>23</v>
      </c>
      <c r="E1197" t="s">
        <v>20</v>
      </c>
      <c r="F1197" t="s">
        <v>17</v>
      </c>
      <c r="G1197" t="s">
        <v>22</v>
      </c>
      <c r="H1197">
        <v>270</v>
      </c>
      <c r="I1197">
        <v>256</v>
      </c>
      <c r="J1197">
        <v>97.2</v>
      </c>
      <c r="K1197">
        <v>65.5</v>
      </c>
      <c r="L1197">
        <v>26</v>
      </c>
      <c r="M1197">
        <v>8</v>
      </c>
      <c r="N1197">
        <v>0.167067085031186</v>
      </c>
      <c r="O1197">
        <v>0.37414116265328401</v>
      </c>
    </row>
    <row r="1198" spans="1:15" x14ac:dyDescent="0.3">
      <c r="A1198">
        <v>5113</v>
      </c>
      <c r="B1198">
        <v>2863</v>
      </c>
      <c r="C1198">
        <v>385</v>
      </c>
      <c r="D1198" t="s">
        <v>23</v>
      </c>
      <c r="E1198" t="s">
        <v>20</v>
      </c>
      <c r="F1198" t="s">
        <v>17</v>
      </c>
      <c r="G1198" t="s">
        <v>22</v>
      </c>
      <c r="H1198">
        <v>270</v>
      </c>
      <c r="I1198">
        <v>256</v>
      </c>
      <c r="J1198">
        <v>97.2</v>
      </c>
      <c r="K1198">
        <v>65.5</v>
      </c>
      <c r="L1198">
        <v>26</v>
      </c>
      <c r="M1198">
        <v>8</v>
      </c>
      <c r="N1198">
        <v>0.20244520941840899</v>
      </c>
      <c r="O1198">
        <v>0.35828379117570403</v>
      </c>
    </row>
    <row r="1199" spans="1:15" x14ac:dyDescent="0.3">
      <c r="A1199">
        <v>5114</v>
      </c>
      <c r="B1199">
        <v>2863</v>
      </c>
      <c r="C1199">
        <v>385</v>
      </c>
      <c r="D1199" t="s">
        <v>23</v>
      </c>
      <c r="E1199" t="s">
        <v>20</v>
      </c>
      <c r="F1199" t="s">
        <v>17</v>
      </c>
      <c r="G1199" t="s">
        <v>22</v>
      </c>
      <c r="H1199">
        <v>270</v>
      </c>
      <c r="I1199">
        <v>256</v>
      </c>
      <c r="J1199">
        <v>97.2</v>
      </c>
      <c r="K1199">
        <v>65.5</v>
      </c>
      <c r="L1199">
        <v>26</v>
      </c>
      <c r="M1199">
        <v>8</v>
      </c>
      <c r="N1199">
        <v>0.16603366874224301</v>
      </c>
      <c r="O1199">
        <v>0.395000790533104</v>
      </c>
    </row>
    <row r="1200" spans="1:15" x14ac:dyDescent="0.3">
      <c r="A1200">
        <v>5115</v>
      </c>
      <c r="B1200">
        <v>2863</v>
      </c>
      <c r="C1200">
        <v>385</v>
      </c>
      <c r="D1200" t="s">
        <v>23</v>
      </c>
      <c r="E1200" t="s">
        <v>20</v>
      </c>
      <c r="F1200" t="s">
        <v>17</v>
      </c>
      <c r="G1200" t="s">
        <v>22</v>
      </c>
      <c r="H1200">
        <v>270</v>
      </c>
      <c r="I1200">
        <v>256</v>
      </c>
      <c r="J1200">
        <v>97.2</v>
      </c>
      <c r="K1200">
        <v>65.5</v>
      </c>
      <c r="L1200">
        <v>26</v>
      </c>
      <c r="M1200">
        <v>8</v>
      </c>
      <c r="N1200">
        <v>0.17483064717722799</v>
      </c>
      <c r="O1200">
        <v>0.39278439646910701</v>
      </c>
    </row>
    <row r="1201" spans="1:15" x14ac:dyDescent="0.3">
      <c r="A1201">
        <v>5116</v>
      </c>
      <c r="B1201">
        <v>2863</v>
      </c>
      <c r="C1201">
        <v>385</v>
      </c>
      <c r="D1201" t="s">
        <v>23</v>
      </c>
      <c r="E1201" t="s">
        <v>20</v>
      </c>
      <c r="F1201" t="s">
        <v>17</v>
      </c>
      <c r="G1201" t="s">
        <v>22</v>
      </c>
      <c r="H1201">
        <v>270</v>
      </c>
      <c r="I1201">
        <v>256</v>
      </c>
      <c r="J1201">
        <v>97.2</v>
      </c>
      <c r="K1201">
        <v>65.5</v>
      </c>
      <c r="L1201">
        <v>26</v>
      </c>
      <c r="M1201">
        <v>8</v>
      </c>
      <c r="N1201">
        <v>0.17988736248790799</v>
      </c>
      <c r="O1201">
        <v>0.38011072025801002</v>
      </c>
    </row>
    <row r="1202" spans="1:15" x14ac:dyDescent="0.3">
      <c r="A1202">
        <v>5121</v>
      </c>
      <c r="B1202">
        <v>2866</v>
      </c>
      <c r="C1202">
        <v>102</v>
      </c>
      <c r="D1202" t="s">
        <v>19</v>
      </c>
      <c r="E1202" t="s">
        <v>20</v>
      </c>
      <c r="F1202" t="s">
        <v>17</v>
      </c>
      <c r="G1202" t="s">
        <v>22</v>
      </c>
      <c r="H1202">
        <v>273.60000000000002</v>
      </c>
      <c r="I1202">
        <v>246</v>
      </c>
      <c r="J1202">
        <v>93.6</v>
      </c>
      <c r="K1202">
        <v>64.5</v>
      </c>
      <c r="L1202">
        <v>25.6</v>
      </c>
      <c r="M1202">
        <v>1.5</v>
      </c>
      <c r="N1202">
        <v>0.16910922739929801</v>
      </c>
      <c r="O1202">
        <v>0.19800985282505601</v>
      </c>
    </row>
    <row r="1203" spans="1:15" x14ac:dyDescent="0.3">
      <c r="A1203">
        <v>5122</v>
      </c>
      <c r="B1203">
        <v>2866</v>
      </c>
      <c r="C1203">
        <v>102</v>
      </c>
      <c r="D1203" t="s">
        <v>19</v>
      </c>
      <c r="E1203" t="s">
        <v>20</v>
      </c>
      <c r="F1203" t="s">
        <v>17</v>
      </c>
      <c r="G1203" t="s">
        <v>22</v>
      </c>
      <c r="H1203">
        <v>273.60000000000002</v>
      </c>
      <c r="I1203">
        <v>246</v>
      </c>
      <c r="J1203">
        <v>93.6</v>
      </c>
      <c r="K1203">
        <v>64.5</v>
      </c>
      <c r="L1203">
        <v>25.6</v>
      </c>
      <c r="M1203">
        <v>1.5</v>
      </c>
      <c r="N1203">
        <v>0.14662905381723401</v>
      </c>
      <c r="O1203">
        <v>0.20048459283099801</v>
      </c>
    </row>
    <row r="1204" spans="1:15" x14ac:dyDescent="0.3">
      <c r="A1204">
        <v>5151</v>
      </c>
      <c r="B1204">
        <v>288</v>
      </c>
      <c r="C1204">
        <v>379</v>
      </c>
      <c r="D1204" t="s">
        <v>19</v>
      </c>
      <c r="E1204" t="s">
        <v>20</v>
      </c>
      <c r="F1204" t="s">
        <v>21</v>
      </c>
      <c r="G1204" t="s">
        <v>24</v>
      </c>
      <c r="H1204">
        <v>276.5</v>
      </c>
      <c r="I1204">
        <v>259.5</v>
      </c>
      <c r="J1204">
        <v>97.2</v>
      </c>
      <c r="K1204">
        <v>68</v>
      </c>
      <c r="L1204">
        <v>26.4</v>
      </c>
      <c r="M1204">
        <v>4</v>
      </c>
      <c r="N1204">
        <v>0.289110016904638</v>
      </c>
      <c r="O1204">
        <v>6.7247550194817304E-2</v>
      </c>
    </row>
    <row r="1205" spans="1:15" x14ac:dyDescent="0.3">
      <c r="A1205">
        <v>5152</v>
      </c>
      <c r="B1205">
        <v>288</v>
      </c>
      <c r="C1205">
        <v>379</v>
      </c>
      <c r="D1205" t="s">
        <v>19</v>
      </c>
      <c r="E1205" t="s">
        <v>20</v>
      </c>
      <c r="F1205" t="s">
        <v>21</v>
      </c>
      <c r="G1205" t="s">
        <v>24</v>
      </c>
      <c r="H1205">
        <v>276.5</v>
      </c>
      <c r="I1205">
        <v>259.5</v>
      </c>
      <c r="J1205">
        <v>97.2</v>
      </c>
      <c r="K1205">
        <v>68</v>
      </c>
      <c r="L1205">
        <v>26.4</v>
      </c>
      <c r="M1205">
        <v>4</v>
      </c>
      <c r="N1205">
        <v>0.30648401107103801</v>
      </c>
      <c r="O1205">
        <v>5.5695833585030698E-2</v>
      </c>
    </row>
    <row r="1206" spans="1:15" x14ac:dyDescent="0.3">
      <c r="A1206">
        <v>5153</v>
      </c>
      <c r="B1206">
        <v>288</v>
      </c>
      <c r="C1206">
        <v>379</v>
      </c>
      <c r="D1206" t="s">
        <v>19</v>
      </c>
      <c r="E1206" t="s">
        <v>20</v>
      </c>
      <c r="F1206" t="s">
        <v>21</v>
      </c>
      <c r="G1206" t="s">
        <v>24</v>
      </c>
      <c r="H1206">
        <v>276.5</v>
      </c>
      <c r="I1206">
        <v>259.5</v>
      </c>
      <c r="J1206">
        <v>97.2</v>
      </c>
      <c r="K1206">
        <v>68</v>
      </c>
      <c r="L1206">
        <v>26.4</v>
      </c>
      <c r="M1206">
        <v>4</v>
      </c>
      <c r="N1206">
        <v>0.32082691024757698</v>
      </c>
      <c r="O1206">
        <v>3.5724274365254202E-2</v>
      </c>
    </row>
    <row r="1207" spans="1:15" x14ac:dyDescent="0.3">
      <c r="A1207">
        <v>5154</v>
      </c>
      <c r="B1207">
        <v>288</v>
      </c>
      <c r="C1207">
        <v>379</v>
      </c>
      <c r="D1207" t="s">
        <v>19</v>
      </c>
      <c r="E1207" t="s">
        <v>20</v>
      </c>
      <c r="F1207" t="s">
        <v>21</v>
      </c>
      <c r="G1207" t="s">
        <v>24</v>
      </c>
      <c r="H1207">
        <v>276.5</v>
      </c>
      <c r="I1207">
        <v>259.5</v>
      </c>
      <c r="J1207">
        <v>97.2</v>
      </c>
      <c r="K1207">
        <v>68</v>
      </c>
      <c r="L1207">
        <v>26.4</v>
      </c>
      <c r="M1207">
        <v>4</v>
      </c>
      <c r="N1207">
        <v>0.32686845687196597</v>
      </c>
      <c r="O1207">
        <v>6.23591644816072E-2</v>
      </c>
    </row>
    <row r="1208" spans="1:15" x14ac:dyDescent="0.3">
      <c r="A1208">
        <v>5171</v>
      </c>
      <c r="B1208">
        <v>2886</v>
      </c>
      <c r="C1208">
        <v>453</v>
      </c>
      <c r="D1208" t="s">
        <v>23</v>
      </c>
      <c r="E1208" t="s">
        <v>20</v>
      </c>
      <c r="F1208" t="s">
        <v>21</v>
      </c>
      <c r="G1208" t="s">
        <v>22</v>
      </c>
      <c r="H1208">
        <v>281.60000000000002</v>
      </c>
      <c r="I1208">
        <v>255.5</v>
      </c>
      <c r="J1208">
        <v>100.4</v>
      </c>
      <c r="K1208">
        <v>70</v>
      </c>
      <c r="L1208">
        <v>25.7</v>
      </c>
      <c r="M1208">
        <v>10</v>
      </c>
      <c r="N1208">
        <v>0.14012291865064</v>
      </c>
      <c r="O1208">
        <v>0.40136514337000301</v>
      </c>
    </row>
    <row r="1209" spans="1:15" x14ac:dyDescent="0.3">
      <c r="A1209">
        <v>5172</v>
      </c>
      <c r="B1209">
        <v>2886</v>
      </c>
      <c r="C1209">
        <v>453</v>
      </c>
      <c r="D1209" t="s">
        <v>23</v>
      </c>
      <c r="E1209" t="s">
        <v>20</v>
      </c>
      <c r="F1209" t="s">
        <v>21</v>
      </c>
      <c r="G1209" t="s">
        <v>22</v>
      </c>
      <c r="H1209">
        <v>281.60000000000002</v>
      </c>
      <c r="I1209">
        <v>255.5</v>
      </c>
      <c r="J1209">
        <v>100.4</v>
      </c>
      <c r="K1209">
        <v>70</v>
      </c>
      <c r="L1209">
        <v>25.7</v>
      </c>
      <c r="M1209">
        <v>10</v>
      </c>
      <c r="N1209">
        <v>0.153054222397631</v>
      </c>
      <c r="O1209">
        <v>0.41751869309360401</v>
      </c>
    </row>
    <row r="1210" spans="1:15" x14ac:dyDescent="0.3">
      <c r="A1210">
        <v>5173</v>
      </c>
      <c r="B1210">
        <v>2886</v>
      </c>
      <c r="C1210">
        <v>453</v>
      </c>
      <c r="D1210" t="s">
        <v>23</v>
      </c>
      <c r="E1210" t="s">
        <v>20</v>
      </c>
      <c r="F1210" t="s">
        <v>21</v>
      </c>
      <c r="G1210" t="s">
        <v>22</v>
      </c>
      <c r="H1210">
        <v>281.60000000000002</v>
      </c>
      <c r="I1210">
        <v>255.5</v>
      </c>
      <c r="J1210">
        <v>100.4</v>
      </c>
      <c r="K1210">
        <v>70</v>
      </c>
      <c r="L1210">
        <v>25.7</v>
      </c>
      <c r="M1210">
        <v>10</v>
      </c>
      <c r="N1210">
        <v>0.14818148485659399</v>
      </c>
      <c r="O1210">
        <v>0.397714986406772</v>
      </c>
    </row>
    <row r="1211" spans="1:15" x14ac:dyDescent="0.3">
      <c r="A1211">
        <v>5174</v>
      </c>
      <c r="B1211">
        <v>2886</v>
      </c>
      <c r="C1211">
        <v>453</v>
      </c>
      <c r="D1211" t="s">
        <v>23</v>
      </c>
      <c r="E1211" t="s">
        <v>20</v>
      </c>
      <c r="F1211" t="s">
        <v>21</v>
      </c>
      <c r="G1211" t="s">
        <v>22</v>
      </c>
      <c r="H1211">
        <v>281.60000000000002</v>
      </c>
      <c r="I1211">
        <v>255.5</v>
      </c>
      <c r="J1211">
        <v>100.4</v>
      </c>
      <c r="K1211">
        <v>70</v>
      </c>
      <c r="L1211">
        <v>25.7</v>
      </c>
      <c r="M1211">
        <v>10</v>
      </c>
      <c r="N1211">
        <v>0.15686464110530801</v>
      </c>
      <c r="O1211">
        <v>0.40479809771721198</v>
      </c>
    </row>
    <row r="1212" spans="1:15" x14ac:dyDescent="0.3">
      <c r="A1212">
        <v>5175</v>
      </c>
      <c r="B1212">
        <v>2886</v>
      </c>
      <c r="C1212">
        <v>453</v>
      </c>
      <c r="D1212" t="s">
        <v>23</v>
      </c>
      <c r="E1212" t="s">
        <v>20</v>
      </c>
      <c r="F1212" t="s">
        <v>21</v>
      </c>
      <c r="G1212" t="s">
        <v>22</v>
      </c>
      <c r="H1212">
        <v>281.60000000000002</v>
      </c>
      <c r="I1212">
        <v>255.5</v>
      </c>
      <c r="J1212">
        <v>100.4</v>
      </c>
      <c r="K1212">
        <v>70</v>
      </c>
      <c r="L1212">
        <v>25.7</v>
      </c>
      <c r="M1212">
        <v>10</v>
      </c>
      <c r="N1212">
        <v>0.13064742370207999</v>
      </c>
      <c r="O1212">
        <v>0.41044661256082698</v>
      </c>
    </row>
    <row r="1213" spans="1:15" x14ac:dyDescent="0.3">
      <c r="A1213">
        <v>5176</v>
      </c>
      <c r="B1213">
        <v>2886</v>
      </c>
      <c r="C1213">
        <v>453</v>
      </c>
      <c r="D1213" t="s">
        <v>23</v>
      </c>
      <c r="E1213" t="s">
        <v>20</v>
      </c>
      <c r="F1213" t="s">
        <v>21</v>
      </c>
      <c r="G1213" t="s">
        <v>22</v>
      </c>
      <c r="H1213">
        <v>281.60000000000002</v>
      </c>
      <c r="I1213">
        <v>255.5</v>
      </c>
      <c r="J1213">
        <v>100.4</v>
      </c>
      <c r="K1213">
        <v>70</v>
      </c>
      <c r="L1213">
        <v>25.7</v>
      </c>
      <c r="M1213">
        <v>10</v>
      </c>
      <c r="N1213">
        <v>0.15245061140411201</v>
      </c>
      <c r="O1213">
        <v>0.39671301048681001</v>
      </c>
    </row>
    <row r="1214" spans="1:15" x14ac:dyDescent="0.3">
      <c r="A1214">
        <v>5178</v>
      </c>
      <c r="B1214">
        <v>2888</v>
      </c>
      <c r="C1214">
        <v>98</v>
      </c>
      <c r="D1214" t="s">
        <v>23</v>
      </c>
      <c r="E1214" t="s">
        <v>20</v>
      </c>
      <c r="F1214" t="s">
        <v>17</v>
      </c>
      <c r="G1214" t="s">
        <v>24</v>
      </c>
      <c r="H1214">
        <v>276.60000000000002</v>
      </c>
      <c r="I1214">
        <v>257.5</v>
      </c>
      <c r="J1214">
        <v>95.2</v>
      </c>
      <c r="K1214">
        <v>67.5</v>
      </c>
      <c r="L1214">
        <v>24.1</v>
      </c>
      <c r="M1214">
        <v>9.5</v>
      </c>
      <c r="N1214">
        <v>0.183338580357994</v>
      </c>
      <c r="O1214">
        <v>0.37058893073583399</v>
      </c>
    </row>
    <row r="1215" spans="1:15" x14ac:dyDescent="0.3">
      <c r="A1215">
        <v>5179</v>
      </c>
      <c r="B1215">
        <v>2888</v>
      </c>
      <c r="C1215">
        <v>98</v>
      </c>
      <c r="D1215" t="s">
        <v>23</v>
      </c>
      <c r="E1215" t="s">
        <v>20</v>
      </c>
      <c r="F1215" t="s">
        <v>17</v>
      </c>
      <c r="G1215" t="s">
        <v>24</v>
      </c>
      <c r="H1215">
        <v>276.60000000000002</v>
      </c>
      <c r="I1215">
        <v>257.5</v>
      </c>
      <c r="J1215">
        <v>95.2</v>
      </c>
      <c r="K1215">
        <v>67.5</v>
      </c>
      <c r="L1215">
        <v>24.1</v>
      </c>
      <c r="M1215">
        <v>9.5</v>
      </c>
      <c r="N1215">
        <v>0.20406767446827401</v>
      </c>
      <c r="O1215">
        <v>0.39976285917314303</v>
      </c>
    </row>
    <row r="1216" spans="1:15" x14ac:dyDescent="0.3">
      <c r="A1216">
        <v>5180</v>
      </c>
      <c r="B1216">
        <v>2888</v>
      </c>
      <c r="C1216">
        <v>98</v>
      </c>
      <c r="D1216" t="s">
        <v>23</v>
      </c>
      <c r="E1216" t="s">
        <v>20</v>
      </c>
      <c r="F1216" t="s">
        <v>17</v>
      </c>
      <c r="G1216" t="s">
        <v>24</v>
      </c>
      <c r="H1216">
        <v>276.60000000000002</v>
      </c>
      <c r="I1216">
        <v>257.5</v>
      </c>
      <c r="J1216">
        <v>95.2</v>
      </c>
      <c r="K1216">
        <v>67.5</v>
      </c>
      <c r="L1216">
        <v>24.1</v>
      </c>
      <c r="M1216">
        <v>9.5</v>
      </c>
      <c r="N1216">
        <v>0.195985683599954</v>
      </c>
      <c r="O1216">
        <v>0.385126676494636</v>
      </c>
    </row>
    <row r="1217" spans="1:15" x14ac:dyDescent="0.3">
      <c r="A1217">
        <v>5181</v>
      </c>
      <c r="B1217">
        <v>2888</v>
      </c>
      <c r="C1217">
        <v>98</v>
      </c>
      <c r="D1217" t="s">
        <v>23</v>
      </c>
      <c r="E1217" t="s">
        <v>20</v>
      </c>
      <c r="F1217" t="s">
        <v>17</v>
      </c>
      <c r="G1217" t="s">
        <v>24</v>
      </c>
      <c r="H1217">
        <v>276.60000000000002</v>
      </c>
      <c r="I1217">
        <v>257.5</v>
      </c>
      <c r="J1217">
        <v>95.2</v>
      </c>
      <c r="K1217">
        <v>67.5</v>
      </c>
      <c r="L1217">
        <v>24.1</v>
      </c>
      <c r="M1217">
        <v>9.5</v>
      </c>
      <c r="N1217">
        <v>0.16717424598587199</v>
      </c>
      <c r="O1217">
        <v>0.37571333606362001</v>
      </c>
    </row>
    <row r="1218" spans="1:15" x14ac:dyDescent="0.3">
      <c r="A1218">
        <v>5182</v>
      </c>
      <c r="B1218">
        <v>2888</v>
      </c>
      <c r="C1218">
        <v>98</v>
      </c>
      <c r="D1218" t="s">
        <v>23</v>
      </c>
      <c r="E1218" t="s">
        <v>20</v>
      </c>
      <c r="F1218" t="s">
        <v>17</v>
      </c>
      <c r="G1218" t="s">
        <v>24</v>
      </c>
      <c r="H1218">
        <v>276.60000000000002</v>
      </c>
      <c r="I1218">
        <v>257.5</v>
      </c>
      <c r="J1218">
        <v>95.2</v>
      </c>
      <c r="K1218">
        <v>67.5</v>
      </c>
      <c r="L1218">
        <v>24.1</v>
      </c>
      <c r="M1218">
        <v>9.5</v>
      </c>
      <c r="N1218">
        <v>0.18948014512620301</v>
      </c>
      <c r="O1218">
        <v>0.377224282189349</v>
      </c>
    </row>
    <row r="1219" spans="1:15" x14ac:dyDescent="0.3">
      <c r="A1219">
        <v>5196</v>
      </c>
      <c r="B1219">
        <v>2895</v>
      </c>
      <c r="C1219">
        <v>341</v>
      </c>
      <c r="D1219" t="s">
        <v>19</v>
      </c>
      <c r="E1219" t="s">
        <v>20</v>
      </c>
      <c r="F1219" t="s">
        <v>17</v>
      </c>
      <c r="G1219" t="s">
        <v>24</v>
      </c>
      <c r="H1219">
        <v>273</v>
      </c>
      <c r="I1219">
        <v>246.5</v>
      </c>
      <c r="J1219">
        <v>95.4</v>
      </c>
      <c r="K1219">
        <v>66.5</v>
      </c>
      <c r="L1219">
        <v>26.4</v>
      </c>
      <c r="M1219">
        <v>11</v>
      </c>
      <c r="N1219">
        <v>0.28154301301486501</v>
      </c>
      <c r="O1219">
        <v>6.4844583338983394E-2</v>
      </c>
    </row>
    <row r="1220" spans="1:15" x14ac:dyDescent="0.3">
      <c r="A1220">
        <v>5197</v>
      </c>
      <c r="B1220">
        <v>2895</v>
      </c>
      <c r="C1220">
        <v>341</v>
      </c>
      <c r="D1220" t="s">
        <v>19</v>
      </c>
      <c r="E1220" t="s">
        <v>20</v>
      </c>
      <c r="F1220" t="s">
        <v>17</v>
      </c>
      <c r="G1220" t="s">
        <v>24</v>
      </c>
      <c r="H1220">
        <v>273</v>
      </c>
      <c r="I1220">
        <v>246.5</v>
      </c>
      <c r="J1220">
        <v>95.4</v>
      </c>
      <c r="K1220">
        <v>66.5</v>
      </c>
      <c r="L1220">
        <v>26.4</v>
      </c>
      <c r="M1220">
        <v>11</v>
      </c>
      <c r="N1220">
        <v>0.289814571630021</v>
      </c>
      <c r="O1220">
        <v>7.9603227191649903E-2</v>
      </c>
    </row>
    <row r="1221" spans="1:15" x14ac:dyDescent="0.3">
      <c r="A1221">
        <v>5198</v>
      </c>
      <c r="B1221">
        <v>2895</v>
      </c>
      <c r="C1221">
        <v>341</v>
      </c>
      <c r="D1221" t="s">
        <v>19</v>
      </c>
      <c r="E1221" t="s">
        <v>20</v>
      </c>
      <c r="F1221" t="s">
        <v>17</v>
      </c>
      <c r="G1221" t="s">
        <v>24</v>
      </c>
      <c r="H1221">
        <v>273</v>
      </c>
      <c r="I1221">
        <v>246.5</v>
      </c>
      <c r="J1221">
        <v>95.4</v>
      </c>
      <c r="K1221">
        <v>66.5</v>
      </c>
      <c r="L1221">
        <v>26.4</v>
      </c>
      <c r="M1221">
        <v>11</v>
      </c>
      <c r="N1221">
        <v>0.28177427585186399</v>
      </c>
      <c r="O1221">
        <v>6.1423740300129703E-2</v>
      </c>
    </row>
    <row r="1222" spans="1:15" x14ac:dyDescent="0.3">
      <c r="A1222">
        <v>5199</v>
      </c>
      <c r="B1222">
        <v>2895</v>
      </c>
      <c r="C1222">
        <v>341</v>
      </c>
      <c r="D1222" t="s">
        <v>19</v>
      </c>
      <c r="E1222" t="s">
        <v>20</v>
      </c>
      <c r="F1222" t="s">
        <v>17</v>
      </c>
      <c r="G1222" t="s">
        <v>24</v>
      </c>
      <c r="H1222">
        <v>273</v>
      </c>
      <c r="I1222">
        <v>246.5</v>
      </c>
      <c r="J1222">
        <v>95.4</v>
      </c>
      <c r="K1222">
        <v>66.5</v>
      </c>
      <c r="L1222">
        <v>26.4</v>
      </c>
      <c r="M1222">
        <v>11</v>
      </c>
      <c r="N1222">
        <v>0.30362087637000501</v>
      </c>
      <c r="O1222">
        <v>7.7534764404664003E-2</v>
      </c>
    </row>
    <row r="1223" spans="1:15" x14ac:dyDescent="0.3">
      <c r="A1223">
        <v>5212</v>
      </c>
      <c r="B1223">
        <v>2901</v>
      </c>
      <c r="C1223">
        <v>454</v>
      </c>
      <c r="D1223" t="s">
        <v>23</v>
      </c>
      <c r="E1223" t="s">
        <v>16</v>
      </c>
      <c r="F1223" t="s">
        <v>21</v>
      </c>
      <c r="G1223" t="s">
        <v>26</v>
      </c>
      <c r="H1223">
        <v>272.8</v>
      </c>
      <c r="I1223">
        <v>242.5</v>
      </c>
      <c r="J1223">
        <v>92.2</v>
      </c>
      <c r="K1223">
        <v>67</v>
      </c>
      <c r="L1223">
        <v>26.4</v>
      </c>
      <c r="M1223">
        <v>6</v>
      </c>
      <c r="N1223">
        <v>0.192780800437542</v>
      </c>
      <c r="O1223">
        <v>0.31858602793692098</v>
      </c>
    </row>
    <row r="1224" spans="1:15" x14ac:dyDescent="0.3">
      <c r="A1224">
        <v>5213</v>
      </c>
      <c r="B1224">
        <v>2901</v>
      </c>
      <c r="C1224">
        <v>454</v>
      </c>
      <c r="D1224" t="s">
        <v>23</v>
      </c>
      <c r="E1224" t="s">
        <v>16</v>
      </c>
      <c r="F1224" t="s">
        <v>21</v>
      </c>
      <c r="G1224" t="s">
        <v>26</v>
      </c>
      <c r="H1224">
        <v>272.8</v>
      </c>
      <c r="I1224">
        <v>242.5</v>
      </c>
      <c r="J1224">
        <v>92.2</v>
      </c>
      <c r="K1224">
        <v>67</v>
      </c>
      <c r="L1224">
        <v>26.4</v>
      </c>
      <c r="M1224">
        <v>6</v>
      </c>
      <c r="N1224">
        <v>0.209298353124029</v>
      </c>
      <c r="O1224">
        <v>0.339415732974861</v>
      </c>
    </row>
    <row r="1225" spans="1:15" x14ac:dyDescent="0.3">
      <c r="A1225">
        <v>5214</v>
      </c>
      <c r="B1225">
        <v>2901</v>
      </c>
      <c r="C1225">
        <v>454</v>
      </c>
      <c r="D1225" t="s">
        <v>23</v>
      </c>
      <c r="E1225" t="s">
        <v>16</v>
      </c>
      <c r="F1225" t="s">
        <v>21</v>
      </c>
      <c r="G1225" t="s">
        <v>26</v>
      </c>
      <c r="H1225">
        <v>272.8</v>
      </c>
      <c r="I1225">
        <v>242.5</v>
      </c>
      <c r="J1225">
        <v>92.2</v>
      </c>
      <c r="K1225">
        <v>67</v>
      </c>
      <c r="L1225">
        <v>26.4</v>
      </c>
      <c r="M1225">
        <v>6</v>
      </c>
      <c r="N1225">
        <v>0.20987496278166101</v>
      </c>
      <c r="O1225">
        <v>0.32378242148212799</v>
      </c>
    </row>
    <row r="1226" spans="1:15" x14ac:dyDescent="0.3">
      <c r="A1226">
        <v>5228</v>
      </c>
      <c r="B1226">
        <v>2905</v>
      </c>
      <c r="C1226">
        <v>306</v>
      </c>
      <c r="D1226" t="s">
        <v>23</v>
      </c>
      <c r="E1226" t="s">
        <v>16</v>
      </c>
      <c r="F1226" t="s">
        <v>17</v>
      </c>
      <c r="G1226" t="s">
        <v>18</v>
      </c>
      <c r="H1226">
        <v>274.39999999999998</v>
      </c>
      <c r="I1226">
        <v>249</v>
      </c>
      <c r="J1226">
        <v>95.3</v>
      </c>
      <c r="K1226">
        <v>69.5</v>
      </c>
      <c r="L1226">
        <v>27.8</v>
      </c>
      <c r="M1226">
        <v>5.5</v>
      </c>
      <c r="N1226">
        <v>0.13311542018324601</v>
      </c>
      <c r="O1226">
        <v>0.42178933668822699</v>
      </c>
    </row>
    <row r="1227" spans="1:15" x14ac:dyDescent="0.3">
      <c r="A1227">
        <v>5229</v>
      </c>
      <c r="B1227">
        <v>2905</v>
      </c>
      <c r="C1227">
        <v>306</v>
      </c>
      <c r="D1227" t="s">
        <v>23</v>
      </c>
      <c r="E1227" t="s">
        <v>16</v>
      </c>
      <c r="F1227" t="s">
        <v>17</v>
      </c>
      <c r="G1227" t="s">
        <v>18</v>
      </c>
      <c r="H1227">
        <v>274.39999999999998</v>
      </c>
      <c r="I1227">
        <v>249</v>
      </c>
      <c r="J1227">
        <v>95.3</v>
      </c>
      <c r="K1227">
        <v>69.5</v>
      </c>
      <c r="L1227">
        <v>27.8</v>
      </c>
      <c r="M1227">
        <v>5.5</v>
      </c>
      <c r="N1227">
        <v>0.12930129967875501</v>
      </c>
      <c r="O1227">
        <v>0.420831170837699</v>
      </c>
    </row>
    <row r="1228" spans="1:15" x14ac:dyDescent="0.3">
      <c r="A1228">
        <v>5230</v>
      </c>
      <c r="B1228">
        <v>2905</v>
      </c>
      <c r="C1228">
        <v>306</v>
      </c>
      <c r="D1228" t="s">
        <v>23</v>
      </c>
      <c r="E1228" t="s">
        <v>16</v>
      </c>
      <c r="F1228" t="s">
        <v>17</v>
      </c>
      <c r="G1228" t="s">
        <v>18</v>
      </c>
      <c r="H1228">
        <v>274.39999999999998</v>
      </c>
      <c r="I1228">
        <v>249</v>
      </c>
      <c r="J1228">
        <v>95.3</v>
      </c>
      <c r="K1228">
        <v>69.5</v>
      </c>
      <c r="L1228">
        <v>27.8</v>
      </c>
      <c r="M1228">
        <v>5.5</v>
      </c>
      <c r="N1228">
        <v>0.13614301934701001</v>
      </c>
      <c r="O1228">
        <v>0.39218707456662399</v>
      </c>
    </row>
    <row r="1229" spans="1:15" x14ac:dyDescent="0.3">
      <c r="A1229">
        <v>5231</v>
      </c>
      <c r="B1229">
        <v>2905</v>
      </c>
      <c r="C1229">
        <v>306</v>
      </c>
      <c r="D1229" t="s">
        <v>23</v>
      </c>
      <c r="E1229" t="s">
        <v>16</v>
      </c>
      <c r="F1229" t="s">
        <v>17</v>
      </c>
      <c r="G1229" t="s">
        <v>18</v>
      </c>
      <c r="H1229">
        <v>274.39999999999998</v>
      </c>
      <c r="I1229">
        <v>249</v>
      </c>
      <c r="J1229">
        <v>95.3</v>
      </c>
      <c r="K1229">
        <v>69.5</v>
      </c>
      <c r="L1229">
        <v>27.8</v>
      </c>
      <c r="M1229">
        <v>5.5</v>
      </c>
      <c r="N1229">
        <v>0.14680989063451999</v>
      </c>
      <c r="O1229">
        <v>0.38782047310369699</v>
      </c>
    </row>
    <row r="1230" spans="1:15" x14ac:dyDescent="0.3">
      <c r="A1230">
        <v>5235</v>
      </c>
      <c r="B1230">
        <v>2907</v>
      </c>
      <c r="C1230">
        <v>480</v>
      </c>
      <c r="D1230" t="s">
        <v>19</v>
      </c>
      <c r="E1230" t="s">
        <v>20</v>
      </c>
      <c r="F1230" t="s">
        <v>17</v>
      </c>
      <c r="G1230" t="s">
        <v>26</v>
      </c>
      <c r="H1230">
        <v>275.8</v>
      </c>
      <c r="I1230">
        <v>244</v>
      </c>
      <c r="J1230">
        <v>94.4</v>
      </c>
      <c r="K1230">
        <v>67.5</v>
      </c>
      <c r="L1230">
        <v>24.4</v>
      </c>
      <c r="M1230">
        <v>6</v>
      </c>
      <c r="N1230">
        <v>0.14928253111589099</v>
      </c>
      <c r="O1230">
        <v>0.21337309681000699</v>
      </c>
    </row>
    <row r="1231" spans="1:15" x14ac:dyDescent="0.3">
      <c r="A1231">
        <v>5236</v>
      </c>
      <c r="B1231">
        <v>2907</v>
      </c>
      <c r="C1231">
        <v>480</v>
      </c>
      <c r="D1231" t="s">
        <v>19</v>
      </c>
      <c r="E1231" t="s">
        <v>20</v>
      </c>
      <c r="F1231" t="s">
        <v>17</v>
      </c>
      <c r="G1231" t="s">
        <v>26</v>
      </c>
      <c r="H1231">
        <v>275.8</v>
      </c>
      <c r="I1231">
        <v>244</v>
      </c>
      <c r="J1231">
        <v>94.4</v>
      </c>
      <c r="K1231">
        <v>67.5</v>
      </c>
      <c r="L1231">
        <v>24.4</v>
      </c>
      <c r="M1231">
        <v>6</v>
      </c>
      <c r="N1231">
        <v>0.141733142175098</v>
      </c>
      <c r="O1231">
        <v>0.20134844271978899</v>
      </c>
    </row>
    <row r="1232" spans="1:15" x14ac:dyDescent="0.3">
      <c r="A1232">
        <v>5237</v>
      </c>
      <c r="B1232">
        <v>2907</v>
      </c>
      <c r="C1232">
        <v>480</v>
      </c>
      <c r="D1232" t="s">
        <v>19</v>
      </c>
      <c r="E1232" t="s">
        <v>20</v>
      </c>
      <c r="F1232" t="s">
        <v>17</v>
      </c>
      <c r="G1232" t="s">
        <v>26</v>
      </c>
      <c r="H1232">
        <v>275.8</v>
      </c>
      <c r="I1232">
        <v>244</v>
      </c>
      <c r="J1232">
        <v>94.4</v>
      </c>
      <c r="K1232">
        <v>67.5</v>
      </c>
      <c r="L1232">
        <v>24.4</v>
      </c>
      <c r="M1232">
        <v>6</v>
      </c>
      <c r="N1232">
        <v>0.13337025854602999</v>
      </c>
      <c r="O1232">
        <v>0.18563275026228501</v>
      </c>
    </row>
    <row r="1233" spans="1:15" x14ac:dyDescent="0.3">
      <c r="A1233">
        <v>5239</v>
      </c>
      <c r="B1233">
        <v>2908</v>
      </c>
      <c r="C1233">
        <v>18</v>
      </c>
      <c r="D1233" t="s">
        <v>19</v>
      </c>
      <c r="E1233" t="s">
        <v>20</v>
      </c>
      <c r="F1233" t="s">
        <v>21</v>
      </c>
      <c r="G1233" t="s">
        <v>26</v>
      </c>
      <c r="H1233">
        <v>271.39999999999998</v>
      </c>
      <c r="I1233">
        <v>244</v>
      </c>
      <c r="J1233">
        <v>97.3</v>
      </c>
      <c r="K1233">
        <v>64</v>
      </c>
      <c r="L1233">
        <v>23.3</v>
      </c>
      <c r="M1233">
        <v>6.5</v>
      </c>
      <c r="N1233">
        <v>0.27213752432570398</v>
      </c>
      <c r="O1233">
        <v>2.9615445611411099E-2</v>
      </c>
    </row>
    <row r="1234" spans="1:15" x14ac:dyDescent="0.3">
      <c r="A1234">
        <v>5250</v>
      </c>
      <c r="B1234">
        <v>2910</v>
      </c>
      <c r="C1234">
        <v>497</v>
      </c>
      <c r="D1234" t="s">
        <v>23</v>
      </c>
      <c r="E1234" t="s">
        <v>20</v>
      </c>
      <c r="F1234" t="s">
        <v>17</v>
      </c>
      <c r="G1234" t="s">
        <v>18</v>
      </c>
      <c r="H1234">
        <v>269.7</v>
      </c>
      <c r="I1234">
        <v>245</v>
      </c>
      <c r="J1234">
        <v>94</v>
      </c>
      <c r="K1234">
        <v>67</v>
      </c>
      <c r="L1234">
        <v>24.2</v>
      </c>
      <c r="M1234">
        <v>9</v>
      </c>
      <c r="N1234">
        <v>0.21857299970678601</v>
      </c>
      <c r="O1234">
        <v>0.35643584564786601</v>
      </c>
    </row>
    <row r="1235" spans="1:15" x14ac:dyDescent="0.3">
      <c r="A1235">
        <v>5251</v>
      </c>
      <c r="B1235">
        <v>2910</v>
      </c>
      <c r="C1235">
        <v>497</v>
      </c>
      <c r="D1235" t="s">
        <v>23</v>
      </c>
      <c r="E1235" t="s">
        <v>20</v>
      </c>
      <c r="F1235" t="s">
        <v>17</v>
      </c>
      <c r="G1235" t="s">
        <v>18</v>
      </c>
      <c r="H1235">
        <v>269.7</v>
      </c>
      <c r="I1235">
        <v>245</v>
      </c>
      <c r="J1235">
        <v>94</v>
      </c>
      <c r="K1235">
        <v>67</v>
      </c>
      <c r="L1235">
        <v>24.2</v>
      </c>
      <c r="M1235">
        <v>9</v>
      </c>
      <c r="N1235">
        <v>0.221905130617887</v>
      </c>
      <c r="O1235">
        <v>0.377693573958502</v>
      </c>
    </row>
    <row r="1236" spans="1:15" x14ac:dyDescent="0.3">
      <c r="A1236">
        <v>5252</v>
      </c>
      <c r="B1236">
        <v>2910</v>
      </c>
      <c r="C1236">
        <v>497</v>
      </c>
      <c r="D1236" t="s">
        <v>23</v>
      </c>
      <c r="E1236" t="s">
        <v>20</v>
      </c>
      <c r="F1236" t="s">
        <v>17</v>
      </c>
      <c r="G1236" t="s">
        <v>18</v>
      </c>
      <c r="H1236">
        <v>269.7</v>
      </c>
      <c r="I1236">
        <v>245</v>
      </c>
      <c r="J1236">
        <v>94</v>
      </c>
      <c r="K1236">
        <v>67</v>
      </c>
      <c r="L1236">
        <v>24.2</v>
      </c>
      <c r="M1236">
        <v>9</v>
      </c>
      <c r="N1236">
        <v>0.20267579192641</v>
      </c>
      <c r="O1236">
        <v>0.37317803220770301</v>
      </c>
    </row>
    <row r="1237" spans="1:15" x14ac:dyDescent="0.3">
      <c r="A1237">
        <v>5253</v>
      </c>
      <c r="B1237">
        <v>2910</v>
      </c>
      <c r="C1237">
        <v>497</v>
      </c>
      <c r="D1237" t="s">
        <v>23</v>
      </c>
      <c r="E1237" t="s">
        <v>20</v>
      </c>
      <c r="F1237" t="s">
        <v>17</v>
      </c>
      <c r="G1237" t="s">
        <v>18</v>
      </c>
      <c r="H1237">
        <v>269.7</v>
      </c>
      <c r="I1237">
        <v>245</v>
      </c>
      <c r="J1237">
        <v>94</v>
      </c>
      <c r="K1237">
        <v>67</v>
      </c>
      <c r="L1237">
        <v>24.2</v>
      </c>
      <c r="M1237">
        <v>9</v>
      </c>
      <c r="N1237">
        <v>0.20687729617924799</v>
      </c>
      <c r="O1237">
        <v>0.358567232670645</v>
      </c>
    </row>
    <row r="1238" spans="1:15" x14ac:dyDescent="0.3">
      <c r="A1238">
        <v>5254</v>
      </c>
      <c r="B1238">
        <v>2910</v>
      </c>
      <c r="C1238">
        <v>497</v>
      </c>
      <c r="D1238" t="s">
        <v>23</v>
      </c>
      <c r="E1238" t="s">
        <v>20</v>
      </c>
      <c r="F1238" t="s">
        <v>17</v>
      </c>
      <c r="G1238" t="s">
        <v>18</v>
      </c>
      <c r="H1238">
        <v>269.7</v>
      </c>
      <c r="I1238">
        <v>245</v>
      </c>
      <c r="J1238">
        <v>94</v>
      </c>
      <c r="K1238">
        <v>67</v>
      </c>
      <c r="L1238">
        <v>24.2</v>
      </c>
      <c r="M1238">
        <v>9</v>
      </c>
      <c r="N1238">
        <v>0.218832494492845</v>
      </c>
      <c r="O1238">
        <v>0.360800917272318</v>
      </c>
    </row>
    <row r="1239" spans="1:15" x14ac:dyDescent="0.3">
      <c r="A1239">
        <v>5305</v>
      </c>
      <c r="B1239">
        <v>2929</v>
      </c>
      <c r="C1239">
        <v>144</v>
      </c>
      <c r="D1239" t="s">
        <v>19</v>
      </c>
      <c r="E1239" t="s">
        <v>20</v>
      </c>
      <c r="F1239" t="s">
        <v>21</v>
      </c>
      <c r="G1239" t="s">
        <v>24</v>
      </c>
      <c r="H1239">
        <v>268.89999999999998</v>
      </c>
      <c r="I1239">
        <v>244.5</v>
      </c>
      <c r="J1239">
        <v>93.6</v>
      </c>
      <c r="K1239">
        <v>66</v>
      </c>
      <c r="L1239">
        <v>26.2</v>
      </c>
      <c r="M1239">
        <v>8</v>
      </c>
      <c r="N1239">
        <v>0.21642121589677099</v>
      </c>
      <c r="O1239">
        <v>2.3829747240593901E-2</v>
      </c>
    </row>
    <row r="1240" spans="1:15" x14ac:dyDescent="0.3">
      <c r="A1240">
        <v>5311</v>
      </c>
      <c r="B1240">
        <v>2930</v>
      </c>
      <c r="C1240">
        <v>367</v>
      </c>
      <c r="D1240" t="s">
        <v>19</v>
      </c>
      <c r="E1240" t="s">
        <v>20</v>
      </c>
      <c r="F1240" t="s">
        <v>21</v>
      </c>
      <c r="G1240" t="s">
        <v>24</v>
      </c>
      <c r="H1240">
        <v>272.10000000000002</v>
      </c>
      <c r="I1240">
        <v>232</v>
      </c>
      <c r="J1240">
        <v>91</v>
      </c>
      <c r="K1240">
        <v>65.5</v>
      </c>
      <c r="L1240">
        <v>23.9</v>
      </c>
      <c r="M1240">
        <v>7.5</v>
      </c>
      <c r="N1240">
        <v>0.16895753569159799</v>
      </c>
      <c r="O1240">
        <v>0.102582538092078</v>
      </c>
    </row>
    <row r="1241" spans="1:15" x14ac:dyDescent="0.3">
      <c r="A1241">
        <v>5312</v>
      </c>
      <c r="B1241">
        <v>2930</v>
      </c>
      <c r="C1241">
        <v>367</v>
      </c>
      <c r="D1241" t="s">
        <v>19</v>
      </c>
      <c r="E1241" t="s">
        <v>20</v>
      </c>
      <c r="F1241" t="s">
        <v>21</v>
      </c>
      <c r="G1241" t="s">
        <v>24</v>
      </c>
      <c r="H1241">
        <v>272.10000000000002</v>
      </c>
      <c r="I1241">
        <v>232</v>
      </c>
      <c r="J1241">
        <v>91</v>
      </c>
      <c r="K1241">
        <v>65.5</v>
      </c>
      <c r="L1241">
        <v>23.9</v>
      </c>
      <c r="M1241">
        <v>7.5</v>
      </c>
      <c r="N1241">
        <v>0.15966172966818301</v>
      </c>
      <c r="O1241">
        <v>0.114511231776376</v>
      </c>
    </row>
    <row r="1242" spans="1:15" x14ac:dyDescent="0.3">
      <c r="A1242">
        <v>5313</v>
      </c>
      <c r="B1242">
        <v>2931</v>
      </c>
      <c r="C1242">
        <v>80</v>
      </c>
      <c r="D1242" t="s">
        <v>23</v>
      </c>
      <c r="E1242" t="s">
        <v>20</v>
      </c>
      <c r="F1242" t="s">
        <v>21</v>
      </c>
      <c r="G1242" t="s">
        <v>18</v>
      </c>
      <c r="H1242">
        <v>279</v>
      </c>
      <c r="I1242">
        <v>254</v>
      </c>
      <c r="J1242">
        <v>97.1</v>
      </c>
      <c r="K1242">
        <v>67</v>
      </c>
      <c r="L1242">
        <v>24.6</v>
      </c>
      <c r="M1242">
        <v>7</v>
      </c>
      <c r="N1242">
        <v>0.20548321719078999</v>
      </c>
      <c r="O1242">
        <v>0.35362750379117402</v>
      </c>
    </row>
    <row r="1243" spans="1:15" x14ac:dyDescent="0.3">
      <c r="A1243">
        <v>5314</v>
      </c>
      <c r="B1243">
        <v>2931</v>
      </c>
      <c r="C1243">
        <v>80</v>
      </c>
      <c r="D1243" t="s">
        <v>23</v>
      </c>
      <c r="E1243" t="s">
        <v>20</v>
      </c>
      <c r="F1243" t="s">
        <v>21</v>
      </c>
      <c r="G1243" t="s">
        <v>18</v>
      </c>
      <c r="H1243">
        <v>279</v>
      </c>
      <c r="I1243">
        <v>254</v>
      </c>
      <c r="J1243">
        <v>97.1</v>
      </c>
      <c r="K1243">
        <v>67</v>
      </c>
      <c r="L1243">
        <v>24.6</v>
      </c>
      <c r="M1243">
        <v>7</v>
      </c>
      <c r="N1243">
        <v>0.22993557518440899</v>
      </c>
      <c r="O1243">
        <v>0.34261961693613702</v>
      </c>
    </row>
    <row r="1244" spans="1:15" x14ac:dyDescent="0.3">
      <c r="A1244">
        <v>5315</v>
      </c>
      <c r="B1244">
        <v>2931</v>
      </c>
      <c r="C1244">
        <v>80</v>
      </c>
      <c r="D1244" t="s">
        <v>23</v>
      </c>
      <c r="E1244" t="s">
        <v>20</v>
      </c>
      <c r="F1244" t="s">
        <v>21</v>
      </c>
      <c r="G1244" t="s">
        <v>18</v>
      </c>
      <c r="H1244">
        <v>279</v>
      </c>
      <c r="I1244">
        <v>254</v>
      </c>
      <c r="J1244">
        <v>97.1</v>
      </c>
      <c r="K1244">
        <v>67</v>
      </c>
      <c r="L1244">
        <v>24.6</v>
      </c>
      <c r="M1244">
        <v>7</v>
      </c>
      <c r="N1244">
        <v>0.21005771315095401</v>
      </c>
      <c r="O1244">
        <v>0.34931261177588702</v>
      </c>
    </row>
    <row r="1245" spans="1:15" x14ac:dyDescent="0.3">
      <c r="A1245">
        <v>5329</v>
      </c>
      <c r="B1245">
        <v>2936</v>
      </c>
      <c r="C1245">
        <v>62</v>
      </c>
      <c r="D1245" t="s">
        <v>19</v>
      </c>
      <c r="E1245" t="s">
        <v>20</v>
      </c>
      <c r="F1245" t="s">
        <v>17</v>
      </c>
      <c r="G1245" t="s">
        <v>24</v>
      </c>
      <c r="H1245">
        <v>274.5</v>
      </c>
      <c r="I1245">
        <v>256.5</v>
      </c>
      <c r="J1245">
        <v>98.4</v>
      </c>
      <c r="K1245">
        <v>71.5</v>
      </c>
      <c r="L1245">
        <v>29.3</v>
      </c>
      <c r="M1245">
        <v>6</v>
      </c>
      <c r="N1245">
        <v>0.25564855375863599</v>
      </c>
      <c r="O1245">
        <v>0.14345537444557699</v>
      </c>
    </row>
    <row r="1246" spans="1:15" x14ac:dyDescent="0.3">
      <c r="A1246">
        <v>5332</v>
      </c>
      <c r="B1246">
        <v>2936</v>
      </c>
      <c r="C1246">
        <v>62</v>
      </c>
      <c r="D1246" t="s">
        <v>19</v>
      </c>
      <c r="E1246" t="s">
        <v>20</v>
      </c>
      <c r="F1246" t="s">
        <v>17</v>
      </c>
      <c r="G1246" t="s">
        <v>24</v>
      </c>
      <c r="H1246">
        <v>274.5</v>
      </c>
      <c r="I1246">
        <v>256.5</v>
      </c>
      <c r="J1246">
        <v>98.4</v>
      </c>
      <c r="K1246">
        <v>71.5</v>
      </c>
      <c r="L1246">
        <v>29.3</v>
      </c>
      <c r="M1246">
        <v>6</v>
      </c>
      <c r="N1246">
        <v>0.26894150014613599</v>
      </c>
      <c r="O1246">
        <v>0.12582925903626199</v>
      </c>
    </row>
    <row r="1247" spans="1:15" x14ac:dyDescent="0.3">
      <c r="A1247">
        <v>5334</v>
      </c>
      <c r="B1247">
        <v>2938</v>
      </c>
      <c r="C1247">
        <v>497</v>
      </c>
      <c r="D1247" t="s">
        <v>23</v>
      </c>
      <c r="E1247" t="s">
        <v>20</v>
      </c>
      <c r="F1247" t="s">
        <v>17</v>
      </c>
      <c r="G1247" t="s">
        <v>25</v>
      </c>
      <c r="H1247">
        <v>269.7</v>
      </c>
      <c r="I1247">
        <v>245</v>
      </c>
      <c r="J1247">
        <v>94</v>
      </c>
      <c r="K1247">
        <v>67</v>
      </c>
      <c r="L1247">
        <v>24.2</v>
      </c>
      <c r="M1247">
        <v>9</v>
      </c>
      <c r="N1247">
        <v>0.213745033160534</v>
      </c>
      <c r="O1247">
        <v>0.35536694099613397</v>
      </c>
    </row>
    <row r="1248" spans="1:15" x14ac:dyDescent="0.3">
      <c r="A1248">
        <v>5340</v>
      </c>
      <c r="B1248">
        <v>294</v>
      </c>
      <c r="C1248">
        <v>440</v>
      </c>
      <c r="D1248" t="s">
        <v>15</v>
      </c>
      <c r="E1248" t="s">
        <v>16</v>
      </c>
      <c r="F1248" t="s">
        <v>17</v>
      </c>
      <c r="G1248" t="s">
        <v>18</v>
      </c>
      <c r="H1248">
        <v>276.89999999999998</v>
      </c>
      <c r="I1248">
        <v>254</v>
      </c>
      <c r="J1248">
        <v>95.2</v>
      </c>
      <c r="K1248">
        <v>65</v>
      </c>
      <c r="L1248">
        <v>29.8</v>
      </c>
      <c r="M1248">
        <v>10.5</v>
      </c>
      <c r="N1248">
        <v>1.7967045178919699E-2</v>
      </c>
      <c r="O1248">
        <v>0.149433809947213</v>
      </c>
    </row>
    <row r="1249" spans="1:15" x14ac:dyDescent="0.3">
      <c r="A1249">
        <v>5344</v>
      </c>
      <c r="B1249">
        <v>2942</v>
      </c>
      <c r="C1249">
        <v>98</v>
      </c>
      <c r="D1249" t="s">
        <v>23</v>
      </c>
      <c r="E1249" t="s">
        <v>20</v>
      </c>
      <c r="F1249" t="s">
        <v>21</v>
      </c>
      <c r="G1249" t="s">
        <v>22</v>
      </c>
      <c r="H1249">
        <v>276.60000000000002</v>
      </c>
      <c r="I1249">
        <v>257.5</v>
      </c>
      <c r="J1249">
        <v>95.2</v>
      </c>
      <c r="K1249">
        <v>67.5</v>
      </c>
      <c r="L1249">
        <v>24.1</v>
      </c>
      <c r="M1249">
        <v>9.5</v>
      </c>
      <c r="N1249">
        <v>0.199042306775712</v>
      </c>
      <c r="O1249">
        <v>0.40201848645897698</v>
      </c>
    </row>
    <row r="1250" spans="1:15" x14ac:dyDescent="0.3">
      <c r="A1250">
        <v>5345</v>
      </c>
      <c r="B1250">
        <v>2942</v>
      </c>
      <c r="C1250">
        <v>98</v>
      </c>
      <c r="D1250" t="s">
        <v>23</v>
      </c>
      <c r="E1250" t="s">
        <v>20</v>
      </c>
      <c r="F1250" t="s">
        <v>21</v>
      </c>
      <c r="G1250" t="s">
        <v>22</v>
      </c>
      <c r="H1250">
        <v>276.60000000000002</v>
      </c>
      <c r="I1250">
        <v>257.5</v>
      </c>
      <c r="J1250">
        <v>95.2</v>
      </c>
      <c r="K1250">
        <v>67.5</v>
      </c>
      <c r="L1250">
        <v>24.1</v>
      </c>
      <c r="M1250">
        <v>9.5</v>
      </c>
      <c r="N1250">
        <v>0.19876360610332899</v>
      </c>
      <c r="O1250">
        <v>0.38262699809054201</v>
      </c>
    </row>
    <row r="1251" spans="1:15" x14ac:dyDescent="0.3">
      <c r="A1251">
        <v>5346</v>
      </c>
      <c r="B1251">
        <v>2942</v>
      </c>
      <c r="C1251">
        <v>98</v>
      </c>
      <c r="D1251" t="s">
        <v>23</v>
      </c>
      <c r="E1251" t="s">
        <v>20</v>
      </c>
      <c r="F1251" t="s">
        <v>21</v>
      </c>
      <c r="G1251" t="s">
        <v>22</v>
      </c>
      <c r="H1251">
        <v>276.60000000000002</v>
      </c>
      <c r="I1251">
        <v>257.5</v>
      </c>
      <c r="J1251">
        <v>95.2</v>
      </c>
      <c r="K1251">
        <v>67.5</v>
      </c>
      <c r="L1251">
        <v>24.1</v>
      </c>
      <c r="M1251">
        <v>9.5</v>
      </c>
      <c r="N1251">
        <v>0.19783813539505801</v>
      </c>
      <c r="O1251">
        <v>0.39229147930360603</v>
      </c>
    </row>
    <row r="1252" spans="1:15" x14ac:dyDescent="0.3">
      <c r="A1252">
        <v>5347</v>
      </c>
      <c r="B1252">
        <v>2942</v>
      </c>
      <c r="C1252">
        <v>98</v>
      </c>
      <c r="D1252" t="s">
        <v>23</v>
      </c>
      <c r="E1252" t="s">
        <v>20</v>
      </c>
      <c r="F1252" t="s">
        <v>21</v>
      </c>
      <c r="G1252" t="s">
        <v>22</v>
      </c>
      <c r="H1252">
        <v>276.60000000000002</v>
      </c>
      <c r="I1252">
        <v>257.5</v>
      </c>
      <c r="J1252">
        <v>95.2</v>
      </c>
      <c r="K1252">
        <v>67.5</v>
      </c>
      <c r="L1252">
        <v>24.1</v>
      </c>
      <c r="M1252">
        <v>9.5</v>
      </c>
      <c r="N1252">
        <v>0.184339373106128</v>
      </c>
      <c r="O1252">
        <v>0.37379546817154202</v>
      </c>
    </row>
    <row r="1253" spans="1:15" x14ac:dyDescent="0.3">
      <c r="A1253">
        <v>5360</v>
      </c>
      <c r="B1253">
        <v>295</v>
      </c>
      <c r="C1253">
        <v>480</v>
      </c>
      <c r="D1253" t="s">
        <v>19</v>
      </c>
      <c r="E1253" t="s">
        <v>20</v>
      </c>
      <c r="F1253" t="s">
        <v>17</v>
      </c>
      <c r="G1253" t="s">
        <v>26</v>
      </c>
      <c r="H1253">
        <v>275.8</v>
      </c>
      <c r="I1253">
        <v>244</v>
      </c>
      <c r="J1253">
        <v>94.4</v>
      </c>
      <c r="K1253">
        <v>67.5</v>
      </c>
      <c r="L1253">
        <v>24.4</v>
      </c>
      <c r="M1253">
        <v>6</v>
      </c>
      <c r="N1253">
        <v>0.16288879347976801</v>
      </c>
      <c r="O1253">
        <v>0.205257117828125</v>
      </c>
    </row>
    <row r="1254" spans="1:15" x14ac:dyDescent="0.3">
      <c r="A1254">
        <v>5361</v>
      </c>
      <c r="B1254">
        <v>295</v>
      </c>
      <c r="C1254">
        <v>480</v>
      </c>
      <c r="D1254" t="s">
        <v>19</v>
      </c>
      <c r="E1254" t="s">
        <v>20</v>
      </c>
      <c r="F1254" t="s">
        <v>17</v>
      </c>
      <c r="G1254" t="s">
        <v>26</v>
      </c>
      <c r="H1254">
        <v>275.8</v>
      </c>
      <c r="I1254">
        <v>244</v>
      </c>
      <c r="J1254">
        <v>94.4</v>
      </c>
      <c r="K1254">
        <v>67.5</v>
      </c>
      <c r="L1254">
        <v>24.4</v>
      </c>
      <c r="M1254">
        <v>6</v>
      </c>
      <c r="N1254">
        <v>0.13133163833858799</v>
      </c>
      <c r="O1254">
        <v>0.19439061222538501</v>
      </c>
    </row>
    <row r="1255" spans="1:15" x14ac:dyDescent="0.3">
      <c r="A1255">
        <v>5380</v>
      </c>
      <c r="B1255">
        <v>2957</v>
      </c>
      <c r="C1255">
        <v>494</v>
      </c>
      <c r="D1255" t="s">
        <v>19</v>
      </c>
      <c r="E1255" t="s">
        <v>16</v>
      </c>
      <c r="F1255" t="s">
        <v>17</v>
      </c>
      <c r="G1255" t="s">
        <v>26</v>
      </c>
      <c r="H1255">
        <v>281.3</v>
      </c>
      <c r="I1255">
        <v>262</v>
      </c>
      <c r="J1255">
        <v>97.7</v>
      </c>
      <c r="K1255">
        <v>70</v>
      </c>
      <c r="L1255">
        <v>27</v>
      </c>
      <c r="M1255">
        <v>4</v>
      </c>
      <c r="N1255">
        <v>9.8061190089589301E-2</v>
      </c>
      <c r="O1255">
        <v>0.19205923111033699</v>
      </c>
    </row>
    <row r="1256" spans="1:15" x14ac:dyDescent="0.3">
      <c r="A1256">
        <v>5381</v>
      </c>
      <c r="B1256">
        <v>2957</v>
      </c>
      <c r="C1256">
        <v>494</v>
      </c>
      <c r="D1256" t="s">
        <v>19</v>
      </c>
      <c r="E1256" t="s">
        <v>16</v>
      </c>
      <c r="F1256" t="s">
        <v>17</v>
      </c>
      <c r="G1256" t="s">
        <v>26</v>
      </c>
      <c r="H1256">
        <v>281.3</v>
      </c>
      <c r="I1256">
        <v>262</v>
      </c>
      <c r="J1256">
        <v>97.7</v>
      </c>
      <c r="K1256">
        <v>70</v>
      </c>
      <c r="L1256">
        <v>27</v>
      </c>
      <c r="M1256">
        <v>4</v>
      </c>
      <c r="N1256">
        <v>0.115593250773065</v>
      </c>
      <c r="O1256">
        <v>0.178557135462136</v>
      </c>
    </row>
    <row r="1257" spans="1:15" x14ac:dyDescent="0.3">
      <c r="A1257">
        <v>5382</v>
      </c>
      <c r="B1257">
        <v>2957</v>
      </c>
      <c r="C1257">
        <v>494</v>
      </c>
      <c r="D1257" t="s">
        <v>19</v>
      </c>
      <c r="E1257" t="s">
        <v>16</v>
      </c>
      <c r="F1257" t="s">
        <v>17</v>
      </c>
      <c r="G1257" t="s">
        <v>26</v>
      </c>
      <c r="H1257">
        <v>281.3</v>
      </c>
      <c r="I1257">
        <v>262</v>
      </c>
      <c r="J1257">
        <v>97.7</v>
      </c>
      <c r="K1257">
        <v>70</v>
      </c>
      <c r="L1257">
        <v>27</v>
      </c>
      <c r="M1257">
        <v>4</v>
      </c>
      <c r="N1257">
        <v>0.108651542965967</v>
      </c>
      <c r="O1257">
        <v>0.203894153726354</v>
      </c>
    </row>
    <row r="1258" spans="1:15" x14ac:dyDescent="0.3">
      <c r="A1258">
        <v>5383</v>
      </c>
      <c r="B1258">
        <v>2957</v>
      </c>
      <c r="C1258">
        <v>494</v>
      </c>
      <c r="D1258" t="s">
        <v>19</v>
      </c>
      <c r="E1258" t="s">
        <v>16</v>
      </c>
      <c r="F1258" t="s">
        <v>17</v>
      </c>
      <c r="G1258" t="s">
        <v>26</v>
      </c>
      <c r="H1258">
        <v>281.3</v>
      </c>
      <c r="I1258">
        <v>262</v>
      </c>
      <c r="J1258">
        <v>97.7</v>
      </c>
      <c r="K1258">
        <v>70</v>
      </c>
      <c r="L1258">
        <v>27</v>
      </c>
      <c r="M1258">
        <v>4</v>
      </c>
      <c r="N1258">
        <v>0.124104283267851</v>
      </c>
      <c r="O1258">
        <v>0.19820237774083099</v>
      </c>
    </row>
    <row r="1259" spans="1:15" x14ac:dyDescent="0.3">
      <c r="A1259">
        <v>5384</v>
      </c>
      <c r="B1259">
        <v>2957</v>
      </c>
      <c r="C1259">
        <v>494</v>
      </c>
      <c r="D1259" t="s">
        <v>19</v>
      </c>
      <c r="E1259" t="s">
        <v>16</v>
      </c>
      <c r="F1259" t="s">
        <v>17</v>
      </c>
      <c r="G1259" t="s">
        <v>26</v>
      </c>
      <c r="H1259">
        <v>281.3</v>
      </c>
      <c r="I1259">
        <v>262</v>
      </c>
      <c r="J1259">
        <v>97.7</v>
      </c>
      <c r="K1259">
        <v>70</v>
      </c>
      <c r="L1259">
        <v>27</v>
      </c>
      <c r="M1259">
        <v>4</v>
      </c>
      <c r="N1259">
        <v>0.102965094701655</v>
      </c>
      <c r="O1259">
        <v>0.19685650393627299</v>
      </c>
    </row>
    <row r="1260" spans="1:15" x14ac:dyDescent="0.3">
      <c r="A1260">
        <v>5385</v>
      </c>
      <c r="B1260">
        <v>2958</v>
      </c>
      <c r="C1260">
        <v>267</v>
      </c>
      <c r="D1260" t="s">
        <v>23</v>
      </c>
      <c r="E1260" t="s">
        <v>20</v>
      </c>
      <c r="F1260" t="s">
        <v>17</v>
      </c>
      <c r="G1260" t="s">
        <v>18</v>
      </c>
      <c r="H1260">
        <v>275.39999999999998</v>
      </c>
      <c r="I1260">
        <v>244.5</v>
      </c>
      <c r="J1260">
        <v>95.4</v>
      </c>
      <c r="K1260">
        <v>67</v>
      </c>
      <c r="L1260">
        <v>22.2</v>
      </c>
      <c r="M1260">
        <v>9.5</v>
      </c>
      <c r="N1260">
        <v>0.25627956469900798</v>
      </c>
      <c r="O1260">
        <v>0.198653197337371</v>
      </c>
    </row>
    <row r="1261" spans="1:15" x14ac:dyDescent="0.3">
      <c r="A1261">
        <v>5386</v>
      </c>
      <c r="B1261">
        <v>2958</v>
      </c>
      <c r="C1261">
        <v>267</v>
      </c>
      <c r="D1261" t="s">
        <v>23</v>
      </c>
      <c r="E1261" t="s">
        <v>20</v>
      </c>
      <c r="F1261" t="s">
        <v>17</v>
      </c>
      <c r="G1261" t="s">
        <v>18</v>
      </c>
      <c r="H1261">
        <v>275.39999999999998</v>
      </c>
      <c r="I1261">
        <v>244.5</v>
      </c>
      <c r="J1261">
        <v>95.4</v>
      </c>
      <c r="K1261">
        <v>67</v>
      </c>
      <c r="L1261">
        <v>22.2</v>
      </c>
      <c r="M1261">
        <v>9.5</v>
      </c>
      <c r="N1261">
        <v>0.231051757027947</v>
      </c>
      <c r="O1261">
        <v>0.20098073164255301</v>
      </c>
    </row>
    <row r="1262" spans="1:15" x14ac:dyDescent="0.3">
      <c r="A1262">
        <v>5387</v>
      </c>
      <c r="B1262">
        <v>2958</v>
      </c>
      <c r="C1262">
        <v>267</v>
      </c>
      <c r="D1262" t="s">
        <v>23</v>
      </c>
      <c r="E1262" t="s">
        <v>20</v>
      </c>
      <c r="F1262" t="s">
        <v>17</v>
      </c>
      <c r="G1262" t="s">
        <v>18</v>
      </c>
      <c r="H1262">
        <v>275.39999999999998</v>
      </c>
      <c r="I1262">
        <v>244.5</v>
      </c>
      <c r="J1262">
        <v>95.4</v>
      </c>
      <c r="K1262">
        <v>67</v>
      </c>
      <c r="L1262">
        <v>22.2</v>
      </c>
      <c r="M1262">
        <v>9.5</v>
      </c>
      <c r="N1262">
        <v>0.25146599364459399</v>
      </c>
      <c r="O1262">
        <v>0.225324139455711</v>
      </c>
    </row>
    <row r="1263" spans="1:15" x14ac:dyDescent="0.3">
      <c r="A1263">
        <v>5388</v>
      </c>
      <c r="B1263">
        <v>2958</v>
      </c>
      <c r="C1263">
        <v>267</v>
      </c>
      <c r="D1263" t="s">
        <v>23</v>
      </c>
      <c r="E1263" t="s">
        <v>20</v>
      </c>
      <c r="F1263" t="s">
        <v>17</v>
      </c>
      <c r="G1263" t="s">
        <v>18</v>
      </c>
      <c r="H1263">
        <v>275.39999999999998</v>
      </c>
      <c r="I1263">
        <v>244.5</v>
      </c>
      <c r="J1263">
        <v>95.4</v>
      </c>
      <c r="K1263">
        <v>67</v>
      </c>
      <c r="L1263">
        <v>22.2</v>
      </c>
      <c r="M1263">
        <v>9.5</v>
      </c>
      <c r="N1263">
        <v>0.23326314197991599</v>
      </c>
      <c r="O1263">
        <v>0.21017794287695399</v>
      </c>
    </row>
    <row r="1264" spans="1:15" x14ac:dyDescent="0.3">
      <c r="A1264">
        <v>5389</v>
      </c>
      <c r="B1264">
        <v>2958</v>
      </c>
      <c r="C1264">
        <v>267</v>
      </c>
      <c r="D1264" t="s">
        <v>23</v>
      </c>
      <c r="E1264" t="s">
        <v>20</v>
      </c>
      <c r="F1264" t="s">
        <v>17</v>
      </c>
      <c r="G1264" t="s">
        <v>18</v>
      </c>
      <c r="H1264">
        <v>275.39999999999998</v>
      </c>
      <c r="I1264">
        <v>244.5</v>
      </c>
      <c r="J1264">
        <v>95.4</v>
      </c>
      <c r="K1264">
        <v>67</v>
      </c>
      <c r="L1264">
        <v>22.2</v>
      </c>
      <c r="M1264">
        <v>9.5</v>
      </c>
      <c r="N1264">
        <v>0.260198161811593</v>
      </c>
      <c r="O1264">
        <v>0.218113621334144</v>
      </c>
    </row>
    <row r="1265" spans="1:15" x14ac:dyDescent="0.3">
      <c r="A1265">
        <v>5390</v>
      </c>
      <c r="B1265">
        <v>2958</v>
      </c>
      <c r="C1265">
        <v>267</v>
      </c>
      <c r="D1265" t="s">
        <v>23</v>
      </c>
      <c r="E1265" t="s">
        <v>20</v>
      </c>
      <c r="F1265" t="s">
        <v>17</v>
      </c>
      <c r="G1265" t="s">
        <v>18</v>
      </c>
      <c r="H1265">
        <v>275.39999999999998</v>
      </c>
      <c r="I1265">
        <v>244.5</v>
      </c>
      <c r="J1265">
        <v>95.4</v>
      </c>
      <c r="K1265">
        <v>67</v>
      </c>
      <c r="L1265">
        <v>22.2</v>
      </c>
      <c r="M1265">
        <v>9.5</v>
      </c>
      <c r="N1265">
        <v>0.24654906414323699</v>
      </c>
      <c r="O1265">
        <v>0.22215232357300199</v>
      </c>
    </row>
    <row r="1266" spans="1:15" x14ac:dyDescent="0.3">
      <c r="A1266">
        <v>5396</v>
      </c>
      <c r="B1266">
        <v>2960</v>
      </c>
      <c r="C1266">
        <v>226</v>
      </c>
      <c r="D1266" t="s">
        <v>23</v>
      </c>
      <c r="E1266" t="s">
        <v>20</v>
      </c>
      <c r="F1266" t="s">
        <v>17</v>
      </c>
      <c r="G1266" t="s">
        <v>25</v>
      </c>
      <c r="H1266">
        <v>279.10000000000002</v>
      </c>
      <c r="I1266">
        <v>257.5</v>
      </c>
      <c r="J1266">
        <v>97.9</v>
      </c>
      <c r="K1266">
        <v>68</v>
      </c>
      <c r="L1266">
        <v>27.6</v>
      </c>
      <c r="M1266">
        <v>2.5</v>
      </c>
      <c r="N1266">
        <v>0.13788959722836</v>
      </c>
      <c r="O1266">
        <v>0.210155445221475</v>
      </c>
    </row>
    <row r="1267" spans="1:15" x14ac:dyDescent="0.3">
      <c r="A1267">
        <v>5397</v>
      </c>
      <c r="B1267">
        <v>2960</v>
      </c>
      <c r="C1267">
        <v>226</v>
      </c>
      <c r="D1267" t="s">
        <v>23</v>
      </c>
      <c r="E1267" t="s">
        <v>20</v>
      </c>
      <c r="F1267" t="s">
        <v>17</v>
      </c>
      <c r="G1267" t="s">
        <v>25</v>
      </c>
      <c r="H1267">
        <v>279.10000000000002</v>
      </c>
      <c r="I1267">
        <v>257.5</v>
      </c>
      <c r="J1267">
        <v>97.9</v>
      </c>
      <c r="K1267">
        <v>68</v>
      </c>
      <c r="L1267">
        <v>27.6</v>
      </c>
      <c r="M1267">
        <v>2.5</v>
      </c>
      <c r="N1267">
        <v>0.15325911163229</v>
      </c>
      <c r="O1267">
        <v>0.20083174534217901</v>
      </c>
    </row>
    <row r="1268" spans="1:15" x14ac:dyDescent="0.3">
      <c r="A1268">
        <v>5398</v>
      </c>
      <c r="B1268">
        <v>2960</v>
      </c>
      <c r="C1268">
        <v>226</v>
      </c>
      <c r="D1268" t="s">
        <v>23</v>
      </c>
      <c r="E1268" t="s">
        <v>20</v>
      </c>
      <c r="F1268" t="s">
        <v>17</v>
      </c>
      <c r="G1268" t="s">
        <v>25</v>
      </c>
      <c r="H1268">
        <v>279.10000000000002</v>
      </c>
      <c r="I1268">
        <v>257.5</v>
      </c>
      <c r="J1268">
        <v>97.9</v>
      </c>
      <c r="K1268">
        <v>68</v>
      </c>
      <c r="L1268">
        <v>27.6</v>
      </c>
      <c r="M1268">
        <v>2.5</v>
      </c>
      <c r="N1268">
        <v>0.15153616872033801</v>
      </c>
      <c r="O1268">
        <v>0.21164698992661099</v>
      </c>
    </row>
    <row r="1269" spans="1:15" x14ac:dyDescent="0.3">
      <c r="A1269">
        <v>5399</v>
      </c>
      <c r="B1269">
        <v>2960</v>
      </c>
      <c r="C1269">
        <v>226</v>
      </c>
      <c r="D1269" t="s">
        <v>23</v>
      </c>
      <c r="E1269" t="s">
        <v>20</v>
      </c>
      <c r="F1269" t="s">
        <v>17</v>
      </c>
      <c r="G1269" t="s">
        <v>25</v>
      </c>
      <c r="H1269">
        <v>279.10000000000002</v>
      </c>
      <c r="I1269">
        <v>257.5</v>
      </c>
      <c r="J1269">
        <v>97.9</v>
      </c>
      <c r="K1269">
        <v>68</v>
      </c>
      <c r="L1269">
        <v>27.6</v>
      </c>
      <c r="M1269">
        <v>2.5</v>
      </c>
      <c r="N1269">
        <v>0.12470709296033899</v>
      </c>
      <c r="O1269">
        <v>0.21393448794830799</v>
      </c>
    </row>
    <row r="1270" spans="1:15" x14ac:dyDescent="0.3">
      <c r="A1270">
        <v>5412</v>
      </c>
      <c r="B1270">
        <v>2966</v>
      </c>
      <c r="C1270">
        <v>228</v>
      </c>
      <c r="D1270" t="s">
        <v>19</v>
      </c>
      <c r="E1270" t="s">
        <v>16</v>
      </c>
      <c r="F1270" t="s">
        <v>17</v>
      </c>
      <c r="G1270" t="s">
        <v>18</v>
      </c>
      <c r="H1270">
        <v>275.39999999999998</v>
      </c>
      <c r="I1270">
        <v>249.5</v>
      </c>
      <c r="J1270">
        <v>93.4</v>
      </c>
      <c r="K1270">
        <v>64</v>
      </c>
      <c r="L1270">
        <v>28.4</v>
      </c>
      <c r="M1270">
        <v>13</v>
      </c>
      <c r="N1270">
        <v>7.3733672951482504E-2</v>
      </c>
      <c r="O1270">
        <v>0.14440167804002901</v>
      </c>
    </row>
    <row r="1271" spans="1:15" x14ac:dyDescent="0.3">
      <c r="A1271">
        <v>5413</v>
      </c>
      <c r="B1271">
        <v>2966</v>
      </c>
      <c r="C1271">
        <v>228</v>
      </c>
      <c r="D1271" t="s">
        <v>19</v>
      </c>
      <c r="E1271" t="s">
        <v>16</v>
      </c>
      <c r="F1271" t="s">
        <v>17</v>
      </c>
      <c r="G1271" t="s">
        <v>18</v>
      </c>
      <c r="H1271">
        <v>275.39999999999998</v>
      </c>
      <c r="I1271">
        <v>249.5</v>
      </c>
      <c r="J1271">
        <v>93.4</v>
      </c>
      <c r="K1271">
        <v>64</v>
      </c>
      <c r="L1271">
        <v>28.4</v>
      </c>
      <c r="M1271">
        <v>13</v>
      </c>
      <c r="N1271">
        <v>7.4052617675349403E-2</v>
      </c>
      <c r="O1271">
        <v>0.131180759345044</v>
      </c>
    </row>
    <row r="1272" spans="1:15" x14ac:dyDescent="0.3">
      <c r="A1272">
        <v>5414</v>
      </c>
      <c r="B1272">
        <v>2966</v>
      </c>
      <c r="C1272">
        <v>228</v>
      </c>
      <c r="D1272" t="s">
        <v>19</v>
      </c>
      <c r="E1272" t="s">
        <v>16</v>
      </c>
      <c r="F1272" t="s">
        <v>17</v>
      </c>
      <c r="G1272" t="s">
        <v>18</v>
      </c>
      <c r="H1272">
        <v>275.39999999999998</v>
      </c>
      <c r="I1272">
        <v>249.5</v>
      </c>
      <c r="J1272">
        <v>93.4</v>
      </c>
      <c r="K1272">
        <v>64</v>
      </c>
      <c r="L1272">
        <v>28.4</v>
      </c>
      <c r="M1272">
        <v>13</v>
      </c>
      <c r="N1272">
        <v>8.51559472483156E-2</v>
      </c>
      <c r="O1272">
        <v>0.14607176450628701</v>
      </c>
    </row>
    <row r="1273" spans="1:15" x14ac:dyDescent="0.3">
      <c r="A1273">
        <v>5415</v>
      </c>
      <c r="B1273">
        <v>2966</v>
      </c>
      <c r="C1273">
        <v>228</v>
      </c>
      <c r="D1273" t="s">
        <v>19</v>
      </c>
      <c r="E1273" t="s">
        <v>16</v>
      </c>
      <c r="F1273" t="s">
        <v>17</v>
      </c>
      <c r="G1273" t="s">
        <v>18</v>
      </c>
      <c r="H1273">
        <v>275.39999999999998</v>
      </c>
      <c r="I1273">
        <v>249.5</v>
      </c>
      <c r="J1273">
        <v>93.4</v>
      </c>
      <c r="K1273">
        <v>64</v>
      </c>
      <c r="L1273">
        <v>28.4</v>
      </c>
      <c r="M1273">
        <v>13</v>
      </c>
      <c r="N1273">
        <v>8.7099763935194793E-2</v>
      </c>
      <c r="O1273">
        <v>0.14893755360785199</v>
      </c>
    </row>
    <row r="1274" spans="1:15" x14ac:dyDescent="0.3">
      <c r="A1274">
        <v>5416</v>
      </c>
      <c r="B1274">
        <v>2967</v>
      </c>
      <c r="C1274">
        <v>112</v>
      </c>
      <c r="D1274" t="s">
        <v>19</v>
      </c>
      <c r="E1274" t="s">
        <v>20</v>
      </c>
      <c r="F1274" t="s">
        <v>21</v>
      </c>
      <c r="G1274" t="s">
        <v>26</v>
      </c>
      <c r="H1274">
        <v>277.2</v>
      </c>
      <c r="I1274">
        <v>249</v>
      </c>
      <c r="J1274">
        <v>95</v>
      </c>
      <c r="K1274">
        <v>64</v>
      </c>
      <c r="L1274">
        <v>29.1</v>
      </c>
      <c r="M1274">
        <v>7</v>
      </c>
      <c r="N1274">
        <v>0.18491102152061301</v>
      </c>
      <c r="O1274">
        <v>0.12746219933277</v>
      </c>
    </row>
    <row r="1275" spans="1:15" x14ac:dyDescent="0.3">
      <c r="A1275">
        <v>5424</v>
      </c>
      <c r="B1275">
        <v>2970</v>
      </c>
      <c r="C1275">
        <v>274</v>
      </c>
      <c r="D1275" t="s">
        <v>19</v>
      </c>
      <c r="E1275" t="s">
        <v>20</v>
      </c>
      <c r="F1275" t="s">
        <v>17</v>
      </c>
      <c r="G1275" t="s">
        <v>22</v>
      </c>
      <c r="H1275">
        <v>270.8</v>
      </c>
      <c r="I1275">
        <v>241</v>
      </c>
      <c r="J1275">
        <v>93</v>
      </c>
      <c r="K1275">
        <v>61.5</v>
      </c>
      <c r="L1275">
        <v>24.5</v>
      </c>
      <c r="M1275">
        <v>11.5</v>
      </c>
      <c r="N1275">
        <v>0.11752996129981599</v>
      </c>
      <c r="O1275">
        <v>0.194383478651209</v>
      </c>
    </row>
    <row r="1276" spans="1:15" x14ac:dyDescent="0.3">
      <c r="A1276">
        <v>5436</v>
      </c>
      <c r="B1276">
        <v>2977</v>
      </c>
      <c r="C1276">
        <v>388</v>
      </c>
      <c r="D1276" t="s">
        <v>19</v>
      </c>
      <c r="E1276" t="s">
        <v>16</v>
      </c>
      <c r="F1276" t="s">
        <v>21</v>
      </c>
      <c r="G1276" t="s">
        <v>24</v>
      </c>
      <c r="H1276">
        <v>277.10000000000002</v>
      </c>
      <c r="I1276">
        <v>244.5</v>
      </c>
      <c r="J1276">
        <v>91.9</v>
      </c>
      <c r="K1276">
        <v>62.5</v>
      </c>
      <c r="L1276">
        <v>25.9</v>
      </c>
      <c r="M1276">
        <v>7</v>
      </c>
      <c r="N1276">
        <v>0.125217216315543</v>
      </c>
      <c r="O1276">
        <v>9.4235003520077396E-2</v>
      </c>
    </row>
    <row r="1277" spans="1:15" x14ac:dyDescent="0.3">
      <c r="A1277">
        <v>5437</v>
      </c>
      <c r="B1277">
        <v>2977</v>
      </c>
      <c r="C1277">
        <v>388</v>
      </c>
      <c r="D1277" t="s">
        <v>19</v>
      </c>
      <c r="E1277" t="s">
        <v>16</v>
      </c>
      <c r="F1277" t="s">
        <v>21</v>
      </c>
      <c r="G1277" t="s">
        <v>24</v>
      </c>
      <c r="H1277">
        <v>277.10000000000002</v>
      </c>
      <c r="I1277">
        <v>244.5</v>
      </c>
      <c r="J1277">
        <v>91.9</v>
      </c>
      <c r="K1277">
        <v>62.5</v>
      </c>
      <c r="L1277">
        <v>25.9</v>
      </c>
      <c r="M1277">
        <v>7</v>
      </c>
      <c r="N1277">
        <v>0.106687074442728</v>
      </c>
      <c r="O1277">
        <v>7.6906926879832402E-2</v>
      </c>
    </row>
    <row r="1278" spans="1:15" x14ac:dyDescent="0.3">
      <c r="A1278">
        <v>5443</v>
      </c>
      <c r="B1278">
        <v>2980</v>
      </c>
      <c r="C1278">
        <v>12</v>
      </c>
      <c r="D1278" t="s">
        <v>19</v>
      </c>
      <c r="E1278" t="s">
        <v>16</v>
      </c>
      <c r="F1278" t="s">
        <v>17</v>
      </c>
      <c r="G1278" t="s">
        <v>18</v>
      </c>
      <c r="H1278">
        <v>280.39999999999998</v>
      </c>
      <c r="I1278">
        <v>260</v>
      </c>
      <c r="J1278">
        <v>102.4</v>
      </c>
      <c r="K1278">
        <v>69.5</v>
      </c>
      <c r="L1278">
        <v>28.2</v>
      </c>
      <c r="M1278">
        <v>9</v>
      </c>
      <c r="N1278">
        <v>0.15480921958695801</v>
      </c>
      <c r="O1278">
        <v>9.9669298098472303E-2</v>
      </c>
    </row>
    <row r="1279" spans="1:15" x14ac:dyDescent="0.3">
      <c r="A1279">
        <v>5444</v>
      </c>
      <c r="B1279">
        <v>2980</v>
      </c>
      <c r="C1279">
        <v>12</v>
      </c>
      <c r="D1279" t="s">
        <v>19</v>
      </c>
      <c r="E1279" t="s">
        <v>16</v>
      </c>
      <c r="F1279" t="s">
        <v>17</v>
      </c>
      <c r="G1279" t="s">
        <v>18</v>
      </c>
      <c r="H1279">
        <v>280.39999999999998</v>
      </c>
      <c r="I1279">
        <v>260</v>
      </c>
      <c r="J1279">
        <v>102.4</v>
      </c>
      <c r="K1279">
        <v>69.5</v>
      </c>
      <c r="L1279">
        <v>28.2</v>
      </c>
      <c r="M1279">
        <v>9</v>
      </c>
      <c r="N1279">
        <v>0.161803965591231</v>
      </c>
      <c r="O1279">
        <v>0.103881526745022</v>
      </c>
    </row>
    <row r="1280" spans="1:15" x14ac:dyDescent="0.3">
      <c r="A1280">
        <v>5447</v>
      </c>
      <c r="B1280">
        <v>2983</v>
      </c>
      <c r="C1280">
        <v>301</v>
      </c>
      <c r="D1280" t="s">
        <v>15</v>
      </c>
      <c r="E1280" t="s">
        <v>20</v>
      </c>
      <c r="F1280" t="s">
        <v>17</v>
      </c>
      <c r="G1280" t="s">
        <v>18</v>
      </c>
      <c r="H1280">
        <v>275.5</v>
      </c>
      <c r="I1280">
        <v>250</v>
      </c>
      <c r="J1280">
        <v>94.4</v>
      </c>
      <c r="K1280">
        <v>68.5</v>
      </c>
      <c r="L1280">
        <v>22.1</v>
      </c>
      <c r="M1280">
        <v>6</v>
      </c>
      <c r="N1280">
        <v>0.24259321166548001</v>
      </c>
      <c r="O1280">
        <v>1.4047233389156E-2</v>
      </c>
    </row>
    <row r="1281" spans="1:15" x14ac:dyDescent="0.3">
      <c r="A1281">
        <v>5448</v>
      </c>
      <c r="B1281">
        <v>2983</v>
      </c>
      <c r="C1281">
        <v>301</v>
      </c>
      <c r="D1281" t="s">
        <v>15</v>
      </c>
      <c r="E1281" t="s">
        <v>20</v>
      </c>
      <c r="F1281" t="s">
        <v>17</v>
      </c>
      <c r="G1281" t="s">
        <v>18</v>
      </c>
      <c r="H1281">
        <v>275.5</v>
      </c>
      <c r="I1281">
        <v>250</v>
      </c>
      <c r="J1281">
        <v>94.4</v>
      </c>
      <c r="K1281">
        <v>68.5</v>
      </c>
      <c r="L1281">
        <v>22.1</v>
      </c>
      <c r="M1281">
        <v>6</v>
      </c>
      <c r="N1281">
        <v>0.22090060390633001</v>
      </c>
      <c r="O1281">
        <v>1.1760846621907999E-2</v>
      </c>
    </row>
    <row r="1282" spans="1:15" x14ac:dyDescent="0.3">
      <c r="A1282">
        <v>5451</v>
      </c>
      <c r="B1282">
        <v>2985</v>
      </c>
      <c r="C1282">
        <v>269</v>
      </c>
      <c r="D1282" t="s">
        <v>19</v>
      </c>
      <c r="E1282" t="s">
        <v>20</v>
      </c>
      <c r="F1282" t="s">
        <v>21</v>
      </c>
      <c r="G1282" t="s">
        <v>22</v>
      </c>
      <c r="H1282">
        <v>273.8</v>
      </c>
      <c r="I1282">
        <v>243</v>
      </c>
      <c r="J1282">
        <v>91.5</v>
      </c>
      <c r="K1282">
        <v>66</v>
      </c>
      <c r="L1282">
        <v>24.8</v>
      </c>
      <c r="M1282">
        <v>8.5</v>
      </c>
      <c r="N1282">
        <v>8.6405787148824104E-2</v>
      </c>
      <c r="O1282">
        <v>0.122149303941126</v>
      </c>
    </row>
    <row r="1283" spans="1:15" x14ac:dyDescent="0.3">
      <c r="A1283">
        <v>5452</v>
      </c>
      <c r="B1283">
        <v>2985</v>
      </c>
      <c r="C1283">
        <v>269</v>
      </c>
      <c r="D1283" t="s">
        <v>19</v>
      </c>
      <c r="E1283" t="s">
        <v>20</v>
      </c>
      <c r="F1283" t="s">
        <v>21</v>
      </c>
      <c r="G1283" t="s">
        <v>22</v>
      </c>
      <c r="H1283">
        <v>273.8</v>
      </c>
      <c r="I1283">
        <v>243</v>
      </c>
      <c r="J1283">
        <v>91.5</v>
      </c>
      <c r="K1283">
        <v>66</v>
      </c>
      <c r="L1283">
        <v>24.8</v>
      </c>
      <c r="M1283">
        <v>8.5</v>
      </c>
      <c r="N1283">
        <v>7.9950418655879693E-2</v>
      </c>
      <c r="O1283">
        <v>0.12299788043016301</v>
      </c>
    </row>
    <row r="1284" spans="1:15" x14ac:dyDescent="0.3">
      <c r="A1284">
        <v>5453</v>
      </c>
      <c r="B1284">
        <v>2985</v>
      </c>
      <c r="C1284">
        <v>269</v>
      </c>
      <c r="D1284" t="s">
        <v>19</v>
      </c>
      <c r="E1284" t="s">
        <v>20</v>
      </c>
      <c r="F1284" t="s">
        <v>21</v>
      </c>
      <c r="G1284" t="s">
        <v>22</v>
      </c>
      <c r="H1284">
        <v>273.8</v>
      </c>
      <c r="I1284">
        <v>243</v>
      </c>
      <c r="J1284">
        <v>91.5</v>
      </c>
      <c r="K1284">
        <v>66</v>
      </c>
      <c r="L1284">
        <v>24.8</v>
      </c>
      <c r="M1284">
        <v>8.5</v>
      </c>
      <c r="N1284">
        <v>0.102137885848545</v>
      </c>
      <c r="O1284">
        <v>0.148104515924252</v>
      </c>
    </row>
    <row r="1285" spans="1:15" x14ac:dyDescent="0.3">
      <c r="A1285">
        <v>5454</v>
      </c>
      <c r="B1285">
        <v>2985</v>
      </c>
      <c r="C1285">
        <v>269</v>
      </c>
      <c r="D1285" t="s">
        <v>19</v>
      </c>
      <c r="E1285" t="s">
        <v>20</v>
      </c>
      <c r="F1285" t="s">
        <v>21</v>
      </c>
      <c r="G1285" t="s">
        <v>22</v>
      </c>
      <c r="H1285">
        <v>273.8</v>
      </c>
      <c r="I1285">
        <v>243</v>
      </c>
      <c r="J1285">
        <v>91.5</v>
      </c>
      <c r="K1285">
        <v>66</v>
      </c>
      <c r="L1285">
        <v>24.8</v>
      </c>
      <c r="M1285">
        <v>8.5</v>
      </c>
      <c r="N1285">
        <v>9.5409204640269696E-2</v>
      </c>
      <c r="O1285">
        <v>0.118022918490648</v>
      </c>
    </row>
    <row r="1286" spans="1:15" x14ac:dyDescent="0.3">
      <c r="A1286">
        <v>5460</v>
      </c>
      <c r="B1286">
        <v>2988</v>
      </c>
      <c r="C1286">
        <v>300</v>
      </c>
      <c r="D1286" t="s">
        <v>23</v>
      </c>
      <c r="E1286" t="s">
        <v>16</v>
      </c>
      <c r="F1286" t="s">
        <v>21</v>
      </c>
      <c r="G1286" t="s">
        <v>25</v>
      </c>
      <c r="H1286">
        <v>271.5</v>
      </c>
      <c r="I1286">
        <v>258.5</v>
      </c>
      <c r="J1286">
        <v>98.7</v>
      </c>
      <c r="K1286">
        <v>64</v>
      </c>
      <c r="L1286">
        <v>23.3</v>
      </c>
      <c r="M1286">
        <v>8.5</v>
      </c>
      <c r="N1286">
        <v>0.23548163484894999</v>
      </c>
      <c r="O1286">
        <v>0.207231286967997</v>
      </c>
    </row>
    <row r="1287" spans="1:15" x14ac:dyDescent="0.3">
      <c r="A1287">
        <v>5461</v>
      </c>
      <c r="B1287">
        <v>2988</v>
      </c>
      <c r="C1287">
        <v>300</v>
      </c>
      <c r="D1287" t="s">
        <v>23</v>
      </c>
      <c r="E1287" t="s">
        <v>16</v>
      </c>
      <c r="F1287" t="s">
        <v>21</v>
      </c>
      <c r="G1287" t="s">
        <v>25</v>
      </c>
      <c r="H1287">
        <v>271.5</v>
      </c>
      <c r="I1287">
        <v>258.5</v>
      </c>
      <c r="J1287">
        <v>98.7</v>
      </c>
      <c r="K1287">
        <v>64</v>
      </c>
      <c r="L1287">
        <v>23.3</v>
      </c>
      <c r="M1287">
        <v>8.5</v>
      </c>
      <c r="N1287">
        <v>0.254914099293236</v>
      </c>
      <c r="O1287">
        <v>0.19505910621943301</v>
      </c>
    </row>
    <row r="1288" spans="1:15" x14ac:dyDescent="0.3">
      <c r="A1288">
        <v>5462</v>
      </c>
      <c r="B1288">
        <v>2988</v>
      </c>
      <c r="C1288">
        <v>300</v>
      </c>
      <c r="D1288" t="s">
        <v>23</v>
      </c>
      <c r="E1288" t="s">
        <v>16</v>
      </c>
      <c r="F1288" t="s">
        <v>21</v>
      </c>
      <c r="G1288" t="s">
        <v>25</v>
      </c>
      <c r="H1288">
        <v>271.5</v>
      </c>
      <c r="I1288">
        <v>258.5</v>
      </c>
      <c r="J1288">
        <v>98.7</v>
      </c>
      <c r="K1288">
        <v>64</v>
      </c>
      <c r="L1288">
        <v>23.3</v>
      </c>
      <c r="M1288">
        <v>8.5</v>
      </c>
      <c r="N1288">
        <v>0.221944675831062</v>
      </c>
      <c r="O1288">
        <v>0.22885357037228299</v>
      </c>
    </row>
    <row r="1289" spans="1:15" x14ac:dyDescent="0.3">
      <c r="A1289">
        <v>5480</v>
      </c>
      <c r="B1289">
        <v>2995</v>
      </c>
      <c r="C1289">
        <v>99</v>
      </c>
      <c r="D1289" t="s">
        <v>19</v>
      </c>
      <c r="E1289" t="s">
        <v>20</v>
      </c>
      <c r="F1289" t="s">
        <v>21</v>
      </c>
      <c r="G1289" t="s">
        <v>25</v>
      </c>
      <c r="H1289">
        <v>277</v>
      </c>
      <c r="I1289">
        <v>257</v>
      </c>
      <c r="J1289">
        <v>99.7</v>
      </c>
      <c r="K1289">
        <v>69</v>
      </c>
      <c r="L1289">
        <v>26.4</v>
      </c>
      <c r="M1289">
        <v>7.5</v>
      </c>
      <c r="N1289">
        <v>0.124385399639484</v>
      </c>
      <c r="O1289">
        <v>4.6194767515729901E-2</v>
      </c>
    </row>
    <row r="1290" spans="1:15" x14ac:dyDescent="0.3">
      <c r="A1290">
        <v>5481</v>
      </c>
      <c r="B1290">
        <v>2995</v>
      </c>
      <c r="C1290">
        <v>99</v>
      </c>
      <c r="D1290" t="s">
        <v>19</v>
      </c>
      <c r="E1290" t="s">
        <v>20</v>
      </c>
      <c r="F1290" t="s">
        <v>21</v>
      </c>
      <c r="G1290" t="s">
        <v>25</v>
      </c>
      <c r="H1290">
        <v>277</v>
      </c>
      <c r="I1290">
        <v>257</v>
      </c>
      <c r="J1290">
        <v>99.7</v>
      </c>
      <c r="K1290">
        <v>69</v>
      </c>
      <c r="L1290">
        <v>26.4</v>
      </c>
      <c r="M1290">
        <v>7.5</v>
      </c>
      <c r="N1290">
        <v>0.10151016358059201</v>
      </c>
      <c r="O1290">
        <v>5.3041260281537599E-2</v>
      </c>
    </row>
    <row r="1291" spans="1:15" x14ac:dyDescent="0.3">
      <c r="A1291">
        <v>5482</v>
      </c>
      <c r="B1291">
        <v>2995</v>
      </c>
      <c r="C1291">
        <v>99</v>
      </c>
      <c r="D1291" t="s">
        <v>19</v>
      </c>
      <c r="E1291" t="s">
        <v>20</v>
      </c>
      <c r="F1291" t="s">
        <v>21</v>
      </c>
      <c r="G1291" t="s">
        <v>25</v>
      </c>
      <c r="H1291">
        <v>277</v>
      </c>
      <c r="I1291">
        <v>257</v>
      </c>
      <c r="J1291">
        <v>99.7</v>
      </c>
      <c r="K1291">
        <v>69</v>
      </c>
      <c r="L1291">
        <v>26.4</v>
      </c>
      <c r="M1291">
        <v>7.5</v>
      </c>
      <c r="N1291">
        <v>9.9426307244745896E-2</v>
      </c>
      <c r="O1291">
        <v>4.4665855508795101E-2</v>
      </c>
    </row>
    <row r="1292" spans="1:15" x14ac:dyDescent="0.3">
      <c r="A1292">
        <v>5484</v>
      </c>
      <c r="B1292">
        <v>2998</v>
      </c>
      <c r="C1292">
        <v>341</v>
      </c>
      <c r="D1292" t="s">
        <v>19</v>
      </c>
      <c r="E1292" t="s">
        <v>20</v>
      </c>
      <c r="F1292" t="s">
        <v>21</v>
      </c>
      <c r="G1292" t="s">
        <v>25</v>
      </c>
      <c r="H1292">
        <v>273</v>
      </c>
      <c r="I1292">
        <v>246.5</v>
      </c>
      <c r="J1292">
        <v>95.4</v>
      </c>
      <c r="K1292">
        <v>66.5</v>
      </c>
      <c r="L1292">
        <v>26.4</v>
      </c>
      <c r="M1292">
        <v>11</v>
      </c>
      <c r="N1292">
        <v>0.29392567866746999</v>
      </c>
      <c r="O1292">
        <v>6.8391178876741898E-2</v>
      </c>
    </row>
    <row r="1293" spans="1:15" x14ac:dyDescent="0.3">
      <c r="A1293">
        <v>5485</v>
      </c>
      <c r="B1293">
        <v>2998</v>
      </c>
      <c r="C1293">
        <v>341</v>
      </c>
      <c r="D1293" t="s">
        <v>19</v>
      </c>
      <c r="E1293" t="s">
        <v>20</v>
      </c>
      <c r="F1293" t="s">
        <v>21</v>
      </c>
      <c r="G1293" t="s">
        <v>25</v>
      </c>
      <c r="H1293">
        <v>273</v>
      </c>
      <c r="I1293">
        <v>246.5</v>
      </c>
      <c r="J1293">
        <v>95.4</v>
      </c>
      <c r="K1293">
        <v>66.5</v>
      </c>
      <c r="L1293">
        <v>26.4</v>
      </c>
      <c r="M1293">
        <v>11</v>
      </c>
      <c r="N1293">
        <v>0.29112428624790598</v>
      </c>
      <c r="O1293">
        <v>9.2757800030767307E-2</v>
      </c>
    </row>
    <row r="1294" spans="1:15" x14ac:dyDescent="0.3">
      <c r="A1294">
        <v>5487</v>
      </c>
      <c r="B1294">
        <v>2999</v>
      </c>
      <c r="C1294">
        <v>102</v>
      </c>
      <c r="D1294" t="s">
        <v>19</v>
      </c>
      <c r="E1294" t="s">
        <v>20</v>
      </c>
      <c r="F1294" t="s">
        <v>21</v>
      </c>
      <c r="G1294" t="s">
        <v>25</v>
      </c>
      <c r="H1294">
        <v>273.60000000000002</v>
      </c>
      <c r="I1294">
        <v>246</v>
      </c>
      <c r="J1294">
        <v>93.6</v>
      </c>
      <c r="K1294">
        <v>64.5</v>
      </c>
      <c r="L1294">
        <v>25.6</v>
      </c>
      <c r="M1294">
        <v>1.5</v>
      </c>
      <c r="N1294">
        <v>0.18880667788862401</v>
      </c>
      <c r="O1294">
        <v>0.196268365718376</v>
      </c>
    </row>
    <row r="1295" spans="1:15" x14ac:dyDescent="0.3">
      <c r="A1295">
        <v>5488</v>
      </c>
      <c r="B1295">
        <v>2999</v>
      </c>
      <c r="C1295">
        <v>102</v>
      </c>
      <c r="D1295" t="s">
        <v>19</v>
      </c>
      <c r="E1295" t="s">
        <v>20</v>
      </c>
      <c r="F1295" t="s">
        <v>21</v>
      </c>
      <c r="G1295" t="s">
        <v>25</v>
      </c>
      <c r="H1295">
        <v>273.60000000000002</v>
      </c>
      <c r="I1295">
        <v>246</v>
      </c>
      <c r="J1295">
        <v>93.6</v>
      </c>
      <c r="K1295">
        <v>64.5</v>
      </c>
      <c r="L1295">
        <v>25.6</v>
      </c>
      <c r="M1295">
        <v>1.5</v>
      </c>
      <c r="N1295">
        <v>0.18333107419484801</v>
      </c>
      <c r="O1295">
        <v>0.207081016062926</v>
      </c>
    </row>
    <row r="1296" spans="1:15" x14ac:dyDescent="0.3">
      <c r="A1296">
        <v>5493</v>
      </c>
      <c r="B1296">
        <v>300</v>
      </c>
      <c r="C1296">
        <v>20</v>
      </c>
      <c r="D1296" t="s">
        <v>23</v>
      </c>
      <c r="E1296" t="s">
        <v>16</v>
      </c>
      <c r="F1296" t="s">
        <v>21</v>
      </c>
      <c r="G1296" t="s">
        <v>26</v>
      </c>
      <c r="H1296">
        <v>282.7</v>
      </c>
      <c r="I1296">
        <v>260</v>
      </c>
      <c r="J1296">
        <v>103.8</v>
      </c>
      <c r="K1296">
        <v>68</v>
      </c>
      <c r="L1296">
        <v>26.4</v>
      </c>
      <c r="M1296">
        <v>11.5</v>
      </c>
      <c r="N1296">
        <v>7.2197435278654798E-2</v>
      </c>
      <c r="O1296">
        <v>0.25219930389888601</v>
      </c>
    </row>
    <row r="1297" spans="1:15" x14ac:dyDescent="0.3">
      <c r="A1297">
        <v>5494</v>
      </c>
      <c r="B1297">
        <v>300</v>
      </c>
      <c r="C1297">
        <v>20</v>
      </c>
      <c r="D1297" t="s">
        <v>23</v>
      </c>
      <c r="E1297" t="s">
        <v>16</v>
      </c>
      <c r="F1297" t="s">
        <v>21</v>
      </c>
      <c r="G1297" t="s">
        <v>26</v>
      </c>
      <c r="H1297">
        <v>282.7</v>
      </c>
      <c r="I1297">
        <v>260</v>
      </c>
      <c r="J1297">
        <v>103.8</v>
      </c>
      <c r="K1297">
        <v>68</v>
      </c>
      <c r="L1297">
        <v>26.4</v>
      </c>
      <c r="M1297">
        <v>11.5</v>
      </c>
      <c r="N1297">
        <v>0.103642346008081</v>
      </c>
      <c r="O1297">
        <v>0.28650589798206599</v>
      </c>
    </row>
    <row r="1298" spans="1:15" x14ac:dyDescent="0.3">
      <c r="A1298">
        <v>5495</v>
      </c>
      <c r="B1298">
        <v>300</v>
      </c>
      <c r="C1298">
        <v>20</v>
      </c>
      <c r="D1298" t="s">
        <v>23</v>
      </c>
      <c r="E1298" t="s">
        <v>16</v>
      </c>
      <c r="F1298" t="s">
        <v>21</v>
      </c>
      <c r="G1298" t="s">
        <v>26</v>
      </c>
      <c r="H1298">
        <v>282.7</v>
      </c>
      <c r="I1298">
        <v>260</v>
      </c>
      <c r="J1298">
        <v>103.8</v>
      </c>
      <c r="K1298">
        <v>68</v>
      </c>
      <c r="L1298">
        <v>26.4</v>
      </c>
      <c r="M1298">
        <v>11.5</v>
      </c>
      <c r="N1298">
        <v>7.8838251482909599E-2</v>
      </c>
      <c r="O1298">
        <v>0.28024294009013001</v>
      </c>
    </row>
    <row r="1299" spans="1:15" x14ac:dyDescent="0.3">
      <c r="A1299">
        <v>5496</v>
      </c>
      <c r="B1299">
        <v>300</v>
      </c>
      <c r="C1299">
        <v>20</v>
      </c>
      <c r="D1299" t="s">
        <v>23</v>
      </c>
      <c r="E1299" t="s">
        <v>16</v>
      </c>
      <c r="F1299" t="s">
        <v>21</v>
      </c>
      <c r="G1299" t="s">
        <v>26</v>
      </c>
      <c r="H1299">
        <v>282.7</v>
      </c>
      <c r="I1299">
        <v>260</v>
      </c>
      <c r="J1299">
        <v>103.8</v>
      </c>
      <c r="K1299">
        <v>68</v>
      </c>
      <c r="L1299">
        <v>26.4</v>
      </c>
      <c r="M1299">
        <v>11.5</v>
      </c>
      <c r="N1299">
        <v>8.3955889163504202E-2</v>
      </c>
      <c r="O1299">
        <v>0.28571132564539797</v>
      </c>
    </row>
    <row r="1300" spans="1:15" x14ac:dyDescent="0.3">
      <c r="A1300">
        <v>5508</v>
      </c>
      <c r="B1300">
        <v>3004</v>
      </c>
      <c r="C1300">
        <v>344</v>
      </c>
      <c r="D1300" t="s">
        <v>19</v>
      </c>
      <c r="E1300" t="s">
        <v>16</v>
      </c>
      <c r="F1300" t="s">
        <v>17</v>
      </c>
      <c r="G1300" t="s">
        <v>25</v>
      </c>
      <c r="H1300">
        <v>266.7</v>
      </c>
      <c r="I1300">
        <v>231.5</v>
      </c>
      <c r="J1300">
        <v>87.8</v>
      </c>
      <c r="K1300">
        <v>64.5</v>
      </c>
      <c r="L1300">
        <v>22.5</v>
      </c>
      <c r="M1300">
        <v>9</v>
      </c>
      <c r="N1300">
        <v>0.22379842746404199</v>
      </c>
      <c r="O1300">
        <v>0.17071610904787299</v>
      </c>
    </row>
    <row r="1301" spans="1:15" x14ac:dyDescent="0.3">
      <c r="A1301">
        <v>5511</v>
      </c>
      <c r="B1301">
        <v>3005</v>
      </c>
      <c r="C1301">
        <v>31</v>
      </c>
      <c r="D1301" t="s">
        <v>23</v>
      </c>
      <c r="E1301" t="s">
        <v>16</v>
      </c>
      <c r="F1301" t="s">
        <v>17</v>
      </c>
      <c r="G1301" t="s">
        <v>18</v>
      </c>
      <c r="H1301">
        <v>274</v>
      </c>
      <c r="I1301">
        <v>250</v>
      </c>
      <c r="J1301">
        <v>99.4</v>
      </c>
      <c r="K1301">
        <v>68.5</v>
      </c>
      <c r="L1301">
        <v>23.2</v>
      </c>
      <c r="M1301">
        <v>10</v>
      </c>
      <c r="N1301">
        <v>0.201058226738415</v>
      </c>
      <c r="O1301">
        <v>0.177929321654723</v>
      </c>
    </row>
    <row r="1302" spans="1:15" x14ac:dyDescent="0.3">
      <c r="A1302">
        <v>5514</v>
      </c>
      <c r="B1302">
        <v>3007</v>
      </c>
      <c r="C1302">
        <v>466</v>
      </c>
      <c r="D1302" t="s">
        <v>23</v>
      </c>
      <c r="E1302" t="s">
        <v>20</v>
      </c>
      <c r="F1302" t="s">
        <v>17</v>
      </c>
      <c r="G1302" t="s">
        <v>25</v>
      </c>
      <c r="H1302">
        <v>282.10000000000002</v>
      </c>
      <c r="I1302">
        <v>257</v>
      </c>
      <c r="J1302">
        <v>100.3</v>
      </c>
      <c r="K1302">
        <v>68.5</v>
      </c>
      <c r="L1302">
        <v>27.5</v>
      </c>
      <c r="M1302">
        <v>11</v>
      </c>
      <c r="N1302">
        <v>4.8432754416890197E-2</v>
      </c>
      <c r="O1302">
        <v>0.29533637338616903</v>
      </c>
    </row>
    <row r="1303" spans="1:15" x14ac:dyDescent="0.3">
      <c r="A1303">
        <v>5515</v>
      </c>
      <c r="B1303">
        <v>3007</v>
      </c>
      <c r="C1303">
        <v>466</v>
      </c>
      <c r="D1303" t="s">
        <v>23</v>
      </c>
      <c r="E1303" t="s">
        <v>20</v>
      </c>
      <c r="F1303" t="s">
        <v>17</v>
      </c>
      <c r="G1303" t="s">
        <v>25</v>
      </c>
      <c r="H1303">
        <v>282.10000000000002</v>
      </c>
      <c r="I1303">
        <v>257</v>
      </c>
      <c r="J1303">
        <v>100.3</v>
      </c>
      <c r="K1303">
        <v>68.5</v>
      </c>
      <c r="L1303">
        <v>27.5</v>
      </c>
      <c r="M1303">
        <v>11</v>
      </c>
      <c r="N1303">
        <v>4.4416132552156803E-2</v>
      </c>
      <c r="O1303">
        <v>0.27680516006272798</v>
      </c>
    </row>
    <row r="1304" spans="1:15" x14ac:dyDescent="0.3">
      <c r="A1304">
        <v>5516</v>
      </c>
      <c r="B1304">
        <v>3007</v>
      </c>
      <c r="C1304">
        <v>466</v>
      </c>
      <c r="D1304" t="s">
        <v>23</v>
      </c>
      <c r="E1304" t="s">
        <v>20</v>
      </c>
      <c r="F1304" t="s">
        <v>17</v>
      </c>
      <c r="G1304" t="s">
        <v>25</v>
      </c>
      <c r="H1304">
        <v>282.10000000000002</v>
      </c>
      <c r="I1304">
        <v>257</v>
      </c>
      <c r="J1304">
        <v>100.3</v>
      </c>
      <c r="K1304">
        <v>68.5</v>
      </c>
      <c r="L1304">
        <v>27.5</v>
      </c>
      <c r="M1304">
        <v>11</v>
      </c>
      <c r="N1304">
        <v>4.5975668041283703E-2</v>
      </c>
      <c r="O1304">
        <v>0.27224490621555802</v>
      </c>
    </row>
    <row r="1305" spans="1:15" x14ac:dyDescent="0.3">
      <c r="A1305">
        <v>5517</v>
      </c>
      <c r="B1305">
        <v>3007</v>
      </c>
      <c r="C1305">
        <v>466</v>
      </c>
      <c r="D1305" t="s">
        <v>23</v>
      </c>
      <c r="E1305" t="s">
        <v>20</v>
      </c>
      <c r="F1305" t="s">
        <v>17</v>
      </c>
      <c r="G1305" t="s">
        <v>25</v>
      </c>
      <c r="H1305">
        <v>282.10000000000002</v>
      </c>
      <c r="I1305">
        <v>257</v>
      </c>
      <c r="J1305">
        <v>100.3</v>
      </c>
      <c r="K1305">
        <v>68.5</v>
      </c>
      <c r="L1305">
        <v>27.5</v>
      </c>
      <c r="M1305">
        <v>11</v>
      </c>
      <c r="N1305">
        <v>5.9107213100724199E-2</v>
      </c>
      <c r="O1305">
        <v>0.28223775674846602</v>
      </c>
    </row>
    <row r="1306" spans="1:15" x14ac:dyDescent="0.3">
      <c r="A1306">
        <v>5519</v>
      </c>
      <c r="B1306">
        <v>3009</v>
      </c>
      <c r="C1306">
        <v>267</v>
      </c>
      <c r="D1306" t="s">
        <v>23</v>
      </c>
      <c r="E1306" t="s">
        <v>20</v>
      </c>
      <c r="F1306" t="s">
        <v>21</v>
      </c>
      <c r="G1306" t="s">
        <v>25</v>
      </c>
      <c r="H1306">
        <v>275.39999999999998</v>
      </c>
      <c r="I1306">
        <v>244.5</v>
      </c>
      <c r="J1306">
        <v>95.4</v>
      </c>
      <c r="K1306">
        <v>67</v>
      </c>
      <c r="L1306">
        <v>22.2</v>
      </c>
      <c r="M1306">
        <v>9.5</v>
      </c>
      <c r="N1306">
        <v>0.25047464463549701</v>
      </c>
      <c r="O1306">
        <v>0.21819181510553101</v>
      </c>
    </row>
    <row r="1307" spans="1:15" x14ac:dyDescent="0.3">
      <c r="A1307">
        <v>5520</v>
      </c>
      <c r="B1307">
        <v>3009</v>
      </c>
      <c r="C1307">
        <v>267</v>
      </c>
      <c r="D1307" t="s">
        <v>23</v>
      </c>
      <c r="E1307" t="s">
        <v>20</v>
      </c>
      <c r="F1307" t="s">
        <v>21</v>
      </c>
      <c r="G1307" t="s">
        <v>25</v>
      </c>
      <c r="H1307">
        <v>275.39999999999998</v>
      </c>
      <c r="I1307">
        <v>244.5</v>
      </c>
      <c r="J1307">
        <v>95.4</v>
      </c>
      <c r="K1307">
        <v>67</v>
      </c>
      <c r="L1307">
        <v>22.2</v>
      </c>
      <c r="M1307">
        <v>9.5</v>
      </c>
      <c r="N1307">
        <v>0.264323771964525</v>
      </c>
      <c r="O1307">
        <v>0.232913507088258</v>
      </c>
    </row>
    <row r="1308" spans="1:15" x14ac:dyDescent="0.3">
      <c r="A1308">
        <v>5521</v>
      </c>
      <c r="B1308">
        <v>301</v>
      </c>
      <c r="C1308">
        <v>269</v>
      </c>
      <c r="D1308" t="s">
        <v>19</v>
      </c>
      <c r="E1308" t="s">
        <v>20</v>
      </c>
      <c r="F1308" t="s">
        <v>21</v>
      </c>
      <c r="G1308" t="s">
        <v>22</v>
      </c>
      <c r="H1308">
        <v>273.8</v>
      </c>
      <c r="I1308">
        <v>243</v>
      </c>
      <c r="J1308">
        <v>91.5</v>
      </c>
      <c r="K1308">
        <v>66</v>
      </c>
      <c r="L1308">
        <v>24.8</v>
      </c>
      <c r="M1308">
        <v>8.5</v>
      </c>
      <c r="N1308">
        <v>9.5391786272806894E-2</v>
      </c>
      <c r="O1308">
        <v>0.14916569215234901</v>
      </c>
    </row>
    <row r="1309" spans="1:15" x14ac:dyDescent="0.3">
      <c r="A1309">
        <v>5522</v>
      </c>
      <c r="B1309">
        <v>301</v>
      </c>
      <c r="C1309">
        <v>269</v>
      </c>
      <c r="D1309" t="s">
        <v>19</v>
      </c>
      <c r="E1309" t="s">
        <v>20</v>
      </c>
      <c r="F1309" t="s">
        <v>21</v>
      </c>
      <c r="G1309" t="s">
        <v>22</v>
      </c>
      <c r="H1309">
        <v>273.8</v>
      </c>
      <c r="I1309">
        <v>243</v>
      </c>
      <c r="J1309">
        <v>91.5</v>
      </c>
      <c r="K1309">
        <v>66</v>
      </c>
      <c r="L1309">
        <v>24.8</v>
      </c>
      <c r="M1309">
        <v>8.5</v>
      </c>
      <c r="N1309">
        <v>9.8089428220880806E-2</v>
      </c>
      <c r="O1309">
        <v>0.14814781845403599</v>
      </c>
    </row>
    <row r="1310" spans="1:15" x14ac:dyDescent="0.3">
      <c r="A1310">
        <v>5523</v>
      </c>
      <c r="B1310">
        <v>301</v>
      </c>
      <c r="C1310">
        <v>269</v>
      </c>
      <c r="D1310" t="s">
        <v>19</v>
      </c>
      <c r="E1310" t="s">
        <v>20</v>
      </c>
      <c r="F1310" t="s">
        <v>21</v>
      </c>
      <c r="G1310" t="s">
        <v>22</v>
      </c>
      <c r="H1310">
        <v>273.8</v>
      </c>
      <c r="I1310">
        <v>243</v>
      </c>
      <c r="J1310">
        <v>91.5</v>
      </c>
      <c r="K1310">
        <v>66</v>
      </c>
      <c r="L1310">
        <v>24.8</v>
      </c>
      <c r="M1310">
        <v>8.5</v>
      </c>
      <c r="N1310">
        <v>9.1092166959092002E-2</v>
      </c>
      <c r="O1310">
        <v>0.14891832345625799</v>
      </c>
    </row>
    <row r="1311" spans="1:15" x14ac:dyDescent="0.3">
      <c r="A1311">
        <v>5545</v>
      </c>
      <c r="B1311">
        <v>3019</v>
      </c>
      <c r="C1311">
        <v>12</v>
      </c>
      <c r="D1311" t="s">
        <v>19</v>
      </c>
      <c r="E1311" t="s">
        <v>16</v>
      </c>
      <c r="F1311" t="s">
        <v>21</v>
      </c>
      <c r="G1311" t="s">
        <v>25</v>
      </c>
      <c r="H1311">
        <v>280.39999999999998</v>
      </c>
      <c r="I1311">
        <v>260</v>
      </c>
      <c r="J1311">
        <v>102.4</v>
      </c>
      <c r="K1311">
        <v>69.5</v>
      </c>
      <c r="L1311">
        <v>28.2</v>
      </c>
      <c r="M1311">
        <v>9</v>
      </c>
      <c r="N1311">
        <v>0.15065821691359799</v>
      </c>
      <c r="O1311">
        <v>0.134382502291368</v>
      </c>
    </row>
    <row r="1312" spans="1:15" x14ac:dyDescent="0.3">
      <c r="A1312">
        <v>5546</v>
      </c>
      <c r="B1312">
        <v>3019</v>
      </c>
      <c r="C1312">
        <v>12</v>
      </c>
      <c r="D1312" t="s">
        <v>19</v>
      </c>
      <c r="E1312" t="s">
        <v>16</v>
      </c>
      <c r="F1312" t="s">
        <v>21</v>
      </c>
      <c r="G1312" t="s">
        <v>25</v>
      </c>
      <c r="H1312">
        <v>280.39999999999998</v>
      </c>
      <c r="I1312">
        <v>260</v>
      </c>
      <c r="J1312">
        <v>102.4</v>
      </c>
      <c r="K1312">
        <v>69.5</v>
      </c>
      <c r="L1312">
        <v>28.2</v>
      </c>
      <c r="M1312">
        <v>9</v>
      </c>
      <c r="N1312">
        <v>0.14025998727715899</v>
      </c>
      <c r="O1312">
        <v>0.14152743952730701</v>
      </c>
    </row>
    <row r="1313" spans="1:15" x14ac:dyDescent="0.3">
      <c r="A1313">
        <v>5547</v>
      </c>
      <c r="B1313">
        <v>3019</v>
      </c>
      <c r="C1313">
        <v>12</v>
      </c>
      <c r="D1313" t="s">
        <v>19</v>
      </c>
      <c r="E1313" t="s">
        <v>16</v>
      </c>
      <c r="F1313" t="s">
        <v>21</v>
      </c>
      <c r="G1313" t="s">
        <v>25</v>
      </c>
      <c r="H1313">
        <v>280.39999999999998</v>
      </c>
      <c r="I1313">
        <v>260</v>
      </c>
      <c r="J1313">
        <v>102.4</v>
      </c>
      <c r="K1313">
        <v>69.5</v>
      </c>
      <c r="L1313">
        <v>28.2</v>
      </c>
      <c r="M1313">
        <v>9</v>
      </c>
      <c r="N1313">
        <v>0.13654603112729199</v>
      </c>
      <c r="O1313">
        <v>0.14385201113860299</v>
      </c>
    </row>
    <row r="1314" spans="1:15" x14ac:dyDescent="0.3">
      <c r="A1314">
        <v>5552</v>
      </c>
      <c r="B1314">
        <v>3020</v>
      </c>
      <c r="C1314">
        <v>75</v>
      </c>
      <c r="D1314" t="s">
        <v>15</v>
      </c>
      <c r="E1314" t="s">
        <v>20</v>
      </c>
      <c r="F1314" t="s">
        <v>17</v>
      </c>
      <c r="G1314" t="s">
        <v>18</v>
      </c>
      <c r="H1314">
        <v>278</v>
      </c>
      <c r="I1314">
        <v>259</v>
      </c>
      <c r="J1314">
        <v>97.6</v>
      </c>
      <c r="K1314">
        <v>68.5</v>
      </c>
      <c r="L1314">
        <v>26.2</v>
      </c>
      <c r="M1314">
        <v>4</v>
      </c>
      <c r="N1314">
        <v>0.15145533411803799</v>
      </c>
      <c r="O1314">
        <v>0.15064986663444299</v>
      </c>
    </row>
    <row r="1315" spans="1:15" x14ac:dyDescent="0.3">
      <c r="A1315">
        <v>5553</v>
      </c>
      <c r="B1315">
        <v>3020</v>
      </c>
      <c r="C1315">
        <v>75</v>
      </c>
      <c r="D1315" t="s">
        <v>15</v>
      </c>
      <c r="E1315" t="s">
        <v>20</v>
      </c>
      <c r="F1315" t="s">
        <v>17</v>
      </c>
      <c r="G1315" t="s">
        <v>18</v>
      </c>
      <c r="H1315">
        <v>278</v>
      </c>
      <c r="I1315">
        <v>259</v>
      </c>
      <c r="J1315">
        <v>97.6</v>
      </c>
      <c r="K1315">
        <v>68.5</v>
      </c>
      <c r="L1315">
        <v>26.2</v>
      </c>
      <c r="M1315">
        <v>4</v>
      </c>
      <c r="N1315">
        <v>0.14092144575784299</v>
      </c>
      <c r="O1315">
        <v>0.16739922521721201</v>
      </c>
    </row>
    <row r="1316" spans="1:15" x14ac:dyDescent="0.3">
      <c r="A1316">
        <v>5568</v>
      </c>
      <c r="B1316">
        <v>3027</v>
      </c>
      <c r="C1316">
        <v>232</v>
      </c>
      <c r="D1316" t="s">
        <v>19</v>
      </c>
      <c r="E1316" t="s">
        <v>16</v>
      </c>
      <c r="F1316" t="s">
        <v>17</v>
      </c>
      <c r="G1316" t="s">
        <v>18</v>
      </c>
      <c r="H1316">
        <v>277.8</v>
      </c>
      <c r="I1316">
        <v>249</v>
      </c>
      <c r="J1316">
        <v>95.2</v>
      </c>
      <c r="K1316">
        <v>67.5</v>
      </c>
      <c r="L1316">
        <v>28.4</v>
      </c>
      <c r="M1316">
        <v>7.5</v>
      </c>
      <c r="N1316">
        <v>0.13688118743633201</v>
      </c>
      <c r="O1316">
        <v>7.2644820752208794E-2</v>
      </c>
    </row>
    <row r="1317" spans="1:15" x14ac:dyDescent="0.3">
      <c r="A1317">
        <v>5569</v>
      </c>
      <c r="B1317">
        <v>3027</v>
      </c>
      <c r="C1317">
        <v>232</v>
      </c>
      <c r="D1317" t="s">
        <v>19</v>
      </c>
      <c r="E1317" t="s">
        <v>16</v>
      </c>
      <c r="F1317" t="s">
        <v>17</v>
      </c>
      <c r="G1317" t="s">
        <v>18</v>
      </c>
      <c r="H1317">
        <v>277.8</v>
      </c>
      <c r="I1317">
        <v>249</v>
      </c>
      <c r="J1317">
        <v>95.2</v>
      </c>
      <c r="K1317">
        <v>67.5</v>
      </c>
      <c r="L1317">
        <v>28.4</v>
      </c>
      <c r="M1317">
        <v>7.5</v>
      </c>
      <c r="N1317">
        <v>0.13327764596182301</v>
      </c>
      <c r="O1317">
        <v>5.3257210404655198E-2</v>
      </c>
    </row>
    <row r="1318" spans="1:15" x14ac:dyDescent="0.3">
      <c r="A1318">
        <v>5570</v>
      </c>
      <c r="B1318">
        <v>3027</v>
      </c>
      <c r="C1318">
        <v>232</v>
      </c>
      <c r="D1318" t="s">
        <v>19</v>
      </c>
      <c r="E1318" t="s">
        <v>16</v>
      </c>
      <c r="F1318" t="s">
        <v>17</v>
      </c>
      <c r="G1318" t="s">
        <v>18</v>
      </c>
      <c r="H1318">
        <v>277.8</v>
      </c>
      <c r="I1318">
        <v>249</v>
      </c>
      <c r="J1318">
        <v>95.2</v>
      </c>
      <c r="K1318">
        <v>67.5</v>
      </c>
      <c r="L1318">
        <v>28.4</v>
      </c>
      <c r="M1318">
        <v>7.5</v>
      </c>
      <c r="N1318">
        <v>0.150593675607644</v>
      </c>
      <c r="O1318">
        <v>7.8331181372713998E-2</v>
      </c>
    </row>
    <row r="1319" spans="1:15" x14ac:dyDescent="0.3">
      <c r="A1319">
        <v>5571</v>
      </c>
      <c r="B1319">
        <v>3027</v>
      </c>
      <c r="C1319">
        <v>232</v>
      </c>
      <c r="D1319" t="s">
        <v>19</v>
      </c>
      <c r="E1319" t="s">
        <v>16</v>
      </c>
      <c r="F1319" t="s">
        <v>17</v>
      </c>
      <c r="G1319" t="s">
        <v>18</v>
      </c>
      <c r="H1319">
        <v>277.8</v>
      </c>
      <c r="I1319">
        <v>249</v>
      </c>
      <c r="J1319">
        <v>95.2</v>
      </c>
      <c r="K1319">
        <v>67.5</v>
      </c>
      <c r="L1319">
        <v>28.4</v>
      </c>
      <c r="M1319">
        <v>7.5</v>
      </c>
      <c r="N1319">
        <v>0.116611416081204</v>
      </c>
      <c r="O1319">
        <v>7.4335753949590994E-2</v>
      </c>
    </row>
    <row r="1320" spans="1:15" x14ac:dyDescent="0.3">
      <c r="A1320">
        <v>5587</v>
      </c>
      <c r="B1320">
        <v>3032</v>
      </c>
      <c r="C1320">
        <v>228</v>
      </c>
      <c r="D1320" t="s">
        <v>19</v>
      </c>
      <c r="E1320" t="s">
        <v>16</v>
      </c>
      <c r="F1320" t="s">
        <v>21</v>
      </c>
      <c r="G1320" t="s">
        <v>18</v>
      </c>
      <c r="H1320">
        <v>275.39999999999998</v>
      </c>
      <c r="I1320">
        <v>249.5</v>
      </c>
      <c r="J1320">
        <v>93.4</v>
      </c>
      <c r="K1320">
        <v>64</v>
      </c>
      <c r="L1320">
        <v>28.4</v>
      </c>
      <c r="M1320">
        <v>13</v>
      </c>
      <c r="N1320">
        <v>0.10952890847449701</v>
      </c>
      <c r="O1320">
        <v>0.14721986158765499</v>
      </c>
    </row>
    <row r="1321" spans="1:15" x14ac:dyDescent="0.3">
      <c r="A1321">
        <v>5588</v>
      </c>
      <c r="B1321">
        <v>3032</v>
      </c>
      <c r="C1321">
        <v>228</v>
      </c>
      <c r="D1321" t="s">
        <v>19</v>
      </c>
      <c r="E1321" t="s">
        <v>16</v>
      </c>
      <c r="F1321" t="s">
        <v>21</v>
      </c>
      <c r="G1321" t="s">
        <v>18</v>
      </c>
      <c r="H1321">
        <v>275.39999999999998</v>
      </c>
      <c r="I1321">
        <v>249.5</v>
      </c>
      <c r="J1321">
        <v>93.4</v>
      </c>
      <c r="K1321">
        <v>64</v>
      </c>
      <c r="L1321">
        <v>28.4</v>
      </c>
      <c r="M1321">
        <v>13</v>
      </c>
      <c r="N1321">
        <v>9.5165861953494302E-2</v>
      </c>
      <c r="O1321">
        <v>0.15430562662310299</v>
      </c>
    </row>
    <row r="1322" spans="1:15" x14ac:dyDescent="0.3">
      <c r="A1322">
        <v>5609</v>
      </c>
      <c r="B1322">
        <v>3038</v>
      </c>
      <c r="C1322">
        <v>256</v>
      </c>
      <c r="D1322" t="s">
        <v>23</v>
      </c>
      <c r="E1322" t="s">
        <v>16</v>
      </c>
      <c r="F1322" t="s">
        <v>17</v>
      </c>
      <c r="G1322" t="s">
        <v>24</v>
      </c>
      <c r="H1322">
        <v>276.89999999999998</v>
      </c>
      <c r="I1322">
        <v>246</v>
      </c>
      <c r="J1322">
        <v>94.3</v>
      </c>
      <c r="K1322">
        <v>65.5</v>
      </c>
      <c r="L1322">
        <v>25.1</v>
      </c>
      <c r="M1322">
        <v>6</v>
      </c>
      <c r="N1322">
        <v>0.20049011990035601</v>
      </c>
      <c r="O1322">
        <v>0.407480515012902</v>
      </c>
    </row>
    <row r="1323" spans="1:15" x14ac:dyDescent="0.3">
      <c r="A1323">
        <v>5613</v>
      </c>
      <c r="B1323">
        <v>304</v>
      </c>
      <c r="C1323">
        <v>31</v>
      </c>
      <c r="D1323" t="s">
        <v>23</v>
      </c>
      <c r="E1323" t="s">
        <v>16</v>
      </c>
      <c r="F1323" t="s">
        <v>21</v>
      </c>
      <c r="G1323" t="s">
        <v>26</v>
      </c>
      <c r="H1323">
        <v>274</v>
      </c>
      <c r="I1323">
        <v>250</v>
      </c>
      <c r="J1323">
        <v>99.4</v>
      </c>
      <c r="K1323">
        <v>68.5</v>
      </c>
      <c r="L1323">
        <v>23.2</v>
      </c>
      <c r="M1323">
        <v>10</v>
      </c>
      <c r="N1323">
        <v>0.19144409241830501</v>
      </c>
      <c r="O1323">
        <v>0.154575229463602</v>
      </c>
    </row>
    <row r="1324" spans="1:15" x14ac:dyDescent="0.3">
      <c r="A1324">
        <v>5614</v>
      </c>
      <c r="B1324">
        <v>304</v>
      </c>
      <c r="C1324">
        <v>31</v>
      </c>
      <c r="D1324" t="s">
        <v>23</v>
      </c>
      <c r="E1324" t="s">
        <v>16</v>
      </c>
      <c r="F1324" t="s">
        <v>21</v>
      </c>
      <c r="G1324" t="s">
        <v>26</v>
      </c>
      <c r="H1324">
        <v>274</v>
      </c>
      <c r="I1324">
        <v>250</v>
      </c>
      <c r="J1324">
        <v>99.4</v>
      </c>
      <c r="K1324">
        <v>68.5</v>
      </c>
      <c r="L1324">
        <v>23.2</v>
      </c>
      <c r="M1324">
        <v>10</v>
      </c>
      <c r="N1324">
        <v>0.21335745866712</v>
      </c>
      <c r="O1324">
        <v>0.15504521689156001</v>
      </c>
    </row>
    <row r="1325" spans="1:15" x14ac:dyDescent="0.3">
      <c r="A1325">
        <v>5615</v>
      </c>
      <c r="B1325">
        <v>304</v>
      </c>
      <c r="C1325">
        <v>31</v>
      </c>
      <c r="D1325" t="s">
        <v>23</v>
      </c>
      <c r="E1325" t="s">
        <v>16</v>
      </c>
      <c r="F1325" t="s">
        <v>21</v>
      </c>
      <c r="G1325" t="s">
        <v>26</v>
      </c>
      <c r="H1325">
        <v>274</v>
      </c>
      <c r="I1325">
        <v>250</v>
      </c>
      <c r="J1325">
        <v>99.4</v>
      </c>
      <c r="K1325">
        <v>68.5</v>
      </c>
      <c r="L1325">
        <v>23.2</v>
      </c>
      <c r="M1325">
        <v>10</v>
      </c>
      <c r="N1325">
        <v>0.218122751537211</v>
      </c>
      <c r="O1325">
        <v>0.16067543310798599</v>
      </c>
    </row>
    <row r="1326" spans="1:15" x14ac:dyDescent="0.3">
      <c r="A1326">
        <v>5616</v>
      </c>
      <c r="B1326">
        <v>304</v>
      </c>
      <c r="C1326">
        <v>31</v>
      </c>
      <c r="D1326" t="s">
        <v>23</v>
      </c>
      <c r="E1326" t="s">
        <v>16</v>
      </c>
      <c r="F1326" t="s">
        <v>21</v>
      </c>
      <c r="G1326" t="s">
        <v>26</v>
      </c>
      <c r="H1326">
        <v>274</v>
      </c>
      <c r="I1326">
        <v>250</v>
      </c>
      <c r="J1326">
        <v>99.4</v>
      </c>
      <c r="K1326">
        <v>68.5</v>
      </c>
      <c r="L1326">
        <v>23.2</v>
      </c>
      <c r="M1326">
        <v>10</v>
      </c>
      <c r="N1326">
        <v>0.19013511501936201</v>
      </c>
      <c r="O1326">
        <v>0.168204650107668</v>
      </c>
    </row>
    <row r="1327" spans="1:15" x14ac:dyDescent="0.3">
      <c r="A1327">
        <v>5629</v>
      </c>
      <c r="B1327">
        <v>3045</v>
      </c>
      <c r="C1327">
        <v>320</v>
      </c>
      <c r="D1327" t="s">
        <v>19</v>
      </c>
      <c r="E1327" t="s">
        <v>20</v>
      </c>
      <c r="F1327" t="s">
        <v>21</v>
      </c>
      <c r="G1327" t="s">
        <v>22</v>
      </c>
      <c r="H1327">
        <v>279</v>
      </c>
      <c r="I1327">
        <v>253.5</v>
      </c>
      <c r="J1327">
        <v>97.1</v>
      </c>
      <c r="K1327">
        <v>64</v>
      </c>
      <c r="L1327">
        <v>24</v>
      </c>
      <c r="M1327">
        <v>8</v>
      </c>
      <c r="N1327">
        <v>0.161513305679893</v>
      </c>
      <c r="O1327">
        <v>4.8705737475577202E-2</v>
      </c>
    </row>
    <row r="1328" spans="1:15" x14ac:dyDescent="0.3">
      <c r="A1328">
        <v>5630</v>
      </c>
      <c r="B1328">
        <v>3045</v>
      </c>
      <c r="C1328">
        <v>320</v>
      </c>
      <c r="D1328" t="s">
        <v>19</v>
      </c>
      <c r="E1328" t="s">
        <v>20</v>
      </c>
      <c r="F1328" t="s">
        <v>21</v>
      </c>
      <c r="G1328" t="s">
        <v>22</v>
      </c>
      <c r="H1328">
        <v>279</v>
      </c>
      <c r="I1328">
        <v>253.5</v>
      </c>
      <c r="J1328">
        <v>97.1</v>
      </c>
      <c r="K1328">
        <v>64</v>
      </c>
      <c r="L1328">
        <v>24</v>
      </c>
      <c r="M1328">
        <v>8</v>
      </c>
      <c r="N1328">
        <v>0.14710311335805301</v>
      </c>
      <c r="O1328">
        <v>3.1503928305807297E-2</v>
      </c>
    </row>
    <row r="1329" spans="1:15" x14ac:dyDescent="0.3">
      <c r="A1329">
        <v>5631</v>
      </c>
      <c r="B1329">
        <v>3045</v>
      </c>
      <c r="C1329">
        <v>320</v>
      </c>
      <c r="D1329" t="s">
        <v>19</v>
      </c>
      <c r="E1329" t="s">
        <v>20</v>
      </c>
      <c r="F1329" t="s">
        <v>21</v>
      </c>
      <c r="G1329" t="s">
        <v>22</v>
      </c>
      <c r="H1329">
        <v>279</v>
      </c>
      <c r="I1329">
        <v>253.5</v>
      </c>
      <c r="J1329">
        <v>97.1</v>
      </c>
      <c r="K1329">
        <v>64</v>
      </c>
      <c r="L1329">
        <v>24</v>
      </c>
      <c r="M1329">
        <v>8</v>
      </c>
      <c r="N1329">
        <v>0.13720186165051801</v>
      </c>
      <c r="O1329">
        <v>3.4928079174912099E-2</v>
      </c>
    </row>
    <row r="1330" spans="1:15" x14ac:dyDescent="0.3">
      <c r="A1330">
        <v>5632</v>
      </c>
      <c r="B1330">
        <v>3045</v>
      </c>
      <c r="C1330">
        <v>320</v>
      </c>
      <c r="D1330" t="s">
        <v>19</v>
      </c>
      <c r="E1330" t="s">
        <v>20</v>
      </c>
      <c r="F1330" t="s">
        <v>21</v>
      </c>
      <c r="G1330" t="s">
        <v>22</v>
      </c>
      <c r="H1330">
        <v>279</v>
      </c>
      <c r="I1330">
        <v>253.5</v>
      </c>
      <c r="J1330">
        <v>97.1</v>
      </c>
      <c r="K1330">
        <v>64</v>
      </c>
      <c r="L1330">
        <v>24</v>
      </c>
      <c r="M1330">
        <v>8</v>
      </c>
      <c r="N1330">
        <v>0.17487663146872801</v>
      </c>
      <c r="O1330">
        <v>2.0461124918707298E-2</v>
      </c>
    </row>
    <row r="1331" spans="1:15" x14ac:dyDescent="0.3">
      <c r="A1331">
        <v>5633</v>
      </c>
      <c r="B1331">
        <v>3045</v>
      </c>
      <c r="C1331">
        <v>320</v>
      </c>
      <c r="D1331" t="s">
        <v>19</v>
      </c>
      <c r="E1331" t="s">
        <v>20</v>
      </c>
      <c r="F1331" t="s">
        <v>21</v>
      </c>
      <c r="G1331" t="s">
        <v>22</v>
      </c>
      <c r="H1331">
        <v>279</v>
      </c>
      <c r="I1331">
        <v>253.5</v>
      </c>
      <c r="J1331">
        <v>97.1</v>
      </c>
      <c r="K1331">
        <v>64</v>
      </c>
      <c r="L1331">
        <v>24</v>
      </c>
      <c r="M1331">
        <v>8</v>
      </c>
      <c r="N1331">
        <v>0.16227629328307699</v>
      </c>
      <c r="O1331">
        <v>4.6591736658286302E-2</v>
      </c>
    </row>
    <row r="1332" spans="1:15" x14ac:dyDescent="0.3">
      <c r="A1332">
        <v>5634</v>
      </c>
      <c r="B1332">
        <v>3046</v>
      </c>
      <c r="C1332">
        <v>341</v>
      </c>
      <c r="D1332" t="s">
        <v>19</v>
      </c>
      <c r="E1332" t="s">
        <v>20</v>
      </c>
      <c r="F1332" t="s">
        <v>17</v>
      </c>
      <c r="G1332" t="s">
        <v>22</v>
      </c>
      <c r="H1332">
        <v>273</v>
      </c>
      <c r="I1332">
        <v>246.5</v>
      </c>
      <c r="J1332">
        <v>95.4</v>
      </c>
      <c r="K1332">
        <v>66.5</v>
      </c>
      <c r="L1332">
        <v>26.4</v>
      </c>
      <c r="M1332">
        <v>11</v>
      </c>
      <c r="N1332">
        <v>0.305371083687492</v>
      </c>
      <c r="O1332">
        <v>8.1530658139492201E-2</v>
      </c>
    </row>
    <row r="1333" spans="1:15" x14ac:dyDescent="0.3">
      <c r="A1333">
        <v>5635</v>
      </c>
      <c r="B1333">
        <v>3046</v>
      </c>
      <c r="C1333">
        <v>341</v>
      </c>
      <c r="D1333" t="s">
        <v>19</v>
      </c>
      <c r="E1333" t="s">
        <v>20</v>
      </c>
      <c r="F1333" t="s">
        <v>17</v>
      </c>
      <c r="G1333" t="s">
        <v>22</v>
      </c>
      <c r="H1333">
        <v>273</v>
      </c>
      <c r="I1333">
        <v>246.5</v>
      </c>
      <c r="J1333">
        <v>95.4</v>
      </c>
      <c r="K1333">
        <v>66.5</v>
      </c>
      <c r="L1333">
        <v>26.4</v>
      </c>
      <c r="M1333">
        <v>11</v>
      </c>
      <c r="N1333">
        <v>0.27694203280474899</v>
      </c>
      <c r="O1333">
        <v>9.5234348771504301E-2</v>
      </c>
    </row>
    <row r="1334" spans="1:15" x14ac:dyDescent="0.3">
      <c r="A1334">
        <v>5636</v>
      </c>
      <c r="B1334">
        <v>3047</v>
      </c>
      <c r="C1334">
        <v>267</v>
      </c>
      <c r="D1334" t="s">
        <v>23</v>
      </c>
      <c r="E1334" t="s">
        <v>20</v>
      </c>
      <c r="F1334" t="s">
        <v>17</v>
      </c>
      <c r="G1334" t="s">
        <v>24</v>
      </c>
      <c r="H1334">
        <v>275.39999999999998</v>
      </c>
      <c r="I1334">
        <v>244.5</v>
      </c>
      <c r="J1334">
        <v>95.4</v>
      </c>
      <c r="K1334">
        <v>67</v>
      </c>
      <c r="L1334">
        <v>22.2</v>
      </c>
      <c r="M1334">
        <v>9.5</v>
      </c>
      <c r="N1334">
        <v>0.22856942082780601</v>
      </c>
      <c r="O1334">
        <v>0.21715309457662399</v>
      </c>
    </row>
    <row r="1335" spans="1:15" x14ac:dyDescent="0.3">
      <c r="A1335">
        <v>5637</v>
      </c>
      <c r="B1335">
        <v>3047</v>
      </c>
      <c r="C1335">
        <v>267</v>
      </c>
      <c r="D1335" t="s">
        <v>23</v>
      </c>
      <c r="E1335" t="s">
        <v>20</v>
      </c>
      <c r="F1335" t="s">
        <v>17</v>
      </c>
      <c r="G1335" t="s">
        <v>24</v>
      </c>
      <c r="H1335">
        <v>275.39999999999998</v>
      </c>
      <c r="I1335">
        <v>244.5</v>
      </c>
      <c r="J1335">
        <v>95.4</v>
      </c>
      <c r="K1335">
        <v>67</v>
      </c>
      <c r="L1335">
        <v>22.2</v>
      </c>
      <c r="M1335">
        <v>9.5</v>
      </c>
      <c r="N1335">
        <v>0.23290667571197901</v>
      </c>
      <c r="O1335">
        <v>0.22940246604153799</v>
      </c>
    </row>
    <row r="1336" spans="1:15" x14ac:dyDescent="0.3">
      <c r="A1336">
        <v>5638</v>
      </c>
      <c r="B1336">
        <v>3049</v>
      </c>
      <c r="C1336">
        <v>453</v>
      </c>
      <c r="D1336" t="s">
        <v>23</v>
      </c>
      <c r="E1336" t="s">
        <v>20</v>
      </c>
      <c r="F1336" t="s">
        <v>21</v>
      </c>
      <c r="G1336" t="s">
        <v>24</v>
      </c>
      <c r="H1336">
        <v>281.60000000000002</v>
      </c>
      <c r="I1336">
        <v>255.5</v>
      </c>
      <c r="J1336">
        <v>100.4</v>
      </c>
      <c r="K1336">
        <v>70</v>
      </c>
      <c r="L1336">
        <v>25.7</v>
      </c>
      <c r="M1336">
        <v>10</v>
      </c>
      <c r="N1336">
        <v>0.14169115110228001</v>
      </c>
      <c r="O1336">
        <v>0.40811079996217597</v>
      </c>
    </row>
    <row r="1337" spans="1:15" x14ac:dyDescent="0.3">
      <c r="A1337">
        <v>5643</v>
      </c>
      <c r="B1337">
        <v>3050</v>
      </c>
      <c r="C1337">
        <v>32</v>
      </c>
      <c r="D1337" t="s">
        <v>19</v>
      </c>
      <c r="E1337" t="s">
        <v>20</v>
      </c>
      <c r="F1337" t="s">
        <v>17</v>
      </c>
      <c r="G1337" t="s">
        <v>18</v>
      </c>
      <c r="H1337">
        <v>274.8</v>
      </c>
      <c r="I1337">
        <v>261</v>
      </c>
      <c r="J1337">
        <v>101</v>
      </c>
      <c r="K1337">
        <v>66</v>
      </c>
      <c r="L1337">
        <v>24.4</v>
      </c>
      <c r="M1337">
        <v>8.5</v>
      </c>
      <c r="N1337">
        <v>0.13091577619146</v>
      </c>
      <c r="O1337">
        <v>0.159749942958126</v>
      </c>
    </row>
    <row r="1338" spans="1:15" x14ac:dyDescent="0.3">
      <c r="A1338">
        <v>5644</v>
      </c>
      <c r="B1338">
        <v>3050</v>
      </c>
      <c r="C1338">
        <v>32</v>
      </c>
      <c r="D1338" t="s">
        <v>19</v>
      </c>
      <c r="E1338" t="s">
        <v>20</v>
      </c>
      <c r="F1338" t="s">
        <v>17</v>
      </c>
      <c r="G1338" t="s">
        <v>18</v>
      </c>
      <c r="H1338">
        <v>274.8</v>
      </c>
      <c r="I1338">
        <v>261</v>
      </c>
      <c r="J1338">
        <v>101</v>
      </c>
      <c r="K1338">
        <v>66</v>
      </c>
      <c r="L1338">
        <v>24.4</v>
      </c>
      <c r="M1338">
        <v>8.5</v>
      </c>
      <c r="N1338">
        <v>0.109536401845158</v>
      </c>
      <c r="O1338">
        <v>0.14679386614394599</v>
      </c>
    </row>
    <row r="1339" spans="1:15" x14ac:dyDescent="0.3">
      <c r="A1339">
        <v>5650</v>
      </c>
      <c r="B1339">
        <v>3054</v>
      </c>
      <c r="C1339">
        <v>497</v>
      </c>
      <c r="D1339" t="s">
        <v>23</v>
      </c>
      <c r="E1339" t="s">
        <v>20</v>
      </c>
      <c r="F1339" t="s">
        <v>17</v>
      </c>
      <c r="G1339" t="s">
        <v>18</v>
      </c>
      <c r="H1339">
        <v>269.7</v>
      </c>
      <c r="I1339">
        <v>245</v>
      </c>
      <c r="J1339">
        <v>94</v>
      </c>
      <c r="K1339">
        <v>67</v>
      </c>
      <c r="L1339">
        <v>24.2</v>
      </c>
      <c r="M1339">
        <v>9</v>
      </c>
      <c r="N1339">
        <v>0.228717659946476</v>
      </c>
      <c r="O1339">
        <v>0.37289471946319902</v>
      </c>
    </row>
    <row r="1340" spans="1:15" x14ac:dyDescent="0.3">
      <c r="A1340">
        <v>5651</v>
      </c>
      <c r="B1340">
        <v>3054</v>
      </c>
      <c r="C1340">
        <v>497</v>
      </c>
      <c r="D1340" t="s">
        <v>23</v>
      </c>
      <c r="E1340" t="s">
        <v>20</v>
      </c>
      <c r="F1340" t="s">
        <v>17</v>
      </c>
      <c r="G1340" t="s">
        <v>18</v>
      </c>
      <c r="H1340">
        <v>269.7</v>
      </c>
      <c r="I1340">
        <v>245</v>
      </c>
      <c r="J1340">
        <v>94</v>
      </c>
      <c r="K1340">
        <v>67</v>
      </c>
      <c r="L1340">
        <v>24.2</v>
      </c>
      <c r="M1340">
        <v>9</v>
      </c>
      <c r="N1340">
        <v>0.213793597649689</v>
      </c>
      <c r="O1340">
        <v>0.38941663018691602</v>
      </c>
    </row>
    <row r="1341" spans="1:15" x14ac:dyDescent="0.3">
      <c r="A1341">
        <v>5652</v>
      </c>
      <c r="B1341">
        <v>3054</v>
      </c>
      <c r="C1341">
        <v>497</v>
      </c>
      <c r="D1341" t="s">
        <v>23</v>
      </c>
      <c r="E1341" t="s">
        <v>20</v>
      </c>
      <c r="F1341" t="s">
        <v>17</v>
      </c>
      <c r="G1341" t="s">
        <v>18</v>
      </c>
      <c r="H1341">
        <v>269.7</v>
      </c>
      <c r="I1341">
        <v>245</v>
      </c>
      <c r="J1341">
        <v>94</v>
      </c>
      <c r="K1341">
        <v>67</v>
      </c>
      <c r="L1341">
        <v>24.2</v>
      </c>
      <c r="M1341">
        <v>9</v>
      </c>
      <c r="N1341">
        <v>0.230670122111785</v>
      </c>
      <c r="O1341">
        <v>0.35332004447615201</v>
      </c>
    </row>
    <row r="1342" spans="1:15" x14ac:dyDescent="0.3">
      <c r="A1342">
        <v>5653</v>
      </c>
      <c r="B1342">
        <v>3054</v>
      </c>
      <c r="C1342">
        <v>497</v>
      </c>
      <c r="D1342" t="s">
        <v>23</v>
      </c>
      <c r="E1342" t="s">
        <v>20</v>
      </c>
      <c r="F1342" t="s">
        <v>17</v>
      </c>
      <c r="G1342" t="s">
        <v>18</v>
      </c>
      <c r="H1342">
        <v>269.7</v>
      </c>
      <c r="I1342">
        <v>245</v>
      </c>
      <c r="J1342">
        <v>94</v>
      </c>
      <c r="K1342">
        <v>67</v>
      </c>
      <c r="L1342">
        <v>24.2</v>
      </c>
      <c r="M1342">
        <v>9</v>
      </c>
      <c r="N1342">
        <v>0.193084842257738</v>
      </c>
      <c r="O1342">
        <v>0.36823000855995802</v>
      </c>
    </row>
    <row r="1343" spans="1:15" x14ac:dyDescent="0.3">
      <c r="A1343">
        <v>5687</v>
      </c>
      <c r="B1343">
        <v>307</v>
      </c>
      <c r="C1343">
        <v>227</v>
      </c>
      <c r="D1343" t="s">
        <v>15</v>
      </c>
      <c r="E1343" t="s">
        <v>20</v>
      </c>
      <c r="F1343" t="s">
        <v>21</v>
      </c>
      <c r="G1343" t="s">
        <v>18</v>
      </c>
      <c r="H1343">
        <v>281.2</v>
      </c>
      <c r="I1343">
        <v>257</v>
      </c>
      <c r="J1343">
        <v>100.5</v>
      </c>
      <c r="K1343">
        <v>67</v>
      </c>
      <c r="L1343">
        <v>25.4</v>
      </c>
      <c r="M1343">
        <v>12.5</v>
      </c>
      <c r="N1343">
        <v>7.6472296892383496E-2</v>
      </c>
      <c r="O1343">
        <v>0.15213526242449499</v>
      </c>
    </row>
    <row r="1344" spans="1:15" x14ac:dyDescent="0.3">
      <c r="A1344">
        <v>5705</v>
      </c>
      <c r="B1344">
        <v>308</v>
      </c>
      <c r="C1344">
        <v>289</v>
      </c>
      <c r="D1344" t="s">
        <v>23</v>
      </c>
      <c r="E1344" t="s">
        <v>20</v>
      </c>
      <c r="F1344" t="s">
        <v>21</v>
      </c>
      <c r="G1344" t="s">
        <v>22</v>
      </c>
      <c r="H1344">
        <v>279.39999999999998</v>
      </c>
      <c r="I1344">
        <v>256</v>
      </c>
      <c r="J1344">
        <v>95.5</v>
      </c>
      <c r="K1344">
        <v>69.5</v>
      </c>
      <c r="L1344">
        <v>26.8</v>
      </c>
      <c r="M1344">
        <v>13</v>
      </c>
      <c r="N1344">
        <v>0.13265449885167099</v>
      </c>
      <c r="O1344">
        <v>0.451718491500883</v>
      </c>
    </row>
    <row r="1345" spans="1:15" x14ac:dyDescent="0.3">
      <c r="A1345">
        <v>5719</v>
      </c>
      <c r="B1345">
        <v>3084</v>
      </c>
      <c r="C1345">
        <v>497</v>
      </c>
      <c r="D1345" t="s">
        <v>23</v>
      </c>
      <c r="E1345" t="s">
        <v>20</v>
      </c>
      <c r="F1345" t="s">
        <v>17</v>
      </c>
      <c r="G1345" t="s">
        <v>26</v>
      </c>
      <c r="H1345">
        <v>269.7</v>
      </c>
      <c r="I1345">
        <v>245</v>
      </c>
      <c r="J1345">
        <v>94</v>
      </c>
      <c r="K1345">
        <v>67</v>
      </c>
      <c r="L1345">
        <v>24.2</v>
      </c>
      <c r="M1345">
        <v>9</v>
      </c>
      <c r="N1345">
        <v>0.205177009321064</v>
      </c>
      <c r="O1345">
        <v>0.39158918955871702</v>
      </c>
    </row>
    <row r="1346" spans="1:15" x14ac:dyDescent="0.3">
      <c r="A1346">
        <v>5720</v>
      </c>
      <c r="B1346">
        <v>3084</v>
      </c>
      <c r="C1346">
        <v>497</v>
      </c>
      <c r="D1346" t="s">
        <v>23</v>
      </c>
      <c r="E1346" t="s">
        <v>20</v>
      </c>
      <c r="F1346" t="s">
        <v>17</v>
      </c>
      <c r="G1346" t="s">
        <v>26</v>
      </c>
      <c r="H1346">
        <v>269.7</v>
      </c>
      <c r="I1346">
        <v>245</v>
      </c>
      <c r="J1346">
        <v>94</v>
      </c>
      <c r="K1346">
        <v>67</v>
      </c>
      <c r="L1346">
        <v>24.2</v>
      </c>
      <c r="M1346">
        <v>9</v>
      </c>
      <c r="N1346">
        <v>0.22875882512289999</v>
      </c>
      <c r="O1346">
        <v>0.36821739078391702</v>
      </c>
    </row>
    <row r="1347" spans="1:15" x14ac:dyDescent="0.3">
      <c r="A1347">
        <v>5721</v>
      </c>
      <c r="B1347">
        <v>3084</v>
      </c>
      <c r="C1347">
        <v>497</v>
      </c>
      <c r="D1347" t="s">
        <v>23</v>
      </c>
      <c r="E1347" t="s">
        <v>20</v>
      </c>
      <c r="F1347" t="s">
        <v>17</v>
      </c>
      <c r="G1347" t="s">
        <v>26</v>
      </c>
      <c r="H1347">
        <v>269.7</v>
      </c>
      <c r="I1347">
        <v>245</v>
      </c>
      <c r="J1347">
        <v>94</v>
      </c>
      <c r="K1347">
        <v>67</v>
      </c>
      <c r="L1347">
        <v>24.2</v>
      </c>
      <c r="M1347">
        <v>9</v>
      </c>
      <c r="N1347">
        <v>0.21830642756795199</v>
      </c>
      <c r="O1347">
        <v>0.35423857260427699</v>
      </c>
    </row>
    <row r="1348" spans="1:15" x14ac:dyDescent="0.3">
      <c r="A1348">
        <v>5722</v>
      </c>
      <c r="B1348">
        <v>3084</v>
      </c>
      <c r="C1348">
        <v>497</v>
      </c>
      <c r="D1348" t="s">
        <v>23</v>
      </c>
      <c r="E1348" t="s">
        <v>20</v>
      </c>
      <c r="F1348" t="s">
        <v>17</v>
      </c>
      <c r="G1348" t="s">
        <v>26</v>
      </c>
      <c r="H1348">
        <v>269.7</v>
      </c>
      <c r="I1348">
        <v>245</v>
      </c>
      <c r="J1348">
        <v>94</v>
      </c>
      <c r="K1348">
        <v>67</v>
      </c>
      <c r="L1348">
        <v>24.2</v>
      </c>
      <c r="M1348">
        <v>9</v>
      </c>
      <c r="N1348">
        <v>0.19619091108134601</v>
      </c>
      <c r="O1348">
        <v>0.38121950549364603</v>
      </c>
    </row>
    <row r="1349" spans="1:15" x14ac:dyDescent="0.3">
      <c r="A1349">
        <v>5726</v>
      </c>
      <c r="B1349">
        <v>3086</v>
      </c>
      <c r="C1349">
        <v>255</v>
      </c>
      <c r="D1349" t="s">
        <v>19</v>
      </c>
      <c r="E1349" t="s">
        <v>16</v>
      </c>
      <c r="F1349" t="s">
        <v>17</v>
      </c>
      <c r="G1349" t="s">
        <v>26</v>
      </c>
      <c r="H1349">
        <v>278.2</v>
      </c>
      <c r="I1349">
        <v>254.5</v>
      </c>
      <c r="J1349">
        <v>94.5</v>
      </c>
      <c r="K1349">
        <v>67</v>
      </c>
      <c r="L1349">
        <v>27.9</v>
      </c>
      <c r="M1349">
        <v>11.5</v>
      </c>
      <c r="N1349">
        <v>0.27076646698218199</v>
      </c>
      <c r="O1349">
        <v>0.100719229275334</v>
      </c>
    </row>
    <row r="1350" spans="1:15" x14ac:dyDescent="0.3">
      <c r="A1350">
        <v>5728</v>
      </c>
      <c r="B1350">
        <v>3086</v>
      </c>
      <c r="C1350">
        <v>255</v>
      </c>
      <c r="D1350" t="s">
        <v>19</v>
      </c>
      <c r="E1350" t="s">
        <v>16</v>
      </c>
      <c r="F1350" t="s">
        <v>17</v>
      </c>
      <c r="G1350" t="s">
        <v>26</v>
      </c>
      <c r="H1350">
        <v>278.2</v>
      </c>
      <c r="I1350">
        <v>254.5</v>
      </c>
      <c r="J1350">
        <v>94.5</v>
      </c>
      <c r="K1350">
        <v>67</v>
      </c>
      <c r="L1350">
        <v>27.9</v>
      </c>
      <c r="M1350">
        <v>11.5</v>
      </c>
      <c r="N1350">
        <v>0.26556618694723</v>
      </c>
      <c r="O1350">
        <v>0.12938092002326901</v>
      </c>
    </row>
    <row r="1351" spans="1:15" x14ac:dyDescent="0.3">
      <c r="A1351">
        <v>5745</v>
      </c>
      <c r="B1351">
        <v>3091</v>
      </c>
      <c r="C1351">
        <v>26</v>
      </c>
      <c r="D1351" t="s">
        <v>23</v>
      </c>
      <c r="E1351" t="s">
        <v>20</v>
      </c>
      <c r="F1351" t="s">
        <v>17</v>
      </c>
      <c r="G1351" t="s">
        <v>22</v>
      </c>
      <c r="H1351">
        <v>270.5</v>
      </c>
      <c r="I1351">
        <v>243.5</v>
      </c>
      <c r="J1351">
        <v>95.9</v>
      </c>
      <c r="K1351">
        <v>66</v>
      </c>
      <c r="L1351">
        <v>26.9</v>
      </c>
      <c r="M1351">
        <v>6</v>
      </c>
      <c r="N1351">
        <v>0.195424493153352</v>
      </c>
      <c r="O1351">
        <v>0.39243524979699601</v>
      </c>
    </row>
    <row r="1352" spans="1:15" x14ac:dyDescent="0.3">
      <c r="A1352">
        <v>5746</v>
      </c>
      <c r="B1352">
        <v>3091</v>
      </c>
      <c r="C1352">
        <v>26</v>
      </c>
      <c r="D1352" t="s">
        <v>23</v>
      </c>
      <c r="E1352" t="s">
        <v>20</v>
      </c>
      <c r="F1352" t="s">
        <v>17</v>
      </c>
      <c r="G1352" t="s">
        <v>22</v>
      </c>
      <c r="H1352">
        <v>270.5</v>
      </c>
      <c r="I1352">
        <v>243.5</v>
      </c>
      <c r="J1352">
        <v>95.9</v>
      </c>
      <c r="K1352">
        <v>66</v>
      </c>
      <c r="L1352">
        <v>26.9</v>
      </c>
      <c r="M1352">
        <v>6</v>
      </c>
      <c r="N1352">
        <v>0.174975027821755</v>
      </c>
      <c r="O1352">
        <v>0.366255983847453</v>
      </c>
    </row>
    <row r="1353" spans="1:15" x14ac:dyDescent="0.3">
      <c r="A1353">
        <v>5758</v>
      </c>
      <c r="B1353">
        <v>3098</v>
      </c>
      <c r="C1353">
        <v>232</v>
      </c>
      <c r="D1353" t="s">
        <v>19</v>
      </c>
      <c r="E1353" t="s">
        <v>16</v>
      </c>
      <c r="F1353" t="s">
        <v>17</v>
      </c>
      <c r="G1353" t="s">
        <v>25</v>
      </c>
      <c r="H1353">
        <v>277.8</v>
      </c>
      <c r="I1353">
        <v>249</v>
      </c>
      <c r="J1353">
        <v>95.2</v>
      </c>
      <c r="K1353">
        <v>67.5</v>
      </c>
      <c r="L1353">
        <v>28.4</v>
      </c>
      <c r="M1353">
        <v>7.5</v>
      </c>
      <c r="N1353">
        <v>0.121016533445909</v>
      </c>
      <c r="O1353">
        <v>6.4909871690594506E-2</v>
      </c>
    </row>
    <row r="1354" spans="1:15" x14ac:dyDescent="0.3">
      <c r="A1354">
        <v>5759</v>
      </c>
      <c r="B1354">
        <v>3098</v>
      </c>
      <c r="C1354">
        <v>232</v>
      </c>
      <c r="D1354" t="s">
        <v>19</v>
      </c>
      <c r="E1354" t="s">
        <v>16</v>
      </c>
      <c r="F1354" t="s">
        <v>17</v>
      </c>
      <c r="G1354" t="s">
        <v>25</v>
      </c>
      <c r="H1354">
        <v>277.8</v>
      </c>
      <c r="I1354">
        <v>249</v>
      </c>
      <c r="J1354">
        <v>95.2</v>
      </c>
      <c r="K1354">
        <v>67.5</v>
      </c>
      <c r="L1354">
        <v>28.4</v>
      </c>
      <c r="M1354">
        <v>7.5</v>
      </c>
      <c r="N1354">
        <v>0.128438201025454</v>
      </c>
      <c r="O1354">
        <v>7.4327181782887594E-2</v>
      </c>
    </row>
    <row r="1355" spans="1:15" x14ac:dyDescent="0.3">
      <c r="A1355">
        <v>5760</v>
      </c>
      <c r="B1355">
        <v>3098</v>
      </c>
      <c r="C1355">
        <v>232</v>
      </c>
      <c r="D1355" t="s">
        <v>19</v>
      </c>
      <c r="E1355" t="s">
        <v>16</v>
      </c>
      <c r="F1355" t="s">
        <v>17</v>
      </c>
      <c r="G1355" t="s">
        <v>25</v>
      </c>
      <c r="H1355">
        <v>277.8</v>
      </c>
      <c r="I1355">
        <v>249</v>
      </c>
      <c r="J1355">
        <v>95.2</v>
      </c>
      <c r="K1355">
        <v>67.5</v>
      </c>
      <c r="L1355">
        <v>28.4</v>
      </c>
      <c r="M1355">
        <v>7.5</v>
      </c>
      <c r="N1355">
        <v>0.12836031639775999</v>
      </c>
      <c r="O1355">
        <v>5.7511713862902297E-2</v>
      </c>
    </row>
    <row r="1356" spans="1:15" x14ac:dyDescent="0.3">
      <c r="A1356">
        <v>5761</v>
      </c>
      <c r="B1356">
        <v>3098</v>
      </c>
      <c r="C1356">
        <v>232</v>
      </c>
      <c r="D1356" t="s">
        <v>19</v>
      </c>
      <c r="E1356" t="s">
        <v>16</v>
      </c>
      <c r="F1356" t="s">
        <v>17</v>
      </c>
      <c r="G1356" t="s">
        <v>25</v>
      </c>
      <c r="H1356">
        <v>277.8</v>
      </c>
      <c r="I1356">
        <v>249</v>
      </c>
      <c r="J1356">
        <v>95.2</v>
      </c>
      <c r="K1356">
        <v>67.5</v>
      </c>
      <c r="L1356">
        <v>28.4</v>
      </c>
      <c r="M1356">
        <v>7.5</v>
      </c>
      <c r="N1356">
        <v>0.143545598024789</v>
      </c>
      <c r="O1356">
        <v>7.6596631546856905E-2</v>
      </c>
    </row>
    <row r="1357" spans="1:15" x14ac:dyDescent="0.3">
      <c r="A1357">
        <v>5762</v>
      </c>
      <c r="B1357">
        <v>3098</v>
      </c>
      <c r="C1357">
        <v>232</v>
      </c>
      <c r="D1357" t="s">
        <v>19</v>
      </c>
      <c r="E1357" t="s">
        <v>16</v>
      </c>
      <c r="F1357" t="s">
        <v>17</v>
      </c>
      <c r="G1357" t="s">
        <v>25</v>
      </c>
      <c r="H1357">
        <v>277.8</v>
      </c>
      <c r="I1357">
        <v>249</v>
      </c>
      <c r="J1357">
        <v>95.2</v>
      </c>
      <c r="K1357">
        <v>67.5</v>
      </c>
      <c r="L1357">
        <v>28.4</v>
      </c>
      <c r="M1357">
        <v>7.5</v>
      </c>
      <c r="N1357">
        <v>0.13707504373012999</v>
      </c>
      <c r="O1357">
        <v>5.5498606741252302E-2</v>
      </c>
    </row>
    <row r="1358" spans="1:15" x14ac:dyDescent="0.3">
      <c r="A1358">
        <v>5773</v>
      </c>
      <c r="B1358">
        <v>3101</v>
      </c>
      <c r="C1358">
        <v>27</v>
      </c>
      <c r="D1358" t="s">
        <v>19</v>
      </c>
      <c r="E1358" t="s">
        <v>20</v>
      </c>
      <c r="F1358" t="s">
        <v>21</v>
      </c>
      <c r="G1358" t="s">
        <v>26</v>
      </c>
      <c r="H1358">
        <v>276.60000000000002</v>
      </c>
      <c r="I1358">
        <v>251.5</v>
      </c>
      <c r="J1358">
        <v>95.3</v>
      </c>
      <c r="K1358">
        <v>67.5</v>
      </c>
      <c r="L1358">
        <v>29.7</v>
      </c>
      <c r="M1358">
        <v>2</v>
      </c>
      <c r="N1358">
        <v>0.156425272275005</v>
      </c>
      <c r="O1358">
        <v>0.136197622509386</v>
      </c>
    </row>
    <row r="1359" spans="1:15" x14ac:dyDescent="0.3">
      <c r="A1359">
        <v>5774</v>
      </c>
      <c r="B1359">
        <v>3101</v>
      </c>
      <c r="C1359">
        <v>27</v>
      </c>
      <c r="D1359" t="s">
        <v>19</v>
      </c>
      <c r="E1359" t="s">
        <v>20</v>
      </c>
      <c r="F1359" t="s">
        <v>21</v>
      </c>
      <c r="G1359" t="s">
        <v>26</v>
      </c>
      <c r="H1359">
        <v>276.60000000000002</v>
      </c>
      <c r="I1359">
        <v>251.5</v>
      </c>
      <c r="J1359">
        <v>95.3</v>
      </c>
      <c r="K1359">
        <v>67.5</v>
      </c>
      <c r="L1359">
        <v>29.7</v>
      </c>
      <c r="M1359">
        <v>2</v>
      </c>
      <c r="N1359">
        <v>0.145898468436094</v>
      </c>
      <c r="O1359">
        <v>0.15930394667195999</v>
      </c>
    </row>
    <row r="1360" spans="1:15" x14ac:dyDescent="0.3">
      <c r="A1360">
        <v>5789</v>
      </c>
      <c r="B1360">
        <v>3108</v>
      </c>
      <c r="C1360">
        <v>102</v>
      </c>
      <c r="D1360" t="s">
        <v>19</v>
      </c>
      <c r="E1360" t="s">
        <v>20</v>
      </c>
      <c r="F1360" t="s">
        <v>17</v>
      </c>
      <c r="G1360" t="s">
        <v>18</v>
      </c>
      <c r="H1360">
        <v>273.60000000000002</v>
      </c>
      <c r="I1360">
        <v>246</v>
      </c>
      <c r="J1360">
        <v>93.6</v>
      </c>
      <c r="K1360">
        <v>64.5</v>
      </c>
      <c r="L1360">
        <v>25.6</v>
      </c>
      <c r="M1360">
        <v>1.5</v>
      </c>
      <c r="N1360">
        <v>0.14982882757838401</v>
      </c>
      <c r="O1360">
        <v>0.191745046755461</v>
      </c>
    </row>
    <row r="1361" spans="1:15" x14ac:dyDescent="0.3">
      <c r="A1361">
        <v>5790</v>
      </c>
      <c r="B1361">
        <v>3108</v>
      </c>
      <c r="C1361">
        <v>102</v>
      </c>
      <c r="D1361" t="s">
        <v>19</v>
      </c>
      <c r="E1361" t="s">
        <v>20</v>
      </c>
      <c r="F1361" t="s">
        <v>17</v>
      </c>
      <c r="G1361" t="s">
        <v>18</v>
      </c>
      <c r="H1361">
        <v>273.60000000000002</v>
      </c>
      <c r="I1361">
        <v>246</v>
      </c>
      <c r="J1361">
        <v>93.6</v>
      </c>
      <c r="K1361">
        <v>64.5</v>
      </c>
      <c r="L1361">
        <v>25.6</v>
      </c>
      <c r="M1361">
        <v>1.5</v>
      </c>
      <c r="N1361">
        <v>0.14287783995527201</v>
      </c>
      <c r="O1361">
        <v>0.18598824422437499</v>
      </c>
    </row>
    <row r="1362" spans="1:15" x14ac:dyDescent="0.3">
      <c r="A1362">
        <v>5791</v>
      </c>
      <c r="B1362">
        <v>3108</v>
      </c>
      <c r="C1362">
        <v>102</v>
      </c>
      <c r="D1362" t="s">
        <v>19</v>
      </c>
      <c r="E1362" t="s">
        <v>20</v>
      </c>
      <c r="F1362" t="s">
        <v>17</v>
      </c>
      <c r="G1362" t="s">
        <v>18</v>
      </c>
      <c r="H1362">
        <v>273.60000000000002</v>
      </c>
      <c r="I1362">
        <v>246</v>
      </c>
      <c r="J1362">
        <v>93.6</v>
      </c>
      <c r="K1362">
        <v>64.5</v>
      </c>
      <c r="L1362">
        <v>25.6</v>
      </c>
      <c r="M1362">
        <v>1.5</v>
      </c>
      <c r="N1362">
        <v>0.14599926026207499</v>
      </c>
      <c r="O1362">
        <v>0.19784200638553701</v>
      </c>
    </row>
    <row r="1363" spans="1:15" x14ac:dyDescent="0.3">
      <c r="A1363">
        <v>5792</v>
      </c>
      <c r="B1363">
        <v>3108</v>
      </c>
      <c r="C1363">
        <v>102</v>
      </c>
      <c r="D1363" t="s">
        <v>19</v>
      </c>
      <c r="E1363" t="s">
        <v>20</v>
      </c>
      <c r="F1363" t="s">
        <v>17</v>
      </c>
      <c r="G1363" t="s">
        <v>18</v>
      </c>
      <c r="H1363">
        <v>273.60000000000002</v>
      </c>
      <c r="I1363">
        <v>246</v>
      </c>
      <c r="J1363">
        <v>93.6</v>
      </c>
      <c r="K1363">
        <v>64.5</v>
      </c>
      <c r="L1363">
        <v>25.6</v>
      </c>
      <c r="M1363">
        <v>1.5</v>
      </c>
      <c r="N1363">
        <v>0.16120448226567399</v>
      </c>
      <c r="O1363">
        <v>0.18207619498930599</v>
      </c>
    </row>
    <row r="1364" spans="1:15" x14ac:dyDescent="0.3">
      <c r="A1364">
        <v>5801</v>
      </c>
      <c r="B1364">
        <v>3110</v>
      </c>
      <c r="C1364">
        <v>20</v>
      </c>
      <c r="D1364" t="s">
        <v>23</v>
      </c>
      <c r="E1364" t="s">
        <v>16</v>
      </c>
      <c r="F1364" t="s">
        <v>17</v>
      </c>
      <c r="G1364" t="s">
        <v>18</v>
      </c>
      <c r="H1364">
        <v>282.7</v>
      </c>
      <c r="I1364">
        <v>260</v>
      </c>
      <c r="J1364">
        <v>103.8</v>
      </c>
      <c r="K1364">
        <v>68</v>
      </c>
      <c r="L1364">
        <v>26.4</v>
      </c>
      <c r="M1364">
        <v>11.5</v>
      </c>
      <c r="N1364">
        <v>7.9745421022027405E-2</v>
      </c>
      <c r="O1364">
        <v>0.28021900081686202</v>
      </c>
    </row>
    <row r="1365" spans="1:15" x14ac:dyDescent="0.3">
      <c r="A1365">
        <v>5802</v>
      </c>
      <c r="B1365">
        <v>3110</v>
      </c>
      <c r="C1365">
        <v>20</v>
      </c>
      <c r="D1365" t="s">
        <v>23</v>
      </c>
      <c r="E1365" t="s">
        <v>16</v>
      </c>
      <c r="F1365" t="s">
        <v>17</v>
      </c>
      <c r="G1365" t="s">
        <v>18</v>
      </c>
      <c r="H1365">
        <v>282.7</v>
      </c>
      <c r="I1365">
        <v>260</v>
      </c>
      <c r="J1365">
        <v>103.8</v>
      </c>
      <c r="K1365">
        <v>68</v>
      </c>
      <c r="L1365">
        <v>26.4</v>
      </c>
      <c r="M1365">
        <v>11.5</v>
      </c>
      <c r="N1365">
        <v>7.8164901248456001E-2</v>
      </c>
      <c r="O1365">
        <v>0.267264051941067</v>
      </c>
    </row>
    <row r="1366" spans="1:15" x14ac:dyDescent="0.3">
      <c r="A1366">
        <v>5812</v>
      </c>
      <c r="B1366">
        <v>3114</v>
      </c>
      <c r="C1366">
        <v>337</v>
      </c>
      <c r="D1366" t="s">
        <v>23</v>
      </c>
      <c r="E1366" t="s">
        <v>20</v>
      </c>
      <c r="F1366" t="s">
        <v>17</v>
      </c>
      <c r="G1366" t="s">
        <v>18</v>
      </c>
      <c r="H1366">
        <v>279.7</v>
      </c>
      <c r="I1366">
        <v>255</v>
      </c>
      <c r="J1366">
        <v>95.2</v>
      </c>
      <c r="K1366">
        <v>68</v>
      </c>
      <c r="L1366">
        <v>25.3</v>
      </c>
      <c r="M1366">
        <v>5.5</v>
      </c>
      <c r="N1366">
        <v>0.194344539170342</v>
      </c>
      <c r="O1366">
        <v>0.36575855246040401</v>
      </c>
    </row>
    <row r="1367" spans="1:15" x14ac:dyDescent="0.3">
      <c r="A1367">
        <v>5813</v>
      </c>
      <c r="B1367">
        <v>3114</v>
      </c>
      <c r="C1367">
        <v>337</v>
      </c>
      <c r="D1367" t="s">
        <v>23</v>
      </c>
      <c r="E1367" t="s">
        <v>20</v>
      </c>
      <c r="F1367" t="s">
        <v>17</v>
      </c>
      <c r="G1367" t="s">
        <v>18</v>
      </c>
      <c r="H1367">
        <v>279.7</v>
      </c>
      <c r="I1367">
        <v>255</v>
      </c>
      <c r="J1367">
        <v>95.2</v>
      </c>
      <c r="K1367">
        <v>68</v>
      </c>
      <c r="L1367">
        <v>25.3</v>
      </c>
      <c r="M1367">
        <v>5.5</v>
      </c>
      <c r="N1367">
        <v>0.20147911851353301</v>
      </c>
      <c r="O1367">
        <v>0.36013122583940599</v>
      </c>
    </row>
    <row r="1368" spans="1:15" x14ac:dyDescent="0.3">
      <c r="A1368">
        <v>5814</v>
      </c>
      <c r="B1368">
        <v>3114</v>
      </c>
      <c r="C1368">
        <v>337</v>
      </c>
      <c r="D1368" t="s">
        <v>23</v>
      </c>
      <c r="E1368" t="s">
        <v>20</v>
      </c>
      <c r="F1368" t="s">
        <v>17</v>
      </c>
      <c r="G1368" t="s">
        <v>18</v>
      </c>
      <c r="H1368">
        <v>279.7</v>
      </c>
      <c r="I1368">
        <v>255</v>
      </c>
      <c r="J1368">
        <v>95.2</v>
      </c>
      <c r="K1368">
        <v>68</v>
      </c>
      <c r="L1368">
        <v>25.3</v>
      </c>
      <c r="M1368">
        <v>5.5</v>
      </c>
      <c r="N1368">
        <v>0.21098551428065501</v>
      </c>
      <c r="O1368">
        <v>0.34486909292293599</v>
      </c>
    </row>
    <row r="1369" spans="1:15" x14ac:dyDescent="0.3">
      <c r="A1369">
        <v>5815</v>
      </c>
      <c r="B1369">
        <v>3114</v>
      </c>
      <c r="C1369">
        <v>337</v>
      </c>
      <c r="D1369" t="s">
        <v>23</v>
      </c>
      <c r="E1369" t="s">
        <v>20</v>
      </c>
      <c r="F1369" t="s">
        <v>17</v>
      </c>
      <c r="G1369" t="s">
        <v>18</v>
      </c>
      <c r="H1369">
        <v>279.7</v>
      </c>
      <c r="I1369">
        <v>255</v>
      </c>
      <c r="J1369">
        <v>95.2</v>
      </c>
      <c r="K1369">
        <v>68</v>
      </c>
      <c r="L1369">
        <v>25.3</v>
      </c>
      <c r="M1369">
        <v>5.5</v>
      </c>
      <c r="N1369">
        <v>0.218434285523979</v>
      </c>
      <c r="O1369">
        <v>0.36592579158998001</v>
      </c>
    </row>
    <row r="1370" spans="1:15" x14ac:dyDescent="0.3">
      <c r="A1370">
        <v>5816</v>
      </c>
      <c r="B1370">
        <v>3114</v>
      </c>
      <c r="C1370">
        <v>337</v>
      </c>
      <c r="D1370" t="s">
        <v>23</v>
      </c>
      <c r="E1370" t="s">
        <v>20</v>
      </c>
      <c r="F1370" t="s">
        <v>17</v>
      </c>
      <c r="G1370" t="s">
        <v>18</v>
      </c>
      <c r="H1370">
        <v>279.7</v>
      </c>
      <c r="I1370">
        <v>255</v>
      </c>
      <c r="J1370">
        <v>95.2</v>
      </c>
      <c r="K1370">
        <v>68</v>
      </c>
      <c r="L1370">
        <v>25.3</v>
      </c>
      <c r="M1370">
        <v>5.5</v>
      </c>
      <c r="N1370">
        <v>0.216389991899955</v>
      </c>
      <c r="O1370">
        <v>0.34280957376491999</v>
      </c>
    </row>
    <row r="1371" spans="1:15" x14ac:dyDescent="0.3">
      <c r="A1371">
        <v>5827</v>
      </c>
      <c r="B1371">
        <v>3118</v>
      </c>
      <c r="C1371">
        <v>18</v>
      </c>
      <c r="D1371" t="s">
        <v>19</v>
      </c>
      <c r="E1371" t="s">
        <v>20</v>
      </c>
      <c r="F1371" t="s">
        <v>17</v>
      </c>
      <c r="G1371" t="s">
        <v>24</v>
      </c>
      <c r="H1371">
        <v>271.39999999999998</v>
      </c>
      <c r="I1371">
        <v>244</v>
      </c>
      <c r="J1371">
        <v>97.3</v>
      </c>
      <c r="K1371">
        <v>64</v>
      </c>
      <c r="L1371">
        <v>23.3</v>
      </c>
      <c r="M1371">
        <v>6.5</v>
      </c>
      <c r="N1371">
        <v>0.26268261547275501</v>
      </c>
      <c r="O1371">
        <v>1.9233597268361699E-3</v>
      </c>
    </row>
    <row r="1372" spans="1:15" x14ac:dyDescent="0.3">
      <c r="A1372">
        <v>5829</v>
      </c>
      <c r="B1372">
        <v>3118</v>
      </c>
      <c r="C1372">
        <v>18</v>
      </c>
      <c r="D1372" t="s">
        <v>19</v>
      </c>
      <c r="E1372" t="s">
        <v>20</v>
      </c>
      <c r="F1372" t="s">
        <v>17</v>
      </c>
      <c r="G1372" t="s">
        <v>24</v>
      </c>
      <c r="H1372">
        <v>271.39999999999998</v>
      </c>
      <c r="I1372">
        <v>244</v>
      </c>
      <c r="J1372">
        <v>97.3</v>
      </c>
      <c r="K1372">
        <v>64</v>
      </c>
      <c r="L1372">
        <v>23.3</v>
      </c>
      <c r="M1372">
        <v>6.5</v>
      </c>
      <c r="N1372">
        <v>0.24132701374104701</v>
      </c>
      <c r="O1372">
        <v>1.4036107933358501E-2</v>
      </c>
    </row>
    <row r="1373" spans="1:15" x14ac:dyDescent="0.3">
      <c r="A1373">
        <v>5839</v>
      </c>
      <c r="B1373">
        <v>3121</v>
      </c>
      <c r="C1373">
        <v>26</v>
      </c>
      <c r="D1373" t="s">
        <v>23</v>
      </c>
      <c r="E1373" t="s">
        <v>20</v>
      </c>
      <c r="F1373" t="s">
        <v>21</v>
      </c>
      <c r="G1373" t="s">
        <v>22</v>
      </c>
      <c r="H1373">
        <v>270.5</v>
      </c>
      <c r="I1373">
        <v>243.5</v>
      </c>
      <c r="J1373">
        <v>95.9</v>
      </c>
      <c r="K1373">
        <v>66</v>
      </c>
      <c r="L1373">
        <v>26.9</v>
      </c>
      <c r="M1373">
        <v>6</v>
      </c>
      <c r="N1373">
        <v>0.20577866016621901</v>
      </c>
      <c r="O1373">
        <v>0.376193883320736</v>
      </c>
    </row>
    <row r="1374" spans="1:15" x14ac:dyDescent="0.3">
      <c r="A1374">
        <v>5840</v>
      </c>
      <c r="B1374">
        <v>3121</v>
      </c>
      <c r="C1374">
        <v>26</v>
      </c>
      <c r="D1374" t="s">
        <v>23</v>
      </c>
      <c r="E1374" t="s">
        <v>20</v>
      </c>
      <c r="F1374" t="s">
        <v>21</v>
      </c>
      <c r="G1374" t="s">
        <v>22</v>
      </c>
      <c r="H1374">
        <v>270.5</v>
      </c>
      <c r="I1374">
        <v>243.5</v>
      </c>
      <c r="J1374">
        <v>95.9</v>
      </c>
      <c r="K1374">
        <v>66</v>
      </c>
      <c r="L1374">
        <v>26.9</v>
      </c>
      <c r="M1374">
        <v>6</v>
      </c>
      <c r="N1374">
        <v>0.20602511548187</v>
      </c>
      <c r="O1374">
        <v>0.37774055380254701</v>
      </c>
    </row>
    <row r="1375" spans="1:15" x14ac:dyDescent="0.3">
      <c r="A1375">
        <v>5841</v>
      </c>
      <c r="B1375">
        <v>3121</v>
      </c>
      <c r="C1375">
        <v>26</v>
      </c>
      <c r="D1375" t="s">
        <v>23</v>
      </c>
      <c r="E1375" t="s">
        <v>20</v>
      </c>
      <c r="F1375" t="s">
        <v>21</v>
      </c>
      <c r="G1375" t="s">
        <v>22</v>
      </c>
      <c r="H1375">
        <v>270.5</v>
      </c>
      <c r="I1375">
        <v>243.5</v>
      </c>
      <c r="J1375">
        <v>95.9</v>
      </c>
      <c r="K1375">
        <v>66</v>
      </c>
      <c r="L1375">
        <v>26.9</v>
      </c>
      <c r="M1375">
        <v>6</v>
      </c>
      <c r="N1375">
        <v>0.187036471513359</v>
      </c>
      <c r="O1375">
        <v>0.40408945434874299</v>
      </c>
    </row>
    <row r="1376" spans="1:15" x14ac:dyDescent="0.3">
      <c r="A1376">
        <v>5848</v>
      </c>
      <c r="B1376">
        <v>3124</v>
      </c>
      <c r="C1376">
        <v>351</v>
      </c>
      <c r="D1376" t="s">
        <v>23</v>
      </c>
      <c r="E1376" t="s">
        <v>20</v>
      </c>
      <c r="F1376" t="s">
        <v>17</v>
      </c>
      <c r="G1376" t="s">
        <v>18</v>
      </c>
      <c r="H1376">
        <v>277.60000000000002</v>
      </c>
      <c r="I1376">
        <v>246.5</v>
      </c>
      <c r="J1376">
        <v>93.9</v>
      </c>
      <c r="K1376">
        <v>67.5</v>
      </c>
      <c r="L1376">
        <v>27.5</v>
      </c>
      <c r="M1376">
        <v>8</v>
      </c>
      <c r="N1376">
        <v>0.158266894967896</v>
      </c>
      <c r="O1376">
        <v>0.300905560448605</v>
      </c>
    </row>
    <row r="1377" spans="1:15" x14ac:dyDescent="0.3">
      <c r="A1377">
        <v>5849</v>
      </c>
      <c r="B1377">
        <v>3124</v>
      </c>
      <c r="C1377">
        <v>351</v>
      </c>
      <c r="D1377" t="s">
        <v>23</v>
      </c>
      <c r="E1377" t="s">
        <v>20</v>
      </c>
      <c r="F1377" t="s">
        <v>17</v>
      </c>
      <c r="G1377" t="s">
        <v>18</v>
      </c>
      <c r="H1377">
        <v>277.60000000000002</v>
      </c>
      <c r="I1377">
        <v>246.5</v>
      </c>
      <c r="J1377">
        <v>93.9</v>
      </c>
      <c r="K1377">
        <v>67.5</v>
      </c>
      <c r="L1377">
        <v>27.5</v>
      </c>
      <c r="M1377">
        <v>8</v>
      </c>
      <c r="N1377">
        <v>0.141731802383644</v>
      </c>
      <c r="O1377">
        <v>0.29987765232858199</v>
      </c>
    </row>
    <row r="1378" spans="1:15" x14ac:dyDescent="0.3">
      <c r="A1378">
        <v>5850</v>
      </c>
      <c r="B1378">
        <v>3124</v>
      </c>
      <c r="C1378">
        <v>351</v>
      </c>
      <c r="D1378" t="s">
        <v>23</v>
      </c>
      <c r="E1378" t="s">
        <v>20</v>
      </c>
      <c r="F1378" t="s">
        <v>17</v>
      </c>
      <c r="G1378" t="s">
        <v>18</v>
      </c>
      <c r="H1378">
        <v>277.60000000000002</v>
      </c>
      <c r="I1378">
        <v>246.5</v>
      </c>
      <c r="J1378">
        <v>93.9</v>
      </c>
      <c r="K1378">
        <v>67.5</v>
      </c>
      <c r="L1378">
        <v>27.5</v>
      </c>
      <c r="M1378">
        <v>8</v>
      </c>
      <c r="N1378">
        <v>0.17623003253410299</v>
      </c>
      <c r="O1378">
        <v>0.31549620482938501</v>
      </c>
    </row>
    <row r="1379" spans="1:15" x14ac:dyDescent="0.3">
      <c r="A1379">
        <v>5871</v>
      </c>
      <c r="B1379">
        <v>313</v>
      </c>
      <c r="C1379">
        <v>42</v>
      </c>
      <c r="D1379" t="s">
        <v>23</v>
      </c>
      <c r="E1379" t="s">
        <v>20</v>
      </c>
      <c r="F1379" t="s">
        <v>21</v>
      </c>
      <c r="G1379" t="s">
        <v>26</v>
      </c>
      <c r="H1379">
        <v>280.10000000000002</v>
      </c>
      <c r="I1379">
        <v>241.5</v>
      </c>
      <c r="J1379">
        <v>94.5</v>
      </c>
      <c r="K1379">
        <v>66</v>
      </c>
      <c r="L1379">
        <v>29.4</v>
      </c>
      <c r="M1379">
        <v>8.5</v>
      </c>
      <c r="N1379">
        <v>5.9116675383167401E-2</v>
      </c>
      <c r="O1379">
        <v>0.39019385895972603</v>
      </c>
    </row>
    <row r="1380" spans="1:15" x14ac:dyDescent="0.3">
      <c r="A1380">
        <v>5873</v>
      </c>
      <c r="B1380">
        <v>3130</v>
      </c>
      <c r="C1380">
        <v>42</v>
      </c>
      <c r="D1380" t="s">
        <v>23</v>
      </c>
      <c r="E1380" t="s">
        <v>20</v>
      </c>
      <c r="F1380" t="s">
        <v>21</v>
      </c>
      <c r="G1380" t="s">
        <v>25</v>
      </c>
      <c r="H1380">
        <v>280.10000000000002</v>
      </c>
      <c r="I1380">
        <v>241.5</v>
      </c>
      <c r="J1380">
        <v>94.5</v>
      </c>
      <c r="K1380">
        <v>66</v>
      </c>
      <c r="L1380">
        <v>29.4</v>
      </c>
      <c r="M1380">
        <v>8.5</v>
      </c>
      <c r="N1380">
        <v>5.4373215089465403E-2</v>
      </c>
      <c r="O1380">
        <v>0.37932586759091502</v>
      </c>
    </row>
    <row r="1381" spans="1:15" x14ac:dyDescent="0.3">
      <c r="A1381">
        <v>5876</v>
      </c>
      <c r="B1381">
        <v>3132</v>
      </c>
      <c r="C1381">
        <v>443</v>
      </c>
      <c r="D1381" t="s">
        <v>19</v>
      </c>
      <c r="E1381" t="s">
        <v>20</v>
      </c>
      <c r="F1381" t="s">
        <v>17</v>
      </c>
      <c r="G1381" t="s">
        <v>22</v>
      </c>
      <c r="H1381">
        <v>272.5</v>
      </c>
      <c r="I1381">
        <v>239.5</v>
      </c>
      <c r="J1381">
        <v>96</v>
      </c>
      <c r="K1381">
        <v>64.5</v>
      </c>
      <c r="L1381">
        <v>20.399999999999999</v>
      </c>
      <c r="M1381">
        <v>10</v>
      </c>
      <c r="N1381">
        <v>0.22418836246321899</v>
      </c>
      <c r="O1381">
        <v>5.2729368566033302E-2</v>
      </c>
    </row>
    <row r="1382" spans="1:15" x14ac:dyDescent="0.3">
      <c r="A1382">
        <v>5877</v>
      </c>
      <c r="B1382">
        <v>3132</v>
      </c>
      <c r="C1382">
        <v>443</v>
      </c>
      <c r="D1382" t="s">
        <v>19</v>
      </c>
      <c r="E1382" t="s">
        <v>20</v>
      </c>
      <c r="F1382" t="s">
        <v>17</v>
      </c>
      <c r="G1382" t="s">
        <v>22</v>
      </c>
      <c r="H1382">
        <v>272.5</v>
      </c>
      <c r="I1382">
        <v>239.5</v>
      </c>
      <c r="J1382">
        <v>96</v>
      </c>
      <c r="K1382">
        <v>64.5</v>
      </c>
      <c r="L1382">
        <v>20.399999999999999</v>
      </c>
      <c r="M1382">
        <v>10</v>
      </c>
      <c r="N1382">
        <v>0.229962648563967</v>
      </c>
      <c r="O1382">
        <v>5.5148012638816198E-2</v>
      </c>
    </row>
    <row r="1383" spans="1:15" x14ac:dyDescent="0.3">
      <c r="A1383">
        <v>5928</v>
      </c>
      <c r="B1383">
        <v>3153</v>
      </c>
      <c r="C1383">
        <v>246</v>
      </c>
      <c r="D1383" t="s">
        <v>23</v>
      </c>
      <c r="E1383" t="s">
        <v>16</v>
      </c>
      <c r="F1383" t="s">
        <v>17</v>
      </c>
      <c r="G1383" t="s">
        <v>25</v>
      </c>
      <c r="H1383">
        <v>278.2</v>
      </c>
      <c r="I1383">
        <v>257</v>
      </c>
      <c r="J1383">
        <v>97.9</v>
      </c>
      <c r="K1383">
        <v>67</v>
      </c>
      <c r="L1383">
        <v>24.3</v>
      </c>
      <c r="M1383">
        <v>12.5</v>
      </c>
      <c r="N1383">
        <v>0.16376571314175201</v>
      </c>
      <c r="O1383">
        <v>0.381785499912628</v>
      </c>
    </row>
    <row r="1384" spans="1:15" x14ac:dyDescent="0.3">
      <c r="A1384">
        <v>5969</v>
      </c>
      <c r="B1384">
        <v>3169</v>
      </c>
      <c r="C1384">
        <v>18</v>
      </c>
      <c r="D1384" t="s">
        <v>19</v>
      </c>
      <c r="E1384" t="s">
        <v>20</v>
      </c>
      <c r="F1384" t="s">
        <v>17</v>
      </c>
      <c r="G1384" t="s">
        <v>22</v>
      </c>
      <c r="H1384">
        <v>271.39999999999998</v>
      </c>
      <c r="I1384">
        <v>244</v>
      </c>
      <c r="J1384">
        <v>97.3</v>
      </c>
      <c r="K1384">
        <v>64</v>
      </c>
      <c r="L1384">
        <v>23.3</v>
      </c>
      <c r="M1384">
        <v>6.5</v>
      </c>
      <c r="N1384">
        <v>0.25557138993324102</v>
      </c>
      <c r="O1384">
        <v>1.28433041268649E-3</v>
      </c>
    </row>
    <row r="1385" spans="1:15" x14ac:dyDescent="0.3">
      <c r="A1385">
        <v>5970</v>
      </c>
      <c r="B1385">
        <v>3169</v>
      </c>
      <c r="C1385">
        <v>18</v>
      </c>
      <c r="D1385" t="s">
        <v>19</v>
      </c>
      <c r="E1385" t="s">
        <v>20</v>
      </c>
      <c r="F1385" t="s">
        <v>17</v>
      </c>
      <c r="G1385" t="s">
        <v>22</v>
      </c>
      <c r="H1385">
        <v>271.39999999999998</v>
      </c>
      <c r="I1385">
        <v>244</v>
      </c>
      <c r="J1385">
        <v>97.3</v>
      </c>
      <c r="K1385">
        <v>64</v>
      </c>
      <c r="L1385">
        <v>23.3</v>
      </c>
      <c r="M1385">
        <v>6.5</v>
      </c>
      <c r="N1385">
        <v>0.246620135380444</v>
      </c>
      <c r="O1385">
        <v>2.73853225236077E-3</v>
      </c>
    </row>
    <row r="1386" spans="1:15" x14ac:dyDescent="0.3">
      <c r="A1386">
        <v>5975</v>
      </c>
      <c r="B1386">
        <v>3171</v>
      </c>
      <c r="C1386">
        <v>289</v>
      </c>
      <c r="D1386" t="s">
        <v>23</v>
      </c>
      <c r="E1386" t="s">
        <v>20</v>
      </c>
      <c r="F1386" t="s">
        <v>21</v>
      </c>
      <c r="G1386" t="s">
        <v>25</v>
      </c>
      <c r="H1386">
        <v>279.39999999999998</v>
      </c>
      <c r="I1386">
        <v>256</v>
      </c>
      <c r="J1386">
        <v>95.5</v>
      </c>
      <c r="K1386">
        <v>69.5</v>
      </c>
      <c r="L1386">
        <v>26.8</v>
      </c>
      <c r="M1386">
        <v>13</v>
      </c>
      <c r="N1386">
        <v>0.12553890760325701</v>
      </c>
      <c r="O1386">
        <v>0.45096917304543499</v>
      </c>
    </row>
    <row r="1387" spans="1:15" x14ac:dyDescent="0.3">
      <c r="A1387">
        <v>5976</v>
      </c>
      <c r="B1387">
        <v>3172</v>
      </c>
      <c r="C1387">
        <v>154</v>
      </c>
      <c r="D1387" t="s">
        <v>23</v>
      </c>
      <c r="E1387" t="s">
        <v>20</v>
      </c>
      <c r="F1387" t="s">
        <v>21</v>
      </c>
      <c r="G1387" t="s">
        <v>22</v>
      </c>
      <c r="H1387">
        <v>278.39999999999998</v>
      </c>
      <c r="I1387">
        <v>245</v>
      </c>
      <c r="J1387">
        <v>94.5</v>
      </c>
      <c r="K1387">
        <v>64</v>
      </c>
      <c r="L1387">
        <v>25.4</v>
      </c>
      <c r="M1387">
        <v>10.5</v>
      </c>
      <c r="N1387">
        <v>0.159721480577942</v>
      </c>
      <c r="O1387">
        <v>0.33762312183839399</v>
      </c>
    </row>
    <row r="1388" spans="1:15" x14ac:dyDescent="0.3">
      <c r="A1388">
        <v>5977</v>
      </c>
      <c r="B1388">
        <v>3172</v>
      </c>
      <c r="C1388">
        <v>154</v>
      </c>
      <c r="D1388" t="s">
        <v>23</v>
      </c>
      <c r="E1388" t="s">
        <v>20</v>
      </c>
      <c r="F1388" t="s">
        <v>21</v>
      </c>
      <c r="G1388" t="s">
        <v>22</v>
      </c>
      <c r="H1388">
        <v>278.39999999999998</v>
      </c>
      <c r="I1388">
        <v>245</v>
      </c>
      <c r="J1388">
        <v>94.5</v>
      </c>
      <c r="K1388">
        <v>64</v>
      </c>
      <c r="L1388">
        <v>25.4</v>
      </c>
      <c r="M1388">
        <v>10.5</v>
      </c>
      <c r="N1388">
        <v>0.14698816095030601</v>
      </c>
      <c r="O1388">
        <v>0.335232357153192</v>
      </c>
    </row>
    <row r="1389" spans="1:15" x14ac:dyDescent="0.3">
      <c r="A1389">
        <v>5978</v>
      </c>
      <c r="B1389">
        <v>3172</v>
      </c>
      <c r="C1389">
        <v>154</v>
      </c>
      <c r="D1389" t="s">
        <v>23</v>
      </c>
      <c r="E1389" t="s">
        <v>20</v>
      </c>
      <c r="F1389" t="s">
        <v>21</v>
      </c>
      <c r="G1389" t="s">
        <v>22</v>
      </c>
      <c r="H1389">
        <v>278.39999999999998</v>
      </c>
      <c r="I1389">
        <v>245</v>
      </c>
      <c r="J1389">
        <v>94.5</v>
      </c>
      <c r="K1389">
        <v>64</v>
      </c>
      <c r="L1389">
        <v>25.4</v>
      </c>
      <c r="M1389">
        <v>10.5</v>
      </c>
      <c r="N1389">
        <v>0.151928633347689</v>
      </c>
      <c r="O1389">
        <v>0.345635206647537</v>
      </c>
    </row>
    <row r="1390" spans="1:15" x14ac:dyDescent="0.3">
      <c r="A1390">
        <v>5980</v>
      </c>
      <c r="B1390">
        <v>3173</v>
      </c>
      <c r="C1390">
        <v>28</v>
      </c>
      <c r="D1390" t="s">
        <v>19</v>
      </c>
      <c r="E1390" t="s">
        <v>20</v>
      </c>
      <c r="F1390" t="s">
        <v>17</v>
      </c>
      <c r="G1390" t="s">
        <v>24</v>
      </c>
      <c r="H1390">
        <v>274.39999999999998</v>
      </c>
      <c r="I1390">
        <v>243.5</v>
      </c>
      <c r="J1390">
        <v>94.3</v>
      </c>
      <c r="K1390">
        <v>65.5</v>
      </c>
      <c r="L1390">
        <v>28</v>
      </c>
      <c r="M1390">
        <v>5.5</v>
      </c>
      <c r="N1390">
        <v>0.29467134064906703</v>
      </c>
      <c r="O1390">
        <v>9.5433500564508E-2</v>
      </c>
    </row>
    <row r="1391" spans="1:15" x14ac:dyDescent="0.3">
      <c r="A1391">
        <v>5991</v>
      </c>
      <c r="B1391">
        <v>3178</v>
      </c>
      <c r="C1391">
        <v>226</v>
      </c>
      <c r="D1391" t="s">
        <v>23</v>
      </c>
      <c r="E1391" t="s">
        <v>20</v>
      </c>
      <c r="F1391" t="s">
        <v>17</v>
      </c>
      <c r="G1391" t="s">
        <v>25</v>
      </c>
      <c r="H1391">
        <v>279.10000000000002</v>
      </c>
      <c r="I1391">
        <v>257.5</v>
      </c>
      <c r="J1391">
        <v>97.9</v>
      </c>
      <c r="K1391">
        <v>68</v>
      </c>
      <c r="L1391">
        <v>27.6</v>
      </c>
      <c r="M1391">
        <v>2.5</v>
      </c>
      <c r="N1391">
        <v>0.162435837871725</v>
      </c>
      <c r="O1391">
        <v>0.21177597750034199</v>
      </c>
    </row>
    <row r="1392" spans="1:15" x14ac:dyDescent="0.3">
      <c r="A1392">
        <v>5995</v>
      </c>
      <c r="B1392">
        <v>3180</v>
      </c>
      <c r="C1392">
        <v>366</v>
      </c>
      <c r="D1392" t="s">
        <v>19</v>
      </c>
      <c r="E1392" t="s">
        <v>20</v>
      </c>
      <c r="F1392" t="s">
        <v>17</v>
      </c>
      <c r="G1392" t="s">
        <v>18</v>
      </c>
      <c r="H1392">
        <v>275.89999999999998</v>
      </c>
      <c r="I1392">
        <v>255</v>
      </c>
      <c r="J1392">
        <v>94.9</v>
      </c>
      <c r="K1392">
        <v>64</v>
      </c>
      <c r="L1392">
        <v>26.8</v>
      </c>
      <c r="M1392">
        <v>17</v>
      </c>
      <c r="N1392">
        <v>0.151162736383464</v>
      </c>
      <c r="O1392">
        <v>0.13932511697720801</v>
      </c>
    </row>
    <row r="1393" spans="1:15" x14ac:dyDescent="0.3">
      <c r="A1393">
        <v>5996</v>
      </c>
      <c r="B1393">
        <v>3180</v>
      </c>
      <c r="C1393">
        <v>366</v>
      </c>
      <c r="D1393" t="s">
        <v>19</v>
      </c>
      <c r="E1393" t="s">
        <v>20</v>
      </c>
      <c r="F1393" t="s">
        <v>17</v>
      </c>
      <c r="G1393" t="s">
        <v>18</v>
      </c>
      <c r="H1393">
        <v>275.89999999999998</v>
      </c>
      <c r="I1393">
        <v>255</v>
      </c>
      <c r="J1393">
        <v>94.9</v>
      </c>
      <c r="K1393">
        <v>64</v>
      </c>
      <c r="L1393">
        <v>26.8</v>
      </c>
      <c r="M1393">
        <v>17</v>
      </c>
      <c r="N1393">
        <v>0.17142426742661601</v>
      </c>
      <c r="O1393">
        <v>0.14654338711209</v>
      </c>
    </row>
    <row r="1394" spans="1:15" x14ac:dyDescent="0.3">
      <c r="A1394">
        <v>5999</v>
      </c>
      <c r="B1394">
        <v>3182</v>
      </c>
      <c r="C1394">
        <v>95</v>
      </c>
      <c r="D1394" t="s">
        <v>23</v>
      </c>
      <c r="E1394" t="s">
        <v>20</v>
      </c>
      <c r="F1394" t="s">
        <v>17</v>
      </c>
      <c r="G1394" t="s">
        <v>22</v>
      </c>
      <c r="H1394">
        <v>276.60000000000002</v>
      </c>
      <c r="I1394">
        <v>250.5</v>
      </c>
      <c r="J1394">
        <v>100</v>
      </c>
      <c r="K1394">
        <v>67</v>
      </c>
      <c r="L1394">
        <v>28.2</v>
      </c>
      <c r="M1394">
        <v>6.5</v>
      </c>
      <c r="N1394">
        <v>9.3114000342078299E-2</v>
      </c>
      <c r="O1394">
        <v>0.33094991758750503</v>
      </c>
    </row>
    <row r="1395" spans="1:15" x14ac:dyDescent="0.3">
      <c r="A1395">
        <v>6019</v>
      </c>
      <c r="B1395">
        <v>3189</v>
      </c>
      <c r="C1395">
        <v>344</v>
      </c>
      <c r="D1395" t="s">
        <v>19</v>
      </c>
      <c r="E1395" t="s">
        <v>16</v>
      </c>
      <c r="F1395" t="s">
        <v>17</v>
      </c>
      <c r="G1395" t="s">
        <v>25</v>
      </c>
      <c r="H1395">
        <v>266.7</v>
      </c>
      <c r="I1395">
        <v>231.5</v>
      </c>
      <c r="J1395">
        <v>87.8</v>
      </c>
      <c r="K1395">
        <v>64.5</v>
      </c>
      <c r="L1395">
        <v>22.5</v>
      </c>
      <c r="M1395">
        <v>9</v>
      </c>
      <c r="N1395">
        <v>0.21859023260135799</v>
      </c>
      <c r="O1395">
        <v>0.16586884825921699</v>
      </c>
    </row>
    <row r="1396" spans="1:15" x14ac:dyDescent="0.3">
      <c r="A1396">
        <v>6022</v>
      </c>
      <c r="B1396">
        <v>3189</v>
      </c>
      <c r="C1396">
        <v>344</v>
      </c>
      <c r="D1396" t="s">
        <v>19</v>
      </c>
      <c r="E1396" t="s">
        <v>16</v>
      </c>
      <c r="F1396" t="s">
        <v>17</v>
      </c>
      <c r="G1396" t="s">
        <v>25</v>
      </c>
      <c r="H1396">
        <v>266.7</v>
      </c>
      <c r="I1396">
        <v>231.5</v>
      </c>
      <c r="J1396">
        <v>87.8</v>
      </c>
      <c r="K1396">
        <v>64.5</v>
      </c>
      <c r="L1396">
        <v>22.5</v>
      </c>
      <c r="M1396">
        <v>9</v>
      </c>
      <c r="N1396">
        <v>0.22975558624471201</v>
      </c>
      <c r="O1396">
        <v>0.16294203558573001</v>
      </c>
    </row>
    <row r="1397" spans="1:15" x14ac:dyDescent="0.3">
      <c r="A1397">
        <v>6032</v>
      </c>
      <c r="B1397">
        <v>3191</v>
      </c>
      <c r="C1397">
        <v>279</v>
      </c>
      <c r="D1397" t="s">
        <v>23</v>
      </c>
      <c r="E1397" t="s">
        <v>16</v>
      </c>
      <c r="F1397" t="s">
        <v>17</v>
      </c>
      <c r="G1397" t="s">
        <v>18</v>
      </c>
      <c r="H1397">
        <v>273.8</v>
      </c>
      <c r="I1397">
        <v>248.5</v>
      </c>
      <c r="J1397">
        <v>97.9</v>
      </c>
      <c r="K1397">
        <v>65.5</v>
      </c>
      <c r="L1397">
        <v>24.9</v>
      </c>
      <c r="M1397">
        <v>4</v>
      </c>
      <c r="N1397">
        <v>0.22466049528168899</v>
      </c>
      <c r="O1397">
        <v>0.39300616628370999</v>
      </c>
    </row>
    <row r="1398" spans="1:15" x14ac:dyDescent="0.3">
      <c r="A1398">
        <v>6033</v>
      </c>
      <c r="B1398">
        <v>3191</v>
      </c>
      <c r="C1398">
        <v>279</v>
      </c>
      <c r="D1398" t="s">
        <v>23</v>
      </c>
      <c r="E1398" t="s">
        <v>16</v>
      </c>
      <c r="F1398" t="s">
        <v>17</v>
      </c>
      <c r="G1398" t="s">
        <v>18</v>
      </c>
      <c r="H1398">
        <v>273.8</v>
      </c>
      <c r="I1398">
        <v>248.5</v>
      </c>
      <c r="J1398">
        <v>97.9</v>
      </c>
      <c r="K1398">
        <v>65.5</v>
      </c>
      <c r="L1398">
        <v>24.9</v>
      </c>
      <c r="M1398">
        <v>4</v>
      </c>
      <c r="N1398">
        <v>0.23696911788786201</v>
      </c>
      <c r="O1398">
        <v>0.39131431799037097</v>
      </c>
    </row>
    <row r="1399" spans="1:15" x14ac:dyDescent="0.3">
      <c r="A1399">
        <v>6034</v>
      </c>
      <c r="B1399">
        <v>3191</v>
      </c>
      <c r="C1399">
        <v>279</v>
      </c>
      <c r="D1399" t="s">
        <v>23</v>
      </c>
      <c r="E1399" t="s">
        <v>16</v>
      </c>
      <c r="F1399" t="s">
        <v>17</v>
      </c>
      <c r="G1399" t="s">
        <v>18</v>
      </c>
      <c r="H1399">
        <v>273.8</v>
      </c>
      <c r="I1399">
        <v>248.5</v>
      </c>
      <c r="J1399">
        <v>97.9</v>
      </c>
      <c r="K1399">
        <v>65.5</v>
      </c>
      <c r="L1399">
        <v>24.9</v>
      </c>
      <c r="M1399">
        <v>4</v>
      </c>
      <c r="N1399">
        <v>0.246944806013047</v>
      </c>
      <c r="O1399">
        <v>0.37707477344151302</v>
      </c>
    </row>
    <row r="1400" spans="1:15" x14ac:dyDescent="0.3">
      <c r="A1400">
        <v>6035</v>
      </c>
      <c r="B1400">
        <v>3191</v>
      </c>
      <c r="C1400">
        <v>279</v>
      </c>
      <c r="D1400" t="s">
        <v>23</v>
      </c>
      <c r="E1400" t="s">
        <v>16</v>
      </c>
      <c r="F1400" t="s">
        <v>17</v>
      </c>
      <c r="G1400" t="s">
        <v>18</v>
      </c>
      <c r="H1400">
        <v>273.8</v>
      </c>
      <c r="I1400">
        <v>248.5</v>
      </c>
      <c r="J1400">
        <v>97.9</v>
      </c>
      <c r="K1400">
        <v>65.5</v>
      </c>
      <c r="L1400">
        <v>24.9</v>
      </c>
      <c r="M1400">
        <v>4</v>
      </c>
      <c r="N1400">
        <v>0.24545061938667401</v>
      </c>
      <c r="O1400">
        <v>0.38362652481674903</v>
      </c>
    </row>
    <row r="1401" spans="1:15" x14ac:dyDescent="0.3">
      <c r="A1401">
        <v>6036</v>
      </c>
      <c r="B1401">
        <v>3191</v>
      </c>
      <c r="C1401">
        <v>279</v>
      </c>
      <c r="D1401" t="s">
        <v>23</v>
      </c>
      <c r="E1401" t="s">
        <v>16</v>
      </c>
      <c r="F1401" t="s">
        <v>17</v>
      </c>
      <c r="G1401" t="s">
        <v>18</v>
      </c>
      <c r="H1401">
        <v>273.8</v>
      </c>
      <c r="I1401">
        <v>248.5</v>
      </c>
      <c r="J1401">
        <v>97.9</v>
      </c>
      <c r="K1401">
        <v>65.5</v>
      </c>
      <c r="L1401">
        <v>24.9</v>
      </c>
      <c r="M1401">
        <v>4</v>
      </c>
      <c r="N1401">
        <v>0.235504394896213</v>
      </c>
      <c r="O1401">
        <v>0.39119946791479498</v>
      </c>
    </row>
    <row r="1402" spans="1:15" x14ac:dyDescent="0.3">
      <c r="A1402">
        <v>6037</v>
      </c>
      <c r="B1402">
        <v>3191</v>
      </c>
      <c r="C1402">
        <v>279</v>
      </c>
      <c r="D1402" t="s">
        <v>23</v>
      </c>
      <c r="E1402" t="s">
        <v>16</v>
      </c>
      <c r="F1402" t="s">
        <v>17</v>
      </c>
      <c r="G1402" t="s">
        <v>18</v>
      </c>
      <c r="H1402">
        <v>273.8</v>
      </c>
      <c r="I1402">
        <v>248.5</v>
      </c>
      <c r="J1402">
        <v>97.9</v>
      </c>
      <c r="K1402">
        <v>65.5</v>
      </c>
      <c r="L1402">
        <v>24.9</v>
      </c>
      <c r="M1402">
        <v>4</v>
      </c>
      <c r="N1402">
        <v>0.22468967994203001</v>
      </c>
      <c r="O1402">
        <v>0.38703852969543601</v>
      </c>
    </row>
    <row r="1403" spans="1:15" x14ac:dyDescent="0.3">
      <c r="A1403">
        <v>6049</v>
      </c>
      <c r="B1403">
        <v>3198</v>
      </c>
      <c r="C1403">
        <v>395</v>
      </c>
      <c r="D1403" t="s">
        <v>23</v>
      </c>
      <c r="E1403" t="s">
        <v>20</v>
      </c>
      <c r="F1403" t="s">
        <v>21</v>
      </c>
      <c r="G1403" t="s">
        <v>18</v>
      </c>
      <c r="H1403">
        <v>273.60000000000002</v>
      </c>
      <c r="I1403">
        <v>247</v>
      </c>
      <c r="J1403">
        <v>94</v>
      </c>
      <c r="K1403">
        <v>68</v>
      </c>
      <c r="L1403">
        <v>26.7</v>
      </c>
      <c r="M1403">
        <v>7.5</v>
      </c>
      <c r="N1403">
        <v>0.172573274110743</v>
      </c>
      <c r="O1403">
        <v>0.34881408579404899</v>
      </c>
    </row>
    <row r="1404" spans="1:15" x14ac:dyDescent="0.3">
      <c r="A1404">
        <v>6050</v>
      </c>
      <c r="B1404">
        <v>3199</v>
      </c>
      <c r="C1404">
        <v>345</v>
      </c>
      <c r="D1404" t="s">
        <v>19</v>
      </c>
      <c r="E1404" t="s">
        <v>20</v>
      </c>
      <c r="F1404" t="s">
        <v>17</v>
      </c>
      <c r="G1404" t="s">
        <v>22</v>
      </c>
      <c r="H1404">
        <v>277.60000000000002</v>
      </c>
      <c r="I1404">
        <v>252.5</v>
      </c>
      <c r="J1404">
        <v>98.4</v>
      </c>
      <c r="K1404">
        <v>67.5</v>
      </c>
      <c r="L1404">
        <v>25.8</v>
      </c>
      <c r="M1404">
        <v>13.5</v>
      </c>
      <c r="N1404">
        <v>0.12230251835943701</v>
      </c>
      <c r="O1404">
        <v>0.11901633347967799</v>
      </c>
    </row>
    <row r="1405" spans="1:15" x14ac:dyDescent="0.3">
      <c r="A1405">
        <v>6058</v>
      </c>
      <c r="B1405">
        <v>3203</v>
      </c>
      <c r="C1405">
        <v>320</v>
      </c>
      <c r="D1405" t="s">
        <v>19</v>
      </c>
      <c r="E1405" t="s">
        <v>20</v>
      </c>
      <c r="F1405" t="s">
        <v>17</v>
      </c>
      <c r="G1405" t="s">
        <v>25</v>
      </c>
      <c r="H1405">
        <v>279</v>
      </c>
      <c r="I1405">
        <v>253.5</v>
      </c>
      <c r="J1405">
        <v>97.1</v>
      </c>
      <c r="K1405">
        <v>64</v>
      </c>
      <c r="L1405">
        <v>24</v>
      </c>
      <c r="M1405">
        <v>8</v>
      </c>
      <c r="N1405">
        <v>0.147976900727883</v>
      </c>
      <c r="O1405">
        <v>2.24300280083739E-2</v>
      </c>
    </row>
    <row r="1406" spans="1:15" x14ac:dyDescent="0.3">
      <c r="A1406">
        <v>6059</v>
      </c>
      <c r="B1406">
        <v>3204</v>
      </c>
      <c r="C1406">
        <v>197</v>
      </c>
      <c r="D1406" t="s">
        <v>19</v>
      </c>
      <c r="E1406" t="s">
        <v>20</v>
      </c>
      <c r="F1406" t="s">
        <v>21</v>
      </c>
      <c r="G1406" t="s">
        <v>24</v>
      </c>
      <c r="H1406">
        <v>280.10000000000002</v>
      </c>
      <c r="I1406">
        <v>249.5</v>
      </c>
      <c r="J1406">
        <v>95.8</v>
      </c>
      <c r="K1406">
        <v>69.5</v>
      </c>
      <c r="L1406">
        <v>26.6</v>
      </c>
      <c r="M1406">
        <v>6.5</v>
      </c>
      <c r="N1406">
        <v>0.17509736997657899</v>
      </c>
      <c r="O1406">
        <v>4.06218074107072E-2</v>
      </c>
    </row>
    <row r="1407" spans="1:15" x14ac:dyDescent="0.3">
      <c r="A1407">
        <v>6060</v>
      </c>
      <c r="B1407">
        <v>3204</v>
      </c>
      <c r="C1407">
        <v>197</v>
      </c>
      <c r="D1407" t="s">
        <v>19</v>
      </c>
      <c r="E1407" t="s">
        <v>20</v>
      </c>
      <c r="F1407" t="s">
        <v>21</v>
      </c>
      <c r="G1407" t="s">
        <v>24</v>
      </c>
      <c r="H1407">
        <v>280.10000000000002</v>
      </c>
      <c r="I1407">
        <v>249.5</v>
      </c>
      <c r="J1407">
        <v>95.8</v>
      </c>
      <c r="K1407">
        <v>69.5</v>
      </c>
      <c r="L1407">
        <v>26.6</v>
      </c>
      <c r="M1407">
        <v>6.5</v>
      </c>
      <c r="N1407">
        <v>0.180985061935338</v>
      </c>
      <c r="O1407">
        <v>2.01761934500739E-2</v>
      </c>
    </row>
    <row r="1408" spans="1:15" x14ac:dyDescent="0.3">
      <c r="A1408">
        <v>6061</v>
      </c>
      <c r="B1408">
        <v>3204</v>
      </c>
      <c r="C1408">
        <v>197</v>
      </c>
      <c r="D1408" t="s">
        <v>19</v>
      </c>
      <c r="E1408" t="s">
        <v>20</v>
      </c>
      <c r="F1408" t="s">
        <v>21</v>
      </c>
      <c r="G1408" t="s">
        <v>24</v>
      </c>
      <c r="H1408">
        <v>280.10000000000002</v>
      </c>
      <c r="I1408">
        <v>249.5</v>
      </c>
      <c r="J1408">
        <v>95.8</v>
      </c>
      <c r="K1408">
        <v>69.5</v>
      </c>
      <c r="L1408">
        <v>26.6</v>
      </c>
      <c r="M1408">
        <v>6.5</v>
      </c>
      <c r="N1408">
        <v>0.20010431695693401</v>
      </c>
      <c r="O1408">
        <v>3.0757416491756701E-2</v>
      </c>
    </row>
    <row r="1409" spans="1:15" x14ac:dyDescent="0.3">
      <c r="A1409">
        <v>6080</v>
      </c>
      <c r="B1409">
        <v>3210</v>
      </c>
      <c r="C1409">
        <v>98</v>
      </c>
      <c r="D1409" t="s">
        <v>23</v>
      </c>
      <c r="E1409" t="s">
        <v>20</v>
      </c>
      <c r="F1409" t="s">
        <v>21</v>
      </c>
      <c r="G1409" t="s">
        <v>18</v>
      </c>
      <c r="H1409">
        <v>276.60000000000002</v>
      </c>
      <c r="I1409">
        <v>257.5</v>
      </c>
      <c r="J1409">
        <v>95.2</v>
      </c>
      <c r="K1409">
        <v>67.5</v>
      </c>
      <c r="L1409">
        <v>24.1</v>
      </c>
      <c r="M1409">
        <v>9.5</v>
      </c>
      <c r="N1409">
        <v>0.197682503083005</v>
      </c>
      <c r="O1409">
        <v>0.37774464160947402</v>
      </c>
    </row>
    <row r="1410" spans="1:15" x14ac:dyDescent="0.3">
      <c r="A1410">
        <v>6081</v>
      </c>
      <c r="B1410">
        <v>3210</v>
      </c>
      <c r="C1410">
        <v>98</v>
      </c>
      <c r="D1410" t="s">
        <v>23</v>
      </c>
      <c r="E1410" t="s">
        <v>20</v>
      </c>
      <c r="F1410" t="s">
        <v>21</v>
      </c>
      <c r="G1410" t="s">
        <v>18</v>
      </c>
      <c r="H1410">
        <v>276.60000000000002</v>
      </c>
      <c r="I1410">
        <v>257.5</v>
      </c>
      <c r="J1410">
        <v>95.2</v>
      </c>
      <c r="K1410">
        <v>67.5</v>
      </c>
      <c r="L1410">
        <v>24.1</v>
      </c>
      <c r="M1410">
        <v>9.5</v>
      </c>
      <c r="N1410">
        <v>0.203802061333268</v>
      </c>
      <c r="O1410">
        <v>0.38827313339774999</v>
      </c>
    </row>
    <row r="1411" spans="1:15" x14ac:dyDescent="0.3">
      <c r="A1411">
        <v>6085</v>
      </c>
      <c r="B1411">
        <v>3212</v>
      </c>
      <c r="C1411">
        <v>443</v>
      </c>
      <c r="D1411" t="s">
        <v>19</v>
      </c>
      <c r="E1411" t="s">
        <v>20</v>
      </c>
      <c r="F1411" t="s">
        <v>21</v>
      </c>
      <c r="G1411" t="s">
        <v>25</v>
      </c>
      <c r="H1411">
        <v>272.5</v>
      </c>
      <c r="I1411">
        <v>239.5</v>
      </c>
      <c r="J1411">
        <v>96</v>
      </c>
      <c r="K1411">
        <v>64.5</v>
      </c>
      <c r="L1411">
        <v>20.399999999999999</v>
      </c>
      <c r="M1411">
        <v>10</v>
      </c>
      <c r="N1411">
        <v>0.25980547920548303</v>
      </c>
      <c r="O1411">
        <v>7.7925259154002502E-2</v>
      </c>
    </row>
    <row r="1412" spans="1:15" x14ac:dyDescent="0.3">
      <c r="A1412">
        <v>6086</v>
      </c>
      <c r="B1412">
        <v>3212</v>
      </c>
      <c r="C1412">
        <v>443</v>
      </c>
      <c r="D1412" t="s">
        <v>19</v>
      </c>
      <c r="E1412" t="s">
        <v>20</v>
      </c>
      <c r="F1412" t="s">
        <v>21</v>
      </c>
      <c r="G1412" t="s">
        <v>25</v>
      </c>
      <c r="H1412">
        <v>272.5</v>
      </c>
      <c r="I1412">
        <v>239.5</v>
      </c>
      <c r="J1412">
        <v>96</v>
      </c>
      <c r="K1412">
        <v>64.5</v>
      </c>
      <c r="L1412">
        <v>20.399999999999999</v>
      </c>
      <c r="M1412">
        <v>10</v>
      </c>
      <c r="N1412">
        <v>0.240387166411001</v>
      </c>
      <c r="O1412">
        <v>7.4762290370965601E-2</v>
      </c>
    </row>
    <row r="1413" spans="1:15" x14ac:dyDescent="0.3">
      <c r="A1413">
        <v>6087</v>
      </c>
      <c r="B1413">
        <v>3212</v>
      </c>
      <c r="C1413">
        <v>443</v>
      </c>
      <c r="D1413" t="s">
        <v>19</v>
      </c>
      <c r="E1413" t="s">
        <v>20</v>
      </c>
      <c r="F1413" t="s">
        <v>21</v>
      </c>
      <c r="G1413" t="s">
        <v>25</v>
      </c>
      <c r="H1413">
        <v>272.5</v>
      </c>
      <c r="I1413">
        <v>239.5</v>
      </c>
      <c r="J1413">
        <v>96</v>
      </c>
      <c r="K1413">
        <v>64.5</v>
      </c>
      <c r="L1413">
        <v>20.399999999999999</v>
      </c>
      <c r="M1413">
        <v>10</v>
      </c>
      <c r="N1413">
        <v>0.24014799730018599</v>
      </c>
      <c r="O1413">
        <v>6.9470250427102004E-2</v>
      </c>
    </row>
    <row r="1414" spans="1:15" x14ac:dyDescent="0.3">
      <c r="A1414">
        <v>6088</v>
      </c>
      <c r="B1414">
        <v>3213</v>
      </c>
      <c r="C1414">
        <v>332</v>
      </c>
      <c r="D1414" t="s">
        <v>15</v>
      </c>
      <c r="E1414" t="s">
        <v>16</v>
      </c>
      <c r="F1414" t="s">
        <v>21</v>
      </c>
      <c r="G1414" t="s">
        <v>18</v>
      </c>
      <c r="H1414">
        <v>276.8</v>
      </c>
      <c r="I1414">
        <v>249.5</v>
      </c>
      <c r="J1414">
        <v>91.1</v>
      </c>
      <c r="K1414">
        <v>65.5</v>
      </c>
      <c r="L1414">
        <v>24.7</v>
      </c>
      <c r="M1414">
        <v>8.5</v>
      </c>
      <c r="N1414">
        <v>0.121950112743805</v>
      </c>
      <c r="O1414">
        <v>0.13089402220303201</v>
      </c>
    </row>
    <row r="1415" spans="1:15" x14ac:dyDescent="0.3">
      <c r="A1415">
        <v>6089</v>
      </c>
      <c r="B1415">
        <v>3214</v>
      </c>
      <c r="C1415">
        <v>494</v>
      </c>
      <c r="D1415" t="s">
        <v>19</v>
      </c>
      <c r="E1415" t="s">
        <v>16</v>
      </c>
      <c r="F1415" t="s">
        <v>17</v>
      </c>
      <c r="G1415" t="s">
        <v>24</v>
      </c>
      <c r="H1415">
        <v>281.3</v>
      </c>
      <c r="I1415">
        <v>262</v>
      </c>
      <c r="J1415">
        <v>97.7</v>
      </c>
      <c r="K1415">
        <v>70</v>
      </c>
      <c r="L1415">
        <v>27</v>
      </c>
      <c r="M1415">
        <v>4</v>
      </c>
      <c r="N1415">
        <v>0.12514040033969101</v>
      </c>
      <c r="O1415">
        <v>0.17229604943572399</v>
      </c>
    </row>
    <row r="1416" spans="1:15" x14ac:dyDescent="0.3">
      <c r="A1416">
        <v>6091</v>
      </c>
      <c r="B1416">
        <v>3216</v>
      </c>
      <c r="C1416">
        <v>340</v>
      </c>
      <c r="D1416" t="s">
        <v>23</v>
      </c>
      <c r="E1416" t="s">
        <v>20</v>
      </c>
      <c r="F1416" t="s">
        <v>17</v>
      </c>
      <c r="G1416" t="s">
        <v>18</v>
      </c>
      <c r="H1416">
        <v>274.60000000000002</v>
      </c>
      <c r="I1416">
        <v>261.5</v>
      </c>
      <c r="J1416">
        <v>96.7</v>
      </c>
      <c r="K1416">
        <v>62</v>
      </c>
      <c r="L1416">
        <v>28.9</v>
      </c>
      <c r="M1416">
        <v>10.5</v>
      </c>
      <c r="N1416">
        <v>2.5706175573421901E-2</v>
      </c>
      <c r="O1416">
        <v>0.35964122125937598</v>
      </c>
    </row>
    <row r="1417" spans="1:15" x14ac:dyDescent="0.3">
      <c r="A1417">
        <v>6122</v>
      </c>
      <c r="B1417">
        <v>3224</v>
      </c>
      <c r="C1417">
        <v>249</v>
      </c>
      <c r="D1417" t="s">
        <v>19</v>
      </c>
      <c r="E1417" t="s">
        <v>16</v>
      </c>
      <c r="F1417" t="s">
        <v>21</v>
      </c>
      <c r="G1417" t="s">
        <v>18</v>
      </c>
      <c r="H1417">
        <v>275.7</v>
      </c>
      <c r="I1417">
        <v>254.5</v>
      </c>
      <c r="J1417">
        <v>97.9</v>
      </c>
      <c r="K1417">
        <v>66</v>
      </c>
      <c r="L1417">
        <v>26.3</v>
      </c>
      <c r="M1417">
        <v>9</v>
      </c>
      <c r="N1417">
        <v>0.24583365130812401</v>
      </c>
      <c r="O1417">
        <v>5.9331967079595399E-2</v>
      </c>
    </row>
    <row r="1418" spans="1:15" x14ac:dyDescent="0.3">
      <c r="A1418">
        <v>6123</v>
      </c>
      <c r="B1418">
        <v>3225</v>
      </c>
      <c r="C1418">
        <v>355</v>
      </c>
      <c r="D1418" t="s">
        <v>23</v>
      </c>
      <c r="E1418" t="s">
        <v>20</v>
      </c>
      <c r="F1418" t="s">
        <v>17</v>
      </c>
      <c r="G1418" t="s">
        <v>18</v>
      </c>
      <c r="H1418">
        <v>277.7</v>
      </c>
      <c r="I1418">
        <v>250</v>
      </c>
      <c r="J1418">
        <v>99.3</v>
      </c>
      <c r="K1418">
        <v>65</v>
      </c>
      <c r="L1418">
        <v>25.4</v>
      </c>
      <c r="M1418">
        <v>11.5</v>
      </c>
      <c r="N1418">
        <v>0.123562353608183</v>
      </c>
      <c r="O1418">
        <v>0.30377513418206398</v>
      </c>
    </row>
    <row r="1419" spans="1:15" x14ac:dyDescent="0.3">
      <c r="A1419">
        <v>6124</v>
      </c>
      <c r="B1419">
        <v>3225</v>
      </c>
      <c r="C1419">
        <v>355</v>
      </c>
      <c r="D1419" t="s">
        <v>23</v>
      </c>
      <c r="E1419" t="s">
        <v>20</v>
      </c>
      <c r="F1419" t="s">
        <v>17</v>
      </c>
      <c r="G1419" t="s">
        <v>18</v>
      </c>
      <c r="H1419">
        <v>277.7</v>
      </c>
      <c r="I1419">
        <v>250</v>
      </c>
      <c r="J1419">
        <v>99.3</v>
      </c>
      <c r="K1419">
        <v>65</v>
      </c>
      <c r="L1419">
        <v>25.4</v>
      </c>
      <c r="M1419">
        <v>11.5</v>
      </c>
      <c r="N1419">
        <v>0.14440461411030001</v>
      </c>
      <c r="O1419">
        <v>0.30870650139196398</v>
      </c>
    </row>
    <row r="1420" spans="1:15" x14ac:dyDescent="0.3">
      <c r="A1420">
        <v>6125</v>
      </c>
      <c r="B1420">
        <v>3225</v>
      </c>
      <c r="C1420">
        <v>355</v>
      </c>
      <c r="D1420" t="s">
        <v>23</v>
      </c>
      <c r="E1420" t="s">
        <v>20</v>
      </c>
      <c r="F1420" t="s">
        <v>17</v>
      </c>
      <c r="G1420" t="s">
        <v>18</v>
      </c>
      <c r="H1420">
        <v>277.7</v>
      </c>
      <c r="I1420">
        <v>250</v>
      </c>
      <c r="J1420">
        <v>99.3</v>
      </c>
      <c r="K1420">
        <v>65</v>
      </c>
      <c r="L1420">
        <v>25.4</v>
      </c>
      <c r="M1420">
        <v>11.5</v>
      </c>
      <c r="N1420">
        <v>0.125494918814407</v>
      </c>
      <c r="O1420">
        <v>0.31204417506695797</v>
      </c>
    </row>
    <row r="1421" spans="1:15" x14ac:dyDescent="0.3">
      <c r="A1421">
        <v>6126</v>
      </c>
      <c r="B1421">
        <v>3225</v>
      </c>
      <c r="C1421">
        <v>355</v>
      </c>
      <c r="D1421" t="s">
        <v>23</v>
      </c>
      <c r="E1421" t="s">
        <v>20</v>
      </c>
      <c r="F1421" t="s">
        <v>17</v>
      </c>
      <c r="G1421" t="s">
        <v>18</v>
      </c>
      <c r="H1421">
        <v>277.7</v>
      </c>
      <c r="I1421">
        <v>250</v>
      </c>
      <c r="J1421">
        <v>99.3</v>
      </c>
      <c r="K1421">
        <v>65</v>
      </c>
      <c r="L1421">
        <v>25.4</v>
      </c>
      <c r="M1421">
        <v>11.5</v>
      </c>
      <c r="N1421">
        <v>0.14265698556190201</v>
      </c>
      <c r="O1421">
        <v>0.32495223359950898</v>
      </c>
    </row>
    <row r="1422" spans="1:15" x14ac:dyDescent="0.3">
      <c r="A1422">
        <v>6139</v>
      </c>
      <c r="B1422">
        <v>323</v>
      </c>
      <c r="C1422">
        <v>256</v>
      </c>
      <c r="D1422" t="s">
        <v>23</v>
      </c>
      <c r="E1422" t="s">
        <v>16</v>
      </c>
      <c r="F1422" t="s">
        <v>17</v>
      </c>
      <c r="G1422" t="s">
        <v>26</v>
      </c>
      <c r="H1422">
        <v>276.89999999999998</v>
      </c>
      <c r="I1422">
        <v>246</v>
      </c>
      <c r="J1422">
        <v>94.3</v>
      </c>
      <c r="K1422">
        <v>65.5</v>
      </c>
      <c r="L1422">
        <v>25.1</v>
      </c>
      <c r="M1422">
        <v>6</v>
      </c>
      <c r="N1422">
        <v>0.199214589138244</v>
      </c>
      <c r="O1422">
        <v>0.39198468729241298</v>
      </c>
    </row>
    <row r="1423" spans="1:15" x14ac:dyDescent="0.3">
      <c r="A1423">
        <v>6140</v>
      </c>
      <c r="B1423">
        <v>323</v>
      </c>
      <c r="C1423">
        <v>256</v>
      </c>
      <c r="D1423" t="s">
        <v>23</v>
      </c>
      <c r="E1423" t="s">
        <v>16</v>
      </c>
      <c r="F1423" t="s">
        <v>17</v>
      </c>
      <c r="G1423" t="s">
        <v>26</v>
      </c>
      <c r="H1423">
        <v>276.89999999999998</v>
      </c>
      <c r="I1423">
        <v>246</v>
      </c>
      <c r="J1423">
        <v>94.3</v>
      </c>
      <c r="K1423">
        <v>65.5</v>
      </c>
      <c r="L1423">
        <v>25.1</v>
      </c>
      <c r="M1423">
        <v>6</v>
      </c>
      <c r="N1423">
        <v>0.21203957128110501</v>
      </c>
      <c r="O1423">
        <v>0.39807504762923701</v>
      </c>
    </row>
    <row r="1424" spans="1:15" x14ac:dyDescent="0.3">
      <c r="A1424">
        <v>6141</v>
      </c>
      <c r="B1424">
        <v>323</v>
      </c>
      <c r="C1424">
        <v>256</v>
      </c>
      <c r="D1424" t="s">
        <v>23</v>
      </c>
      <c r="E1424" t="s">
        <v>16</v>
      </c>
      <c r="F1424" t="s">
        <v>17</v>
      </c>
      <c r="G1424" t="s">
        <v>26</v>
      </c>
      <c r="H1424">
        <v>276.89999999999998</v>
      </c>
      <c r="I1424">
        <v>246</v>
      </c>
      <c r="J1424">
        <v>94.3</v>
      </c>
      <c r="K1424">
        <v>65.5</v>
      </c>
      <c r="L1424">
        <v>25.1</v>
      </c>
      <c r="M1424">
        <v>6</v>
      </c>
      <c r="N1424">
        <v>0.19641203693624801</v>
      </c>
      <c r="O1424">
        <v>0.38695417175932301</v>
      </c>
    </row>
    <row r="1425" spans="1:15" x14ac:dyDescent="0.3">
      <c r="A1425">
        <v>6142</v>
      </c>
      <c r="B1425">
        <v>3231</v>
      </c>
      <c r="C1425">
        <v>367</v>
      </c>
      <c r="D1425" t="s">
        <v>19</v>
      </c>
      <c r="E1425" t="s">
        <v>20</v>
      </c>
      <c r="F1425" t="s">
        <v>21</v>
      </c>
      <c r="G1425" t="s">
        <v>26</v>
      </c>
      <c r="H1425">
        <v>272.10000000000002</v>
      </c>
      <c r="I1425">
        <v>232</v>
      </c>
      <c r="J1425">
        <v>91</v>
      </c>
      <c r="K1425">
        <v>65.5</v>
      </c>
      <c r="L1425">
        <v>23.9</v>
      </c>
      <c r="M1425">
        <v>7.5</v>
      </c>
      <c r="N1425">
        <v>0.16251949883530301</v>
      </c>
      <c r="O1425">
        <v>0.120005126488631</v>
      </c>
    </row>
    <row r="1426" spans="1:15" x14ac:dyDescent="0.3">
      <c r="A1426">
        <v>6143</v>
      </c>
      <c r="B1426">
        <v>3231</v>
      </c>
      <c r="C1426">
        <v>367</v>
      </c>
      <c r="D1426" t="s">
        <v>19</v>
      </c>
      <c r="E1426" t="s">
        <v>20</v>
      </c>
      <c r="F1426" t="s">
        <v>21</v>
      </c>
      <c r="G1426" t="s">
        <v>26</v>
      </c>
      <c r="H1426">
        <v>272.10000000000002</v>
      </c>
      <c r="I1426">
        <v>232</v>
      </c>
      <c r="J1426">
        <v>91</v>
      </c>
      <c r="K1426">
        <v>65.5</v>
      </c>
      <c r="L1426">
        <v>23.9</v>
      </c>
      <c r="M1426">
        <v>7.5</v>
      </c>
      <c r="N1426">
        <v>0.14770650166850799</v>
      </c>
      <c r="O1426">
        <v>0.12334983453015499</v>
      </c>
    </row>
    <row r="1427" spans="1:15" x14ac:dyDescent="0.3">
      <c r="A1427">
        <v>6144</v>
      </c>
      <c r="B1427">
        <v>3231</v>
      </c>
      <c r="C1427">
        <v>367</v>
      </c>
      <c r="D1427" t="s">
        <v>19</v>
      </c>
      <c r="E1427" t="s">
        <v>20</v>
      </c>
      <c r="F1427" t="s">
        <v>21</v>
      </c>
      <c r="G1427" t="s">
        <v>26</v>
      </c>
      <c r="H1427">
        <v>272.10000000000002</v>
      </c>
      <c r="I1427">
        <v>232</v>
      </c>
      <c r="J1427">
        <v>91</v>
      </c>
      <c r="K1427">
        <v>65.5</v>
      </c>
      <c r="L1427">
        <v>23.9</v>
      </c>
      <c r="M1427">
        <v>7.5</v>
      </c>
      <c r="N1427">
        <v>0.16584215861358001</v>
      </c>
      <c r="O1427">
        <v>0.12291148706262101</v>
      </c>
    </row>
    <row r="1428" spans="1:15" x14ac:dyDescent="0.3">
      <c r="A1428">
        <v>6145</v>
      </c>
      <c r="B1428">
        <v>3232</v>
      </c>
      <c r="C1428">
        <v>249</v>
      </c>
      <c r="D1428" t="s">
        <v>19</v>
      </c>
      <c r="E1428" t="s">
        <v>16</v>
      </c>
      <c r="F1428" t="s">
        <v>17</v>
      </c>
      <c r="G1428" t="s">
        <v>26</v>
      </c>
      <c r="H1428">
        <v>275.7</v>
      </c>
      <c r="I1428">
        <v>254.5</v>
      </c>
      <c r="J1428">
        <v>97.9</v>
      </c>
      <c r="K1428">
        <v>66</v>
      </c>
      <c r="L1428">
        <v>26.3</v>
      </c>
      <c r="M1428">
        <v>9</v>
      </c>
      <c r="N1428">
        <v>0.24040267387990699</v>
      </c>
      <c r="O1428">
        <v>2.7580365949551398E-2</v>
      </c>
    </row>
    <row r="1429" spans="1:15" x14ac:dyDescent="0.3">
      <c r="A1429">
        <v>6146</v>
      </c>
      <c r="B1429">
        <v>3232</v>
      </c>
      <c r="C1429">
        <v>249</v>
      </c>
      <c r="D1429" t="s">
        <v>19</v>
      </c>
      <c r="E1429" t="s">
        <v>16</v>
      </c>
      <c r="F1429" t="s">
        <v>17</v>
      </c>
      <c r="G1429" t="s">
        <v>26</v>
      </c>
      <c r="H1429">
        <v>275.7</v>
      </c>
      <c r="I1429">
        <v>254.5</v>
      </c>
      <c r="J1429">
        <v>97.9</v>
      </c>
      <c r="K1429">
        <v>66</v>
      </c>
      <c r="L1429">
        <v>26.3</v>
      </c>
      <c r="M1429">
        <v>9</v>
      </c>
      <c r="N1429">
        <v>0.242334232163508</v>
      </c>
      <c r="O1429">
        <v>2.68859762551606E-2</v>
      </c>
    </row>
    <row r="1430" spans="1:15" x14ac:dyDescent="0.3">
      <c r="A1430">
        <v>6147</v>
      </c>
      <c r="B1430">
        <v>3232</v>
      </c>
      <c r="C1430">
        <v>249</v>
      </c>
      <c r="D1430" t="s">
        <v>19</v>
      </c>
      <c r="E1430" t="s">
        <v>16</v>
      </c>
      <c r="F1430" t="s">
        <v>17</v>
      </c>
      <c r="G1430" t="s">
        <v>26</v>
      </c>
      <c r="H1430">
        <v>275.7</v>
      </c>
      <c r="I1430">
        <v>254.5</v>
      </c>
      <c r="J1430">
        <v>97.9</v>
      </c>
      <c r="K1430">
        <v>66</v>
      </c>
      <c r="L1430">
        <v>26.3</v>
      </c>
      <c r="M1430">
        <v>9</v>
      </c>
      <c r="N1430">
        <v>0.22348529601150699</v>
      </c>
      <c r="O1430">
        <v>4.4524292631635799E-2</v>
      </c>
    </row>
    <row r="1431" spans="1:15" x14ac:dyDescent="0.3">
      <c r="A1431">
        <v>6150</v>
      </c>
      <c r="B1431">
        <v>3235</v>
      </c>
      <c r="C1431">
        <v>27</v>
      </c>
      <c r="D1431" t="s">
        <v>19</v>
      </c>
      <c r="E1431" t="s">
        <v>20</v>
      </c>
      <c r="F1431" t="s">
        <v>17</v>
      </c>
      <c r="G1431" t="s">
        <v>18</v>
      </c>
      <c r="H1431">
        <v>276.60000000000002</v>
      </c>
      <c r="I1431">
        <v>251.5</v>
      </c>
      <c r="J1431">
        <v>95.3</v>
      </c>
      <c r="K1431">
        <v>67.5</v>
      </c>
      <c r="L1431">
        <v>29.7</v>
      </c>
      <c r="M1431">
        <v>2</v>
      </c>
      <c r="N1431">
        <v>0.147432748229993</v>
      </c>
      <c r="O1431">
        <v>0.134491098845166</v>
      </c>
    </row>
    <row r="1432" spans="1:15" x14ac:dyDescent="0.3">
      <c r="A1432">
        <v>6151</v>
      </c>
      <c r="B1432">
        <v>3235</v>
      </c>
      <c r="C1432">
        <v>27</v>
      </c>
      <c r="D1432" t="s">
        <v>19</v>
      </c>
      <c r="E1432" t="s">
        <v>20</v>
      </c>
      <c r="F1432" t="s">
        <v>17</v>
      </c>
      <c r="G1432" t="s">
        <v>18</v>
      </c>
      <c r="H1432">
        <v>276.60000000000002</v>
      </c>
      <c r="I1432">
        <v>251.5</v>
      </c>
      <c r="J1432">
        <v>95.3</v>
      </c>
      <c r="K1432">
        <v>67.5</v>
      </c>
      <c r="L1432">
        <v>29.7</v>
      </c>
      <c r="M1432">
        <v>2</v>
      </c>
      <c r="N1432">
        <v>0.126740128850405</v>
      </c>
      <c r="O1432">
        <v>0.135504100535359</v>
      </c>
    </row>
    <row r="1433" spans="1:15" x14ac:dyDescent="0.3">
      <c r="A1433">
        <v>6152</v>
      </c>
      <c r="B1433">
        <v>3235</v>
      </c>
      <c r="C1433">
        <v>27</v>
      </c>
      <c r="D1433" t="s">
        <v>19</v>
      </c>
      <c r="E1433" t="s">
        <v>20</v>
      </c>
      <c r="F1433" t="s">
        <v>17</v>
      </c>
      <c r="G1433" t="s">
        <v>18</v>
      </c>
      <c r="H1433">
        <v>276.60000000000002</v>
      </c>
      <c r="I1433">
        <v>251.5</v>
      </c>
      <c r="J1433">
        <v>95.3</v>
      </c>
      <c r="K1433">
        <v>67.5</v>
      </c>
      <c r="L1433">
        <v>29.7</v>
      </c>
      <c r="M1433">
        <v>2</v>
      </c>
      <c r="N1433">
        <v>0.16253966136684</v>
      </c>
      <c r="O1433">
        <v>0.118495858785285</v>
      </c>
    </row>
    <row r="1434" spans="1:15" x14ac:dyDescent="0.3">
      <c r="A1434">
        <v>6158</v>
      </c>
      <c r="B1434">
        <v>3238</v>
      </c>
      <c r="C1434">
        <v>466</v>
      </c>
      <c r="D1434" t="s">
        <v>23</v>
      </c>
      <c r="E1434" t="s">
        <v>20</v>
      </c>
      <c r="F1434" t="s">
        <v>17</v>
      </c>
      <c r="G1434" t="s">
        <v>24</v>
      </c>
      <c r="H1434">
        <v>282.10000000000002</v>
      </c>
      <c r="I1434">
        <v>257</v>
      </c>
      <c r="J1434">
        <v>100.3</v>
      </c>
      <c r="K1434">
        <v>68.5</v>
      </c>
      <c r="L1434">
        <v>27.5</v>
      </c>
      <c r="M1434">
        <v>11</v>
      </c>
      <c r="N1434">
        <v>6.3311285858834804E-2</v>
      </c>
      <c r="O1434">
        <v>0.25903349785714502</v>
      </c>
    </row>
    <row r="1435" spans="1:15" x14ac:dyDescent="0.3">
      <c r="A1435">
        <v>6163</v>
      </c>
      <c r="B1435">
        <v>324</v>
      </c>
      <c r="C1435">
        <v>417</v>
      </c>
      <c r="D1435" t="s">
        <v>19</v>
      </c>
      <c r="E1435" t="s">
        <v>16</v>
      </c>
      <c r="F1435" t="s">
        <v>17</v>
      </c>
      <c r="G1435" t="s">
        <v>22</v>
      </c>
      <c r="H1435">
        <v>268.60000000000002</v>
      </c>
      <c r="I1435">
        <v>234.5</v>
      </c>
      <c r="J1435">
        <v>92.8</v>
      </c>
      <c r="K1435">
        <v>64</v>
      </c>
      <c r="L1435">
        <v>24.3</v>
      </c>
      <c r="M1435">
        <v>5</v>
      </c>
      <c r="N1435">
        <v>0.22079891838019</v>
      </c>
      <c r="O1435">
        <v>0.14366558884915401</v>
      </c>
    </row>
    <row r="1436" spans="1:15" x14ac:dyDescent="0.3">
      <c r="A1436">
        <v>6164</v>
      </c>
      <c r="B1436">
        <v>324</v>
      </c>
      <c r="C1436">
        <v>417</v>
      </c>
      <c r="D1436" t="s">
        <v>19</v>
      </c>
      <c r="E1436" t="s">
        <v>16</v>
      </c>
      <c r="F1436" t="s">
        <v>17</v>
      </c>
      <c r="G1436" t="s">
        <v>22</v>
      </c>
      <c r="H1436">
        <v>268.60000000000002</v>
      </c>
      <c r="I1436">
        <v>234.5</v>
      </c>
      <c r="J1436">
        <v>92.8</v>
      </c>
      <c r="K1436">
        <v>64</v>
      </c>
      <c r="L1436">
        <v>24.3</v>
      </c>
      <c r="M1436">
        <v>5</v>
      </c>
      <c r="N1436">
        <v>0.19181983789767801</v>
      </c>
      <c r="O1436">
        <v>0.16716156079179301</v>
      </c>
    </row>
    <row r="1437" spans="1:15" x14ac:dyDescent="0.3">
      <c r="A1437">
        <v>6165</v>
      </c>
      <c r="B1437">
        <v>324</v>
      </c>
      <c r="C1437">
        <v>417</v>
      </c>
      <c r="D1437" t="s">
        <v>19</v>
      </c>
      <c r="E1437" t="s">
        <v>16</v>
      </c>
      <c r="F1437" t="s">
        <v>17</v>
      </c>
      <c r="G1437" t="s">
        <v>22</v>
      </c>
      <c r="H1437">
        <v>268.60000000000002</v>
      </c>
      <c r="I1437">
        <v>234.5</v>
      </c>
      <c r="J1437">
        <v>92.8</v>
      </c>
      <c r="K1437">
        <v>64</v>
      </c>
      <c r="L1437">
        <v>24.3</v>
      </c>
      <c r="M1437">
        <v>5</v>
      </c>
      <c r="N1437">
        <v>0.20673035508599499</v>
      </c>
      <c r="O1437">
        <v>0.156168391678709</v>
      </c>
    </row>
    <row r="1438" spans="1:15" x14ac:dyDescent="0.3">
      <c r="A1438">
        <v>6167</v>
      </c>
      <c r="B1438">
        <v>3241</v>
      </c>
      <c r="C1438">
        <v>148</v>
      </c>
      <c r="D1438" t="s">
        <v>15</v>
      </c>
      <c r="E1438" t="s">
        <v>20</v>
      </c>
      <c r="F1438" t="s">
        <v>17</v>
      </c>
      <c r="G1438" t="s">
        <v>22</v>
      </c>
      <c r="H1438">
        <v>273.39999999999998</v>
      </c>
      <c r="I1438">
        <v>237.5</v>
      </c>
      <c r="J1438">
        <v>91.6</v>
      </c>
      <c r="K1438">
        <v>66</v>
      </c>
      <c r="L1438">
        <v>26</v>
      </c>
      <c r="M1438">
        <v>4.5</v>
      </c>
      <c r="N1438">
        <v>0.16796670140186801</v>
      </c>
      <c r="O1438">
        <v>0.14267451329568201</v>
      </c>
    </row>
    <row r="1439" spans="1:15" x14ac:dyDescent="0.3">
      <c r="A1439">
        <v>6169</v>
      </c>
      <c r="B1439">
        <v>3241</v>
      </c>
      <c r="C1439">
        <v>148</v>
      </c>
      <c r="D1439" t="s">
        <v>15</v>
      </c>
      <c r="E1439" t="s">
        <v>20</v>
      </c>
      <c r="F1439" t="s">
        <v>17</v>
      </c>
      <c r="G1439" t="s">
        <v>22</v>
      </c>
      <c r="H1439">
        <v>273.39999999999998</v>
      </c>
      <c r="I1439">
        <v>237.5</v>
      </c>
      <c r="J1439">
        <v>91.6</v>
      </c>
      <c r="K1439">
        <v>66</v>
      </c>
      <c r="L1439">
        <v>26</v>
      </c>
      <c r="M1439">
        <v>4.5</v>
      </c>
      <c r="N1439">
        <v>0.20218164838551</v>
      </c>
      <c r="O1439">
        <v>0.12934805289885801</v>
      </c>
    </row>
    <row r="1440" spans="1:15" x14ac:dyDescent="0.3">
      <c r="A1440">
        <v>6170</v>
      </c>
      <c r="B1440">
        <v>3241</v>
      </c>
      <c r="C1440">
        <v>148</v>
      </c>
      <c r="D1440" t="s">
        <v>15</v>
      </c>
      <c r="E1440" t="s">
        <v>20</v>
      </c>
      <c r="F1440" t="s">
        <v>17</v>
      </c>
      <c r="G1440" t="s">
        <v>22</v>
      </c>
      <c r="H1440">
        <v>273.39999999999998</v>
      </c>
      <c r="I1440">
        <v>237.5</v>
      </c>
      <c r="J1440">
        <v>91.6</v>
      </c>
      <c r="K1440">
        <v>66</v>
      </c>
      <c r="L1440">
        <v>26</v>
      </c>
      <c r="M1440">
        <v>4.5</v>
      </c>
      <c r="N1440">
        <v>0.198641524037805</v>
      </c>
      <c r="O1440">
        <v>0.133030061040356</v>
      </c>
    </row>
    <row r="1441" spans="1:15" x14ac:dyDescent="0.3">
      <c r="A1441">
        <v>6174</v>
      </c>
      <c r="B1441">
        <v>3243</v>
      </c>
      <c r="C1441">
        <v>228</v>
      </c>
      <c r="D1441" t="s">
        <v>19</v>
      </c>
      <c r="E1441" t="s">
        <v>16</v>
      </c>
      <c r="F1441" t="s">
        <v>21</v>
      </c>
      <c r="G1441" t="s">
        <v>24</v>
      </c>
      <c r="H1441">
        <v>275.39999999999998</v>
      </c>
      <c r="I1441">
        <v>249.5</v>
      </c>
      <c r="J1441">
        <v>93.4</v>
      </c>
      <c r="K1441">
        <v>64</v>
      </c>
      <c r="L1441">
        <v>28.4</v>
      </c>
      <c r="M1441">
        <v>13</v>
      </c>
      <c r="N1441">
        <v>8.1742963383896902E-2</v>
      </c>
      <c r="O1441">
        <v>0.12271093774641401</v>
      </c>
    </row>
    <row r="1442" spans="1:15" x14ac:dyDescent="0.3">
      <c r="A1442">
        <v>6175</v>
      </c>
      <c r="B1442">
        <v>3243</v>
      </c>
      <c r="C1442">
        <v>228</v>
      </c>
      <c r="D1442" t="s">
        <v>19</v>
      </c>
      <c r="E1442" t="s">
        <v>16</v>
      </c>
      <c r="F1442" t="s">
        <v>21</v>
      </c>
      <c r="G1442" t="s">
        <v>24</v>
      </c>
      <c r="H1442">
        <v>275.39999999999998</v>
      </c>
      <c r="I1442">
        <v>249.5</v>
      </c>
      <c r="J1442">
        <v>93.4</v>
      </c>
      <c r="K1442">
        <v>64</v>
      </c>
      <c r="L1442">
        <v>28.4</v>
      </c>
      <c r="M1442">
        <v>13</v>
      </c>
      <c r="N1442">
        <v>8.0857109178608694E-2</v>
      </c>
      <c r="O1442">
        <v>0.15303944093730301</v>
      </c>
    </row>
    <row r="1443" spans="1:15" x14ac:dyDescent="0.3">
      <c r="A1443">
        <v>6176</v>
      </c>
      <c r="B1443">
        <v>3243</v>
      </c>
      <c r="C1443">
        <v>228</v>
      </c>
      <c r="D1443" t="s">
        <v>19</v>
      </c>
      <c r="E1443" t="s">
        <v>16</v>
      </c>
      <c r="F1443" t="s">
        <v>21</v>
      </c>
      <c r="G1443" t="s">
        <v>24</v>
      </c>
      <c r="H1443">
        <v>275.39999999999998</v>
      </c>
      <c r="I1443">
        <v>249.5</v>
      </c>
      <c r="J1443">
        <v>93.4</v>
      </c>
      <c r="K1443">
        <v>64</v>
      </c>
      <c r="L1443">
        <v>28.4</v>
      </c>
      <c r="M1443">
        <v>13</v>
      </c>
      <c r="N1443">
        <v>8.9811445223263495E-2</v>
      </c>
      <c r="O1443">
        <v>0.129607665737873</v>
      </c>
    </row>
    <row r="1444" spans="1:15" x14ac:dyDescent="0.3">
      <c r="A1444">
        <v>6177</v>
      </c>
      <c r="B1444">
        <v>3243</v>
      </c>
      <c r="C1444">
        <v>228</v>
      </c>
      <c r="D1444" t="s">
        <v>19</v>
      </c>
      <c r="E1444" t="s">
        <v>16</v>
      </c>
      <c r="F1444" t="s">
        <v>21</v>
      </c>
      <c r="G1444" t="s">
        <v>24</v>
      </c>
      <c r="H1444">
        <v>275.39999999999998</v>
      </c>
      <c r="I1444">
        <v>249.5</v>
      </c>
      <c r="J1444">
        <v>93.4</v>
      </c>
      <c r="K1444">
        <v>64</v>
      </c>
      <c r="L1444">
        <v>28.4</v>
      </c>
      <c r="M1444">
        <v>13</v>
      </c>
      <c r="N1444">
        <v>9.1201949553620307E-2</v>
      </c>
      <c r="O1444">
        <v>0.15370425860384801</v>
      </c>
    </row>
    <row r="1445" spans="1:15" x14ac:dyDescent="0.3">
      <c r="A1445">
        <v>6181</v>
      </c>
      <c r="B1445">
        <v>3245</v>
      </c>
      <c r="C1445">
        <v>238</v>
      </c>
      <c r="D1445" t="s">
        <v>19</v>
      </c>
      <c r="E1445" t="s">
        <v>16</v>
      </c>
      <c r="F1445" t="s">
        <v>17</v>
      </c>
      <c r="G1445" t="s">
        <v>25</v>
      </c>
      <c r="H1445">
        <v>273.3</v>
      </c>
      <c r="I1445">
        <v>246</v>
      </c>
      <c r="J1445">
        <v>92.6</v>
      </c>
      <c r="K1445">
        <v>63.5</v>
      </c>
      <c r="L1445">
        <v>25.5</v>
      </c>
      <c r="M1445">
        <v>9.5</v>
      </c>
      <c r="N1445">
        <v>9.6051599302174703E-2</v>
      </c>
      <c r="O1445">
        <v>0.16476756100495199</v>
      </c>
    </row>
    <row r="1446" spans="1:15" x14ac:dyDescent="0.3">
      <c r="A1446">
        <v>6182</v>
      </c>
      <c r="B1446">
        <v>3245</v>
      </c>
      <c r="C1446">
        <v>238</v>
      </c>
      <c r="D1446" t="s">
        <v>19</v>
      </c>
      <c r="E1446" t="s">
        <v>16</v>
      </c>
      <c r="F1446" t="s">
        <v>17</v>
      </c>
      <c r="G1446" t="s">
        <v>25</v>
      </c>
      <c r="H1446">
        <v>273.3</v>
      </c>
      <c r="I1446">
        <v>246</v>
      </c>
      <c r="J1446">
        <v>92.6</v>
      </c>
      <c r="K1446">
        <v>63.5</v>
      </c>
      <c r="L1446">
        <v>25.5</v>
      </c>
      <c r="M1446">
        <v>9.5</v>
      </c>
      <c r="N1446">
        <v>0.124043400411934</v>
      </c>
      <c r="O1446">
        <v>0.13535758419049901</v>
      </c>
    </row>
    <row r="1447" spans="1:15" x14ac:dyDescent="0.3">
      <c r="A1447">
        <v>6183</v>
      </c>
      <c r="B1447">
        <v>3245</v>
      </c>
      <c r="C1447">
        <v>238</v>
      </c>
      <c r="D1447" t="s">
        <v>19</v>
      </c>
      <c r="E1447" t="s">
        <v>16</v>
      </c>
      <c r="F1447" t="s">
        <v>17</v>
      </c>
      <c r="G1447" t="s">
        <v>25</v>
      </c>
      <c r="H1447">
        <v>273.3</v>
      </c>
      <c r="I1447">
        <v>246</v>
      </c>
      <c r="J1447">
        <v>92.6</v>
      </c>
      <c r="K1447">
        <v>63.5</v>
      </c>
      <c r="L1447">
        <v>25.5</v>
      </c>
      <c r="M1447">
        <v>9.5</v>
      </c>
      <c r="N1447">
        <v>8.5799273279329305E-2</v>
      </c>
      <c r="O1447">
        <v>0.13985483937267901</v>
      </c>
    </row>
    <row r="1448" spans="1:15" x14ac:dyDescent="0.3">
      <c r="A1448">
        <v>6184</v>
      </c>
      <c r="B1448">
        <v>3245</v>
      </c>
      <c r="C1448">
        <v>238</v>
      </c>
      <c r="D1448" t="s">
        <v>19</v>
      </c>
      <c r="E1448" t="s">
        <v>16</v>
      </c>
      <c r="F1448" t="s">
        <v>17</v>
      </c>
      <c r="G1448" t="s">
        <v>25</v>
      </c>
      <c r="H1448">
        <v>273.3</v>
      </c>
      <c r="I1448">
        <v>246</v>
      </c>
      <c r="J1448">
        <v>92.6</v>
      </c>
      <c r="K1448">
        <v>63.5</v>
      </c>
      <c r="L1448">
        <v>25.5</v>
      </c>
      <c r="M1448">
        <v>9.5</v>
      </c>
      <c r="N1448">
        <v>0.116789191028279</v>
      </c>
      <c r="O1448">
        <v>0.161142852680489</v>
      </c>
    </row>
    <row r="1449" spans="1:15" x14ac:dyDescent="0.3">
      <c r="A1449">
        <v>6185</v>
      </c>
      <c r="B1449">
        <v>3245</v>
      </c>
      <c r="C1449">
        <v>238</v>
      </c>
      <c r="D1449" t="s">
        <v>19</v>
      </c>
      <c r="E1449" t="s">
        <v>16</v>
      </c>
      <c r="F1449" t="s">
        <v>17</v>
      </c>
      <c r="G1449" t="s">
        <v>25</v>
      </c>
      <c r="H1449">
        <v>273.3</v>
      </c>
      <c r="I1449">
        <v>246</v>
      </c>
      <c r="J1449">
        <v>92.6</v>
      </c>
      <c r="K1449">
        <v>63.5</v>
      </c>
      <c r="L1449">
        <v>25.5</v>
      </c>
      <c r="M1449">
        <v>9.5</v>
      </c>
      <c r="N1449">
        <v>0.119119955822811</v>
      </c>
      <c r="O1449">
        <v>0.16879308889293401</v>
      </c>
    </row>
    <row r="1450" spans="1:15" x14ac:dyDescent="0.3">
      <c r="A1450">
        <v>6186</v>
      </c>
      <c r="B1450">
        <v>3246</v>
      </c>
      <c r="C1450">
        <v>455</v>
      </c>
      <c r="D1450" t="s">
        <v>19</v>
      </c>
      <c r="E1450" t="s">
        <v>20</v>
      </c>
      <c r="F1450" t="s">
        <v>21</v>
      </c>
      <c r="G1450" t="s">
        <v>18</v>
      </c>
      <c r="H1450">
        <v>278.5</v>
      </c>
      <c r="I1450">
        <v>252.5</v>
      </c>
      <c r="J1450">
        <v>92.8</v>
      </c>
      <c r="K1450">
        <v>69</v>
      </c>
      <c r="L1450">
        <v>25.6</v>
      </c>
      <c r="M1450">
        <v>9</v>
      </c>
      <c r="N1450">
        <v>0.219813734241842</v>
      </c>
      <c r="O1450">
        <v>5.0578614633462297E-2</v>
      </c>
    </row>
    <row r="1451" spans="1:15" x14ac:dyDescent="0.3">
      <c r="A1451">
        <v>6187</v>
      </c>
      <c r="B1451">
        <v>3246</v>
      </c>
      <c r="C1451">
        <v>455</v>
      </c>
      <c r="D1451" t="s">
        <v>19</v>
      </c>
      <c r="E1451" t="s">
        <v>20</v>
      </c>
      <c r="F1451" t="s">
        <v>21</v>
      </c>
      <c r="G1451" t="s">
        <v>18</v>
      </c>
      <c r="H1451">
        <v>278.5</v>
      </c>
      <c r="I1451">
        <v>252.5</v>
      </c>
      <c r="J1451">
        <v>92.8</v>
      </c>
      <c r="K1451">
        <v>69</v>
      </c>
      <c r="L1451">
        <v>25.6</v>
      </c>
      <c r="M1451">
        <v>9</v>
      </c>
      <c r="N1451">
        <v>0.206685599143171</v>
      </c>
      <c r="O1451">
        <v>4.08258161023193E-2</v>
      </c>
    </row>
    <row r="1452" spans="1:15" x14ac:dyDescent="0.3">
      <c r="A1452">
        <v>6188</v>
      </c>
      <c r="B1452">
        <v>3246</v>
      </c>
      <c r="C1452">
        <v>455</v>
      </c>
      <c r="D1452" t="s">
        <v>19</v>
      </c>
      <c r="E1452" t="s">
        <v>20</v>
      </c>
      <c r="F1452" t="s">
        <v>21</v>
      </c>
      <c r="G1452" t="s">
        <v>18</v>
      </c>
      <c r="H1452">
        <v>278.5</v>
      </c>
      <c r="I1452">
        <v>252.5</v>
      </c>
      <c r="J1452">
        <v>92.8</v>
      </c>
      <c r="K1452">
        <v>69</v>
      </c>
      <c r="L1452">
        <v>25.6</v>
      </c>
      <c r="M1452">
        <v>9</v>
      </c>
      <c r="N1452">
        <v>0.21550944521417001</v>
      </c>
      <c r="O1452">
        <v>5.9780726620816203E-2</v>
      </c>
    </row>
    <row r="1453" spans="1:15" x14ac:dyDescent="0.3">
      <c r="A1453">
        <v>6189</v>
      </c>
      <c r="B1453">
        <v>3246</v>
      </c>
      <c r="C1453">
        <v>455</v>
      </c>
      <c r="D1453" t="s">
        <v>19</v>
      </c>
      <c r="E1453" t="s">
        <v>20</v>
      </c>
      <c r="F1453" t="s">
        <v>21</v>
      </c>
      <c r="G1453" t="s">
        <v>18</v>
      </c>
      <c r="H1453">
        <v>278.5</v>
      </c>
      <c r="I1453">
        <v>252.5</v>
      </c>
      <c r="J1453">
        <v>92.8</v>
      </c>
      <c r="K1453">
        <v>69</v>
      </c>
      <c r="L1453">
        <v>25.6</v>
      </c>
      <c r="M1453">
        <v>9</v>
      </c>
      <c r="N1453">
        <v>0.20355540357520299</v>
      </c>
      <c r="O1453">
        <v>5.1526749488733301E-2</v>
      </c>
    </row>
    <row r="1454" spans="1:15" x14ac:dyDescent="0.3">
      <c r="A1454">
        <v>6190</v>
      </c>
      <c r="B1454">
        <v>3246</v>
      </c>
      <c r="C1454">
        <v>455</v>
      </c>
      <c r="D1454" t="s">
        <v>19</v>
      </c>
      <c r="E1454" t="s">
        <v>20</v>
      </c>
      <c r="F1454" t="s">
        <v>21</v>
      </c>
      <c r="G1454" t="s">
        <v>18</v>
      </c>
      <c r="H1454">
        <v>278.5</v>
      </c>
      <c r="I1454">
        <v>252.5</v>
      </c>
      <c r="J1454">
        <v>92.8</v>
      </c>
      <c r="K1454">
        <v>69</v>
      </c>
      <c r="L1454">
        <v>25.6</v>
      </c>
      <c r="M1454">
        <v>9</v>
      </c>
      <c r="N1454">
        <v>0.20362611440236</v>
      </c>
      <c r="O1454">
        <v>5.0900248299984199E-2</v>
      </c>
    </row>
    <row r="1455" spans="1:15" x14ac:dyDescent="0.3">
      <c r="A1455">
        <v>6191</v>
      </c>
      <c r="B1455">
        <v>3246</v>
      </c>
      <c r="C1455">
        <v>455</v>
      </c>
      <c r="D1455" t="s">
        <v>19</v>
      </c>
      <c r="E1455" t="s">
        <v>20</v>
      </c>
      <c r="F1455" t="s">
        <v>21</v>
      </c>
      <c r="G1455" t="s">
        <v>18</v>
      </c>
      <c r="H1455">
        <v>278.5</v>
      </c>
      <c r="I1455">
        <v>252.5</v>
      </c>
      <c r="J1455">
        <v>92.8</v>
      </c>
      <c r="K1455">
        <v>69</v>
      </c>
      <c r="L1455">
        <v>25.6</v>
      </c>
      <c r="M1455">
        <v>9</v>
      </c>
      <c r="N1455">
        <v>0.220881331561741</v>
      </c>
      <c r="O1455">
        <v>3.5326274263146301E-2</v>
      </c>
    </row>
    <row r="1456" spans="1:15" x14ac:dyDescent="0.3">
      <c r="A1456">
        <v>6192</v>
      </c>
      <c r="B1456">
        <v>3246</v>
      </c>
      <c r="C1456">
        <v>455</v>
      </c>
      <c r="D1456" t="s">
        <v>19</v>
      </c>
      <c r="E1456" t="s">
        <v>20</v>
      </c>
      <c r="F1456" t="s">
        <v>21</v>
      </c>
      <c r="G1456" t="s">
        <v>18</v>
      </c>
      <c r="H1456">
        <v>278.5</v>
      </c>
      <c r="I1456">
        <v>252.5</v>
      </c>
      <c r="J1456">
        <v>92.8</v>
      </c>
      <c r="K1456">
        <v>69</v>
      </c>
      <c r="L1456">
        <v>25.6</v>
      </c>
      <c r="M1456">
        <v>9</v>
      </c>
      <c r="N1456">
        <v>0.220137375082084</v>
      </c>
      <c r="O1456">
        <v>4.4378092100708297E-2</v>
      </c>
    </row>
    <row r="1457" spans="1:15" x14ac:dyDescent="0.3">
      <c r="A1457">
        <v>6193</v>
      </c>
      <c r="B1457">
        <v>3246</v>
      </c>
      <c r="C1457">
        <v>455</v>
      </c>
      <c r="D1457" t="s">
        <v>19</v>
      </c>
      <c r="E1457" t="s">
        <v>20</v>
      </c>
      <c r="F1457" t="s">
        <v>21</v>
      </c>
      <c r="G1457" t="s">
        <v>18</v>
      </c>
      <c r="H1457">
        <v>278.5</v>
      </c>
      <c r="I1457">
        <v>252.5</v>
      </c>
      <c r="J1457">
        <v>92.8</v>
      </c>
      <c r="K1457">
        <v>69</v>
      </c>
      <c r="L1457">
        <v>25.6</v>
      </c>
      <c r="M1457">
        <v>9</v>
      </c>
      <c r="N1457">
        <v>0.22030839382749101</v>
      </c>
      <c r="O1457">
        <v>4.334689698172E-2</v>
      </c>
    </row>
    <row r="1458" spans="1:15" x14ac:dyDescent="0.3">
      <c r="A1458">
        <v>6204</v>
      </c>
      <c r="B1458">
        <v>325</v>
      </c>
      <c r="C1458">
        <v>28</v>
      </c>
      <c r="D1458" t="s">
        <v>19</v>
      </c>
      <c r="E1458" t="s">
        <v>20</v>
      </c>
      <c r="F1458" t="s">
        <v>21</v>
      </c>
      <c r="G1458" t="s">
        <v>24</v>
      </c>
      <c r="H1458">
        <v>274.39999999999998</v>
      </c>
      <c r="I1458">
        <v>243.5</v>
      </c>
      <c r="J1458">
        <v>94.3</v>
      </c>
      <c r="K1458">
        <v>65.5</v>
      </c>
      <c r="L1458">
        <v>28</v>
      </c>
      <c r="M1458">
        <v>5.5</v>
      </c>
      <c r="N1458">
        <v>0.30422181282455102</v>
      </c>
      <c r="O1458">
        <v>8.0333950188814299E-2</v>
      </c>
    </row>
    <row r="1459" spans="1:15" x14ac:dyDescent="0.3">
      <c r="A1459">
        <v>6211</v>
      </c>
      <c r="B1459">
        <v>3254</v>
      </c>
      <c r="C1459">
        <v>31</v>
      </c>
      <c r="D1459" t="s">
        <v>23</v>
      </c>
      <c r="E1459" t="s">
        <v>16</v>
      </c>
      <c r="F1459" t="s">
        <v>21</v>
      </c>
      <c r="G1459" t="s">
        <v>26</v>
      </c>
      <c r="H1459">
        <v>274</v>
      </c>
      <c r="I1459">
        <v>250</v>
      </c>
      <c r="J1459">
        <v>99.4</v>
      </c>
      <c r="K1459">
        <v>68.5</v>
      </c>
      <c r="L1459">
        <v>23.2</v>
      </c>
      <c r="M1459">
        <v>10</v>
      </c>
      <c r="N1459">
        <v>0.207481818763917</v>
      </c>
      <c r="O1459">
        <v>0.186692355997086</v>
      </c>
    </row>
    <row r="1460" spans="1:15" x14ac:dyDescent="0.3">
      <c r="A1460">
        <v>6212</v>
      </c>
      <c r="B1460">
        <v>3254</v>
      </c>
      <c r="C1460">
        <v>31</v>
      </c>
      <c r="D1460" t="s">
        <v>23</v>
      </c>
      <c r="E1460" t="s">
        <v>16</v>
      </c>
      <c r="F1460" t="s">
        <v>21</v>
      </c>
      <c r="G1460" t="s">
        <v>26</v>
      </c>
      <c r="H1460">
        <v>274</v>
      </c>
      <c r="I1460">
        <v>250</v>
      </c>
      <c r="J1460">
        <v>99.4</v>
      </c>
      <c r="K1460">
        <v>68.5</v>
      </c>
      <c r="L1460">
        <v>23.2</v>
      </c>
      <c r="M1460">
        <v>10</v>
      </c>
      <c r="N1460">
        <v>0.198855504936748</v>
      </c>
      <c r="O1460">
        <v>0.154215020769083</v>
      </c>
    </row>
    <row r="1461" spans="1:15" x14ac:dyDescent="0.3">
      <c r="A1461">
        <v>6233</v>
      </c>
      <c r="B1461">
        <v>3264</v>
      </c>
      <c r="C1461">
        <v>26</v>
      </c>
      <c r="D1461" t="s">
        <v>23</v>
      </c>
      <c r="E1461" t="s">
        <v>20</v>
      </c>
      <c r="F1461" t="s">
        <v>17</v>
      </c>
      <c r="G1461" t="s">
        <v>24</v>
      </c>
      <c r="H1461">
        <v>270.5</v>
      </c>
      <c r="I1461">
        <v>243.5</v>
      </c>
      <c r="J1461">
        <v>95.9</v>
      </c>
      <c r="K1461">
        <v>66</v>
      </c>
      <c r="L1461">
        <v>26.9</v>
      </c>
      <c r="M1461">
        <v>6</v>
      </c>
      <c r="N1461">
        <v>0.20258093601730601</v>
      </c>
      <c r="O1461">
        <v>0.38920887891505102</v>
      </c>
    </row>
    <row r="1462" spans="1:15" x14ac:dyDescent="0.3">
      <c r="A1462">
        <v>6234</v>
      </c>
      <c r="B1462">
        <v>3264</v>
      </c>
      <c r="C1462">
        <v>26</v>
      </c>
      <c r="D1462" t="s">
        <v>23</v>
      </c>
      <c r="E1462" t="s">
        <v>20</v>
      </c>
      <c r="F1462" t="s">
        <v>17</v>
      </c>
      <c r="G1462" t="s">
        <v>24</v>
      </c>
      <c r="H1462">
        <v>270.5</v>
      </c>
      <c r="I1462">
        <v>243.5</v>
      </c>
      <c r="J1462">
        <v>95.9</v>
      </c>
      <c r="K1462">
        <v>66</v>
      </c>
      <c r="L1462">
        <v>26.9</v>
      </c>
      <c r="M1462">
        <v>6</v>
      </c>
      <c r="N1462">
        <v>0.20589984824536101</v>
      </c>
      <c r="O1462">
        <v>0.36228036632090599</v>
      </c>
    </row>
    <row r="1463" spans="1:15" x14ac:dyDescent="0.3">
      <c r="A1463">
        <v>6235</v>
      </c>
      <c r="B1463">
        <v>3265</v>
      </c>
      <c r="C1463">
        <v>289</v>
      </c>
      <c r="D1463" t="s">
        <v>23</v>
      </c>
      <c r="E1463" t="s">
        <v>20</v>
      </c>
      <c r="F1463" t="s">
        <v>21</v>
      </c>
      <c r="G1463" t="s">
        <v>24</v>
      </c>
      <c r="H1463">
        <v>279.39999999999998</v>
      </c>
      <c r="I1463">
        <v>256</v>
      </c>
      <c r="J1463">
        <v>95.5</v>
      </c>
      <c r="K1463">
        <v>69.5</v>
      </c>
      <c r="L1463">
        <v>26.8</v>
      </c>
      <c r="M1463">
        <v>13</v>
      </c>
      <c r="N1463">
        <v>0.140493794919543</v>
      </c>
      <c r="O1463">
        <v>0.462417277854269</v>
      </c>
    </row>
    <row r="1464" spans="1:15" x14ac:dyDescent="0.3">
      <c r="A1464">
        <v>6236</v>
      </c>
      <c r="B1464">
        <v>3265</v>
      </c>
      <c r="C1464">
        <v>289</v>
      </c>
      <c r="D1464" t="s">
        <v>23</v>
      </c>
      <c r="E1464" t="s">
        <v>20</v>
      </c>
      <c r="F1464" t="s">
        <v>21</v>
      </c>
      <c r="G1464" t="s">
        <v>24</v>
      </c>
      <c r="H1464">
        <v>279.39999999999998</v>
      </c>
      <c r="I1464">
        <v>256</v>
      </c>
      <c r="J1464">
        <v>95.5</v>
      </c>
      <c r="K1464">
        <v>69.5</v>
      </c>
      <c r="L1464">
        <v>26.8</v>
      </c>
      <c r="M1464">
        <v>13</v>
      </c>
      <c r="N1464">
        <v>0.13706410929563001</v>
      </c>
      <c r="O1464">
        <v>0.46341431720847798</v>
      </c>
    </row>
    <row r="1465" spans="1:15" x14ac:dyDescent="0.3">
      <c r="A1465">
        <v>6245</v>
      </c>
      <c r="B1465">
        <v>3269</v>
      </c>
      <c r="C1465">
        <v>12</v>
      </c>
      <c r="D1465" t="s">
        <v>19</v>
      </c>
      <c r="E1465" t="s">
        <v>16</v>
      </c>
      <c r="F1465" t="s">
        <v>21</v>
      </c>
      <c r="G1465" t="s">
        <v>24</v>
      </c>
      <c r="H1465">
        <v>280.39999999999998</v>
      </c>
      <c r="I1465">
        <v>260</v>
      </c>
      <c r="J1465">
        <v>102.4</v>
      </c>
      <c r="K1465">
        <v>69.5</v>
      </c>
      <c r="L1465">
        <v>28.2</v>
      </c>
      <c r="M1465">
        <v>9</v>
      </c>
      <c r="N1465">
        <v>0.15174863541061001</v>
      </c>
      <c r="O1465">
        <v>0.115217596740341</v>
      </c>
    </row>
    <row r="1466" spans="1:15" x14ac:dyDescent="0.3">
      <c r="A1466">
        <v>6246</v>
      </c>
      <c r="B1466">
        <v>3269</v>
      </c>
      <c r="C1466">
        <v>12</v>
      </c>
      <c r="D1466" t="s">
        <v>19</v>
      </c>
      <c r="E1466" t="s">
        <v>16</v>
      </c>
      <c r="F1466" t="s">
        <v>21</v>
      </c>
      <c r="G1466" t="s">
        <v>24</v>
      </c>
      <c r="H1466">
        <v>280.39999999999998</v>
      </c>
      <c r="I1466">
        <v>260</v>
      </c>
      <c r="J1466">
        <v>102.4</v>
      </c>
      <c r="K1466">
        <v>69.5</v>
      </c>
      <c r="L1466">
        <v>28.2</v>
      </c>
      <c r="M1466">
        <v>9</v>
      </c>
      <c r="N1466">
        <v>0.15669361520316399</v>
      </c>
      <c r="O1466">
        <v>0.112839720541472</v>
      </c>
    </row>
    <row r="1467" spans="1:15" x14ac:dyDescent="0.3">
      <c r="A1467">
        <v>6247</v>
      </c>
      <c r="B1467">
        <v>3269</v>
      </c>
      <c r="C1467">
        <v>12</v>
      </c>
      <c r="D1467" t="s">
        <v>19</v>
      </c>
      <c r="E1467" t="s">
        <v>16</v>
      </c>
      <c r="F1467" t="s">
        <v>21</v>
      </c>
      <c r="G1467" t="s">
        <v>24</v>
      </c>
      <c r="H1467">
        <v>280.39999999999998</v>
      </c>
      <c r="I1467">
        <v>260</v>
      </c>
      <c r="J1467">
        <v>102.4</v>
      </c>
      <c r="K1467">
        <v>69.5</v>
      </c>
      <c r="L1467">
        <v>28.2</v>
      </c>
      <c r="M1467">
        <v>9</v>
      </c>
      <c r="N1467">
        <v>0.15809614097856201</v>
      </c>
      <c r="O1467">
        <v>0.11844756733945799</v>
      </c>
    </row>
    <row r="1468" spans="1:15" x14ac:dyDescent="0.3">
      <c r="A1468">
        <v>6248</v>
      </c>
      <c r="B1468">
        <v>3269</v>
      </c>
      <c r="C1468">
        <v>12</v>
      </c>
      <c r="D1468" t="s">
        <v>19</v>
      </c>
      <c r="E1468" t="s">
        <v>16</v>
      </c>
      <c r="F1468" t="s">
        <v>21</v>
      </c>
      <c r="G1468" t="s">
        <v>24</v>
      </c>
      <c r="H1468">
        <v>280.39999999999998</v>
      </c>
      <c r="I1468">
        <v>260</v>
      </c>
      <c r="J1468">
        <v>102.4</v>
      </c>
      <c r="K1468">
        <v>69.5</v>
      </c>
      <c r="L1468">
        <v>28.2</v>
      </c>
      <c r="M1468">
        <v>9</v>
      </c>
      <c r="N1468">
        <v>0.15909307621373101</v>
      </c>
      <c r="O1468">
        <v>0.128055477522803</v>
      </c>
    </row>
    <row r="1469" spans="1:15" x14ac:dyDescent="0.3">
      <c r="A1469">
        <v>6249</v>
      </c>
      <c r="B1469">
        <v>3269</v>
      </c>
      <c r="C1469">
        <v>12</v>
      </c>
      <c r="D1469" t="s">
        <v>19</v>
      </c>
      <c r="E1469" t="s">
        <v>16</v>
      </c>
      <c r="F1469" t="s">
        <v>21</v>
      </c>
      <c r="G1469" t="s">
        <v>24</v>
      </c>
      <c r="H1469">
        <v>280.39999999999998</v>
      </c>
      <c r="I1469">
        <v>260</v>
      </c>
      <c r="J1469">
        <v>102.4</v>
      </c>
      <c r="K1469">
        <v>69.5</v>
      </c>
      <c r="L1469">
        <v>28.2</v>
      </c>
      <c r="M1469">
        <v>9</v>
      </c>
      <c r="N1469">
        <v>0.13397526370104901</v>
      </c>
      <c r="O1469">
        <v>0.11499396696764901</v>
      </c>
    </row>
    <row r="1470" spans="1:15" x14ac:dyDescent="0.3">
      <c r="A1470">
        <v>6250</v>
      </c>
      <c r="B1470">
        <v>3269</v>
      </c>
      <c r="C1470">
        <v>12</v>
      </c>
      <c r="D1470" t="s">
        <v>19</v>
      </c>
      <c r="E1470" t="s">
        <v>16</v>
      </c>
      <c r="F1470" t="s">
        <v>21</v>
      </c>
      <c r="G1470" t="s">
        <v>24</v>
      </c>
      <c r="H1470">
        <v>280.39999999999998</v>
      </c>
      <c r="I1470">
        <v>260</v>
      </c>
      <c r="J1470">
        <v>102.4</v>
      </c>
      <c r="K1470">
        <v>69.5</v>
      </c>
      <c r="L1470">
        <v>28.2</v>
      </c>
      <c r="M1470">
        <v>9</v>
      </c>
      <c r="N1470">
        <v>0.161745527638436</v>
      </c>
      <c r="O1470">
        <v>0.10571126118168001</v>
      </c>
    </row>
    <row r="1471" spans="1:15" x14ac:dyDescent="0.3">
      <c r="A1471">
        <v>6252</v>
      </c>
      <c r="B1471">
        <v>3270</v>
      </c>
      <c r="C1471">
        <v>497</v>
      </c>
      <c r="D1471" t="s">
        <v>23</v>
      </c>
      <c r="E1471" t="s">
        <v>20</v>
      </c>
      <c r="F1471" t="s">
        <v>17</v>
      </c>
      <c r="G1471" t="s">
        <v>18</v>
      </c>
      <c r="H1471">
        <v>269.7</v>
      </c>
      <c r="I1471">
        <v>245</v>
      </c>
      <c r="J1471">
        <v>94</v>
      </c>
      <c r="K1471">
        <v>67</v>
      </c>
      <c r="L1471">
        <v>24.2</v>
      </c>
      <c r="M1471">
        <v>9</v>
      </c>
      <c r="N1471">
        <v>0.213063167985798</v>
      </c>
      <c r="O1471">
        <v>0.38963074673298098</v>
      </c>
    </row>
    <row r="1472" spans="1:15" x14ac:dyDescent="0.3">
      <c r="A1472">
        <v>6253</v>
      </c>
      <c r="B1472">
        <v>3270</v>
      </c>
      <c r="C1472">
        <v>497</v>
      </c>
      <c r="D1472" t="s">
        <v>23</v>
      </c>
      <c r="E1472" t="s">
        <v>20</v>
      </c>
      <c r="F1472" t="s">
        <v>17</v>
      </c>
      <c r="G1472" t="s">
        <v>18</v>
      </c>
      <c r="H1472">
        <v>269.7</v>
      </c>
      <c r="I1472">
        <v>245</v>
      </c>
      <c r="J1472">
        <v>94</v>
      </c>
      <c r="K1472">
        <v>67</v>
      </c>
      <c r="L1472">
        <v>24.2</v>
      </c>
      <c r="M1472">
        <v>9</v>
      </c>
      <c r="N1472">
        <v>0.20414572229726299</v>
      </c>
      <c r="O1472">
        <v>0.37645158306464899</v>
      </c>
    </row>
    <row r="1473" spans="1:15" x14ac:dyDescent="0.3">
      <c r="A1473">
        <v>6254</v>
      </c>
      <c r="B1473">
        <v>3270</v>
      </c>
      <c r="C1473">
        <v>497</v>
      </c>
      <c r="D1473" t="s">
        <v>23</v>
      </c>
      <c r="E1473" t="s">
        <v>20</v>
      </c>
      <c r="F1473" t="s">
        <v>17</v>
      </c>
      <c r="G1473" t="s">
        <v>18</v>
      </c>
      <c r="H1473">
        <v>269.7</v>
      </c>
      <c r="I1473">
        <v>245</v>
      </c>
      <c r="J1473">
        <v>94</v>
      </c>
      <c r="K1473">
        <v>67</v>
      </c>
      <c r="L1473">
        <v>24.2</v>
      </c>
      <c r="M1473">
        <v>9</v>
      </c>
      <c r="N1473">
        <v>0.22599577770595</v>
      </c>
      <c r="O1473">
        <v>0.38466905736396201</v>
      </c>
    </row>
    <row r="1474" spans="1:15" x14ac:dyDescent="0.3">
      <c r="A1474">
        <v>6255</v>
      </c>
      <c r="B1474">
        <v>3271</v>
      </c>
      <c r="C1474">
        <v>267</v>
      </c>
      <c r="D1474" t="s">
        <v>23</v>
      </c>
      <c r="E1474" t="s">
        <v>20</v>
      </c>
      <c r="F1474" t="s">
        <v>21</v>
      </c>
      <c r="G1474" t="s">
        <v>24</v>
      </c>
      <c r="H1474">
        <v>275.39999999999998</v>
      </c>
      <c r="I1474">
        <v>244.5</v>
      </c>
      <c r="J1474">
        <v>95.4</v>
      </c>
      <c r="K1474">
        <v>67</v>
      </c>
      <c r="L1474">
        <v>22.2</v>
      </c>
      <c r="M1474">
        <v>9.5</v>
      </c>
      <c r="N1474">
        <v>0.27507243665579101</v>
      </c>
      <c r="O1474">
        <v>0.22938401423233501</v>
      </c>
    </row>
    <row r="1475" spans="1:15" x14ac:dyDescent="0.3">
      <c r="A1475">
        <v>6256</v>
      </c>
      <c r="B1475">
        <v>3271</v>
      </c>
      <c r="C1475">
        <v>267</v>
      </c>
      <c r="D1475" t="s">
        <v>23</v>
      </c>
      <c r="E1475" t="s">
        <v>20</v>
      </c>
      <c r="F1475" t="s">
        <v>21</v>
      </c>
      <c r="G1475" t="s">
        <v>24</v>
      </c>
      <c r="H1475">
        <v>275.39999999999998</v>
      </c>
      <c r="I1475">
        <v>244.5</v>
      </c>
      <c r="J1475">
        <v>95.4</v>
      </c>
      <c r="K1475">
        <v>67</v>
      </c>
      <c r="L1475">
        <v>22.2</v>
      </c>
      <c r="M1475">
        <v>9.5</v>
      </c>
      <c r="N1475">
        <v>0.249525314039584</v>
      </c>
      <c r="O1475">
        <v>0.23722800416487899</v>
      </c>
    </row>
    <row r="1476" spans="1:15" x14ac:dyDescent="0.3">
      <c r="A1476">
        <v>6264</v>
      </c>
      <c r="B1476">
        <v>3274</v>
      </c>
      <c r="C1476">
        <v>99</v>
      </c>
      <c r="D1476" t="s">
        <v>19</v>
      </c>
      <c r="E1476" t="s">
        <v>20</v>
      </c>
      <c r="F1476" t="s">
        <v>17</v>
      </c>
      <c r="G1476" t="s">
        <v>18</v>
      </c>
      <c r="H1476">
        <v>277</v>
      </c>
      <c r="I1476">
        <v>257</v>
      </c>
      <c r="J1476">
        <v>99.7</v>
      </c>
      <c r="K1476">
        <v>69</v>
      </c>
      <c r="L1476">
        <v>26.4</v>
      </c>
      <c r="M1476">
        <v>7.5</v>
      </c>
      <c r="N1476">
        <v>0.11086349205533701</v>
      </c>
      <c r="O1476">
        <v>2.4017904769802E-2</v>
      </c>
    </row>
    <row r="1477" spans="1:15" x14ac:dyDescent="0.3">
      <c r="A1477">
        <v>6265</v>
      </c>
      <c r="B1477">
        <v>3274</v>
      </c>
      <c r="C1477">
        <v>99</v>
      </c>
      <c r="D1477" t="s">
        <v>19</v>
      </c>
      <c r="E1477" t="s">
        <v>20</v>
      </c>
      <c r="F1477" t="s">
        <v>17</v>
      </c>
      <c r="G1477" t="s">
        <v>18</v>
      </c>
      <c r="H1477">
        <v>277</v>
      </c>
      <c r="I1477">
        <v>257</v>
      </c>
      <c r="J1477">
        <v>99.7</v>
      </c>
      <c r="K1477">
        <v>69</v>
      </c>
      <c r="L1477">
        <v>26.4</v>
      </c>
      <c r="M1477">
        <v>7.5</v>
      </c>
      <c r="N1477">
        <v>0.11708753700680601</v>
      </c>
      <c r="O1477">
        <v>2.3567292826646699E-2</v>
      </c>
    </row>
    <row r="1478" spans="1:15" x14ac:dyDescent="0.3">
      <c r="A1478">
        <v>6266</v>
      </c>
      <c r="B1478">
        <v>3274</v>
      </c>
      <c r="C1478">
        <v>99</v>
      </c>
      <c r="D1478" t="s">
        <v>19</v>
      </c>
      <c r="E1478" t="s">
        <v>20</v>
      </c>
      <c r="F1478" t="s">
        <v>17</v>
      </c>
      <c r="G1478" t="s">
        <v>18</v>
      </c>
      <c r="H1478">
        <v>277</v>
      </c>
      <c r="I1478">
        <v>257</v>
      </c>
      <c r="J1478">
        <v>99.7</v>
      </c>
      <c r="K1478">
        <v>69</v>
      </c>
      <c r="L1478">
        <v>26.4</v>
      </c>
      <c r="M1478">
        <v>7.5</v>
      </c>
      <c r="N1478">
        <v>8.5848174457779897E-2</v>
      </c>
      <c r="O1478">
        <v>3.1964235937172999E-2</v>
      </c>
    </row>
    <row r="1479" spans="1:15" x14ac:dyDescent="0.3">
      <c r="A1479">
        <v>6267</v>
      </c>
      <c r="B1479">
        <v>3274</v>
      </c>
      <c r="C1479">
        <v>99</v>
      </c>
      <c r="D1479" t="s">
        <v>19</v>
      </c>
      <c r="E1479" t="s">
        <v>20</v>
      </c>
      <c r="F1479" t="s">
        <v>17</v>
      </c>
      <c r="G1479" t="s">
        <v>18</v>
      </c>
      <c r="H1479">
        <v>277</v>
      </c>
      <c r="I1479">
        <v>257</v>
      </c>
      <c r="J1479">
        <v>99.7</v>
      </c>
      <c r="K1479">
        <v>69</v>
      </c>
      <c r="L1479">
        <v>26.4</v>
      </c>
      <c r="M1479">
        <v>7.5</v>
      </c>
      <c r="N1479">
        <v>9.3581448359514902E-2</v>
      </c>
      <c r="O1479">
        <v>3.47403795013186E-2</v>
      </c>
    </row>
    <row r="1480" spans="1:15" x14ac:dyDescent="0.3">
      <c r="A1480">
        <v>6275</v>
      </c>
      <c r="B1480">
        <v>3277</v>
      </c>
      <c r="C1480">
        <v>71</v>
      </c>
      <c r="D1480" t="s">
        <v>23</v>
      </c>
      <c r="E1480" t="s">
        <v>20</v>
      </c>
      <c r="F1480" t="s">
        <v>17</v>
      </c>
      <c r="G1480" t="s">
        <v>24</v>
      </c>
      <c r="H1480">
        <v>281</v>
      </c>
      <c r="I1480">
        <v>265.5</v>
      </c>
      <c r="J1480">
        <v>100.2</v>
      </c>
      <c r="K1480">
        <v>66.5</v>
      </c>
      <c r="L1480">
        <v>25.2</v>
      </c>
      <c r="M1480">
        <v>8</v>
      </c>
      <c r="N1480">
        <v>0.17252158198453801</v>
      </c>
      <c r="O1480">
        <v>0.154814075351033</v>
      </c>
    </row>
    <row r="1481" spans="1:15" x14ac:dyDescent="0.3">
      <c r="A1481">
        <v>6276</v>
      </c>
      <c r="B1481">
        <v>3277</v>
      </c>
      <c r="C1481">
        <v>71</v>
      </c>
      <c r="D1481" t="s">
        <v>23</v>
      </c>
      <c r="E1481" t="s">
        <v>20</v>
      </c>
      <c r="F1481" t="s">
        <v>17</v>
      </c>
      <c r="G1481" t="s">
        <v>24</v>
      </c>
      <c r="H1481">
        <v>281</v>
      </c>
      <c r="I1481">
        <v>265.5</v>
      </c>
      <c r="J1481">
        <v>100.2</v>
      </c>
      <c r="K1481">
        <v>66.5</v>
      </c>
      <c r="L1481">
        <v>25.2</v>
      </c>
      <c r="M1481">
        <v>8</v>
      </c>
      <c r="N1481">
        <v>0.17588337482532501</v>
      </c>
      <c r="O1481">
        <v>0.14370039591625999</v>
      </c>
    </row>
    <row r="1482" spans="1:15" x14ac:dyDescent="0.3">
      <c r="A1482">
        <v>6277</v>
      </c>
      <c r="B1482">
        <v>3277</v>
      </c>
      <c r="C1482">
        <v>71</v>
      </c>
      <c r="D1482" t="s">
        <v>23</v>
      </c>
      <c r="E1482" t="s">
        <v>20</v>
      </c>
      <c r="F1482" t="s">
        <v>17</v>
      </c>
      <c r="G1482" t="s">
        <v>24</v>
      </c>
      <c r="H1482">
        <v>281</v>
      </c>
      <c r="I1482">
        <v>265.5</v>
      </c>
      <c r="J1482">
        <v>100.2</v>
      </c>
      <c r="K1482">
        <v>66.5</v>
      </c>
      <c r="L1482">
        <v>25.2</v>
      </c>
      <c r="M1482">
        <v>8</v>
      </c>
      <c r="N1482">
        <v>0.17672662338109901</v>
      </c>
      <c r="O1482">
        <v>0.14404665125212801</v>
      </c>
    </row>
    <row r="1483" spans="1:15" x14ac:dyDescent="0.3">
      <c r="A1483">
        <v>6278</v>
      </c>
      <c r="B1483">
        <v>3277</v>
      </c>
      <c r="C1483">
        <v>71</v>
      </c>
      <c r="D1483" t="s">
        <v>23</v>
      </c>
      <c r="E1483" t="s">
        <v>20</v>
      </c>
      <c r="F1483" t="s">
        <v>17</v>
      </c>
      <c r="G1483" t="s">
        <v>24</v>
      </c>
      <c r="H1483">
        <v>281</v>
      </c>
      <c r="I1483">
        <v>265.5</v>
      </c>
      <c r="J1483">
        <v>100.2</v>
      </c>
      <c r="K1483">
        <v>66.5</v>
      </c>
      <c r="L1483">
        <v>25.2</v>
      </c>
      <c r="M1483">
        <v>8</v>
      </c>
      <c r="N1483">
        <v>0.171365486447426</v>
      </c>
      <c r="O1483">
        <v>0.16377841688613301</v>
      </c>
    </row>
    <row r="1484" spans="1:15" x14ac:dyDescent="0.3">
      <c r="A1484">
        <v>6280</v>
      </c>
      <c r="B1484">
        <v>3277</v>
      </c>
      <c r="C1484">
        <v>71</v>
      </c>
      <c r="D1484" t="s">
        <v>23</v>
      </c>
      <c r="E1484" t="s">
        <v>20</v>
      </c>
      <c r="F1484" t="s">
        <v>17</v>
      </c>
      <c r="G1484" t="s">
        <v>24</v>
      </c>
      <c r="H1484">
        <v>281</v>
      </c>
      <c r="I1484">
        <v>265.5</v>
      </c>
      <c r="J1484">
        <v>100.2</v>
      </c>
      <c r="K1484">
        <v>66.5</v>
      </c>
      <c r="L1484">
        <v>25.2</v>
      </c>
      <c r="M1484">
        <v>8</v>
      </c>
      <c r="N1484">
        <v>0.15730906289086699</v>
      </c>
      <c r="O1484">
        <v>0.15392455301469299</v>
      </c>
    </row>
    <row r="1485" spans="1:15" x14ac:dyDescent="0.3">
      <c r="A1485">
        <v>6281</v>
      </c>
      <c r="B1485">
        <v>3278</v>
      </c>
      <c r="C1485">
        <v>455</v>
      </c>
      <c r="D1485" t="s">
        <v>19</v>
      </c>
      <c r="E1485" t="s">
        <v>20</v>
      </c>
      <c r="F1485" t="s">
        <v>17</v>
      </c>
      <c r="G1485" t="s">
        <v>22</v>
      </c>
      <c r="H1485">
        <v>278.5</v>
      </c>
      <c r="I1485">
        <v>252.5</v>
      </c>
      <c r="J1485">
        <v>92.8</v>
      </c>
      <c r="K1485">
        <v>69</v>
      </c>
      <c r="L1485">
        <v>25.6</v>
      </c>
      <c r="M1485">
        <v>9</v>
      </c>
      <c r="N1485">
        <v>0.198148183167589</v>
      </c>
      <c r="O1485">
        <v>5.6770584229822299E-2</v>
      </c>
    </row>
    <row r="1486" spans="1:15" x14ac:dyDescent="0.3">
      <c r="A1486">
        <v>6288</v>
      </c>
      <c r="B1486">
        <v>3280</v>
      </c>
      <c r="C1486">
        <v>310</v>
      </c>
      <c r="D1486" t="s">
        <v>19</v>
      </c>
      <c r="E1486" t="s">
        <v>20</v>
      </c>
      <c r="F1486" t="s">
        <v>17</v>
      </c>
      <c r="G1486" t="s">
        <v>22</v>
      </c>
      <c r="H1486">
        <v>273.60000000000002</v>
      </c>
      <c r="I1486">
        <v>255</v>
      </c>
      <c r="J1486">
        <v>95.2</v>
      </c>
      <c r="K1486">
        <v>63.5</v>
      </c>
      <c r="L1486">
        <v>27</v>
      </c>
      <c r="M1486">
        <v>11.5</v>
      </c>
      <c r="N1486">
        <v>3.7720421145420902E-2</v>
      </c>
      <c r="O1486">
        <v>0.131009431672065</v>
      </c>
    </row>
    <row r="1487" spans="1:15" x14ac:dyDescent="0.3">
      <c r="A1487">
        <v>6289</v>
      </c>
      <c r="B1487">
        <v>3280</v>
      </c>
      <c r="C1487">
        <v>310</v>
      </c>
      <c r="D1487" t="s">
        <v>19</v>
      </c>
      <c r="E1487" t="s">
        <v>20</v>
      </c>
      <c r="F1487" t="s">
        <v>17</v>
      </c>
      <c r="G1487" t="s">
        <v>22</v>
      </c>
      <c r="H1487">
        <v>273.60000000000002</v>
      </c>
      <c r="I1487">
        <v>255</v>
      </c>
      <c r="J1487">
        <v>95.2</v>
      </c>
      <c r="K1487">
        <v>63.5</v>
      </c>
      <c r="L1487">
        <v>27</v>
      </c>
      <c r="M1487">
        <v>11.5</v>
      </c>
      <c r="N1487">
        <v>5.7890272532615097E-2</v>
      </c>
      <c r="O1487">
        <v>0.108636552521351</v>
      </c>
    </row>
    <row r="1488" spans="1:15" x14ac:dyDescent="0.3">
      <c r="A1488">
        <v>6290</v>
      </c>
      <c r="B1488">
        <v>3281</v>
      </c>
      <c r="C1488">
        <v>345</v>
      </c>
      <c r="D1488" t="s">
        <v>19</v>
      </c>
      <c r="E1488" t="s">
        <v>20</v>
      </c>
      <c r="F1488" t="s">
        <v>21</v>
      </c>
      <c r="G1488" t="s">
        <v>25</v>
      </c>
      <c r="H1488">
        <v>277.60000000000002</v>
      </c>
      <c r="I1488">
        <v>252.5</v>
      </c>
      <c r="J1488">
        <v>98.4</v>
      </c>
      <c r="K1488">
        <v>67.5</v>
      </c>
      <c r="L1488">
        <v>25.8</v>
      </c>
      <c r="M1488">
        <v>13.5</v>
      </c>
      <c r="N1488">
        <v>0.12914983774814101</v>
      </c>
      <c r="O1488">
        <v>0.105610937561524</v>
      </c>
    </row>
    <row r="1489" spans="1:15" x14ac:dyDescent="0.3">
      <c r="A1489">
        <v>6291</v>
      </c>
      <c r="B1489">
        <v>3281</v>
      </c>
      <c r="C1489">
        <v>345</v>
      </c>
      <c r="D1489" t="s">
        <v>19</v>
      </c>
      <c r="E1489" t="s">
        <v>20</v>
      </c>
      <c r="F1489" t="s">
        <v>21</v>
      </c>
      <c r="G1489" t="s">
        <v>25</v>
      </c>
      <c r="H1489">
        <v>277.60000000000002</v>
      </c>
      <c r="I1489">
        <v>252.5</v>
      </c>
      <c r="J1489">
        <v>98.4</v>
      </c>
      <c r="K1489">
        <v>67.5</v>
      </c>
      <c r="L1489">
        <v>25.8</v>
      </c>
      <c r="M1489">
        <v>13.5</v>
      </c>
      <c r="N1489">
        <v>0.10624579423125501</v>
      </c>
      <c r="O1489">
        <v>9.2619850535686499E-2</v>
      </c>
    </row>
    <row r="1490" spans="1:15" x14ac:dyDescent="0.3">
      <c r="A1490">
        <v>6308</v>
      </c>
      <c r="B1490">
        <v>3290</v>
      </c>
      <c r="C1490">
        <v>238</v>
      </c>
      <c r="D1490" t="s">
        <v>19</v>
      </c>
      <c r="E1490" t="s">
        <v>16</v>
      </c>
      <c r="F1490" t="s">
        <v>21</v>
      </c>
      <c r="G1490" t="s">
        <v>22</v>
      </c>
      <c r="H1490">
        <v>273.3</v>
      </c>
      <c r="I1490">
        <v>246</v>
      </c>
      <c r="J1490">
        <v>92.6</v>
      </c>
      <c r="K1490">
        <v>63.5</v>
      </c>
      <c r="L1490">
        <v>25.5</v>
      </c>
      <c r="M1490">
        <v>9.5</v>
      </c>
      <c r="N1490">
        <v>9.5630005083771896E-2</v>
      </c>
      <c r="O1490">
        <v>0.179342823972749</v>
      </c>
    </row>
    <row r="1491" spans="1:15" x14ac:dyDescent="0.3">
      <c r="A1491">
        <v>6309</v>
      </c>
      <c r="B1491">
        <v>3290</v>
      </c>
      <c r="C1491">
        <v>238</v>
      </c>
      <c r="D1491" t="s">
        <v>19</v>
      </c>
      <c r="E1491" t="s">
        <v>16</v>
      </c>
      <c r="F1491" t="s">
        <v>21</v>
      </c>
      <c r="G1491" t="s">
        <v>22</v>
      </c>
      <c r="H1491">
        <v>273.3</v>
      </c>
      <c r="I1491">
        <v>246</v>
      </c>
      <c r="J1491">
        <v>92.6</v>
      </c>
      <c r="K1491">
        <v>63.5</v>
      </c>
      <c r="L1491">
        <v>25.5</v>
      </c>
      <c r="M1491">
        <v>9.5</v>
      </c>
      <c r="N1491">
        <v>0.114258190678156</v>
      </c>
      <c r="O1491">
        <v>0.16997675222265199</v>
      </c>
    </row>
    <row r="1492" spans="1:15" x14ac:dyDescent="0.3">
      <c r="A1492">
        <v>6310</v>
      </c>
      <c r="B1492">
        <v>3290</v>
      </c>
      <c r="C1492">
        <v>238</v>
      </c>
      <c r="D1492" t="s">
        <v>19</v>
      </c>
      <c r="E1492" t="s">
        <v>16</v>
      </c>
      <c r="F1492" t="s">
        <v>21</v>
      </c>
      <c r="G1492" t="s">
        <v>22</v>
      </c>
      <c r="H1492">
        <v>273.3</v>
      </c>
      <c r="I1492">
        <v>246</v>
      </c>
      <c r="J1492">
        <v>92.6</v>
      </c>
      <c r="K1492">
        <v>63.5</v>
      </c>
      <c r="L1492">
        <v>25.5</v>
      </c>
      <c r="M1492">
        <v>9.5</v>
      </c>
      <c r="N1492">
        <v>0.10899790833080999</v>
      </c>
      <c r="O1492">
        <v>0.144785781854887</v>
      </c>
    </row>
    <row r="1493" spans="1:15" x14ac:dyDescent="0.3">
      <c r="A1493">
        <v>6311</v>
      </c>
      <c r="B1493">
        <v>3290</v>
      </c>
      <c r="C1493">
        <v>238</v>
      </c>
      <c r="D1493" t="s">
        <v>19</v>
      </c>
      <c r="E1493" t="s">
        <v>16</v>
      </c>
      <c r="F1493" t="s">
        <v>21</v>
      </c>
      <c r="G1493" t="s">
        <v>22</v>
      </c>
      <c r="H1493">
        <v>273.3</v>
      </c>
      <c r="I1493">
        <v>246</v>
      </c>
      <c r="J1493">
        <v>92.6</v>
      </c>
      <c r="K1493">
        <v>63.5</v>
      </c>
      <c r="L1493">
        <v>25.5</v>
      </c>
      <c r="M1493">
        <v>9.5</v>
      </c>
      <c r="N1493">
        <v>9.51210431756499E-2</v>
      </c>
      <c r="O1493">
        <v>0.15590083919088399</v>
      </c>
    </row>
    <row r="1494" spans="1:15" x14ac:dyDescent="0.3">
      <c r="A1494">
        <v>6314</v>
      </c>
      <c r="B1494">
        <v>3293</v>
      </c>
      <c r="C1494">
        <v>322</v>
      </c>
      <c r="D1494" t="s">
        <v>23</v>
      </c>
      <c r="E1494" t="s">
        <v>20</v>
      </c>
      <c r="F1494" t="s">
        <v>17</v>
      </c>
      <c r="G1494" t="s">
        <v>22</v>
      </c>
      <c r="H1494">
        <v>276.7</v>
      </c>
      <c r="I1494">
        <v>250</v>
      </c>
      <c r="J1494">
        <v>99.1</v>
      </c>
      <c r="K1494">
        <v>67.5</v>
      </c>
      <c r="L1494">
        <v>26</v>
      </c>
      <c r="M1494">
        <v>5.5</v>
      </c>
      <c r="N1494">
        <v>0.188837872275609</v>
      </c>
      <c r="O1494">
        <v>0.32185571715536798</v>
      </c>
    </row>
    <row r="1495" spans="1:15" x14ac:dyDescent="0.3">
      <c r="A1495">
        <v>6315</v>
      </c>
      <c r="B1495">
        <v>3293</v>
      </c>
      <c r="C1495">
        <v>322</v>
      </c>
      <c r="D1495" t="s">
        <v>23</v>
      </c>
      <c r="E1495" t="s">
        <v>20</v>
      </c>
      <c r="F1495" t="s">
        <v>17</v>
      </c>
      <c r="G1495" t="s">
        <v>22</v>
      </c>
      <c r="H1495">
        <v>276.7</v>
      </c>
      <c r="I1495">
        <v>250</v>
      </c>
      <c r="J1495">
        <v>99.1</v>
      </c>
      <c r="K1495">
        <v>67.5</v>
      </c>
      <c r="L1495">
        <v>26</v>
      </c>
      <c r="M1495">
        <v>5.5</v>
      </c>
      <c r="N1495">
        <v>0.17829773849434699</v>
      </c>
      <c r="O1495">
        <v>0.330848601029544</v>
      </c>
    </row>
    <row r="1496" spans="1:15" x14ac:dyDescent="0.3">
      <c r="A1496">
        <v>6316</v>
      </c>
      <c r="B1496">
        <v>3293</v>
      </c>
      <c r="C1496">
        <v>322</v>
      </c>
      <c r="D1496" t="s">
        <v>23</v>
      </c>
      <c r="E1496" t="s">
        <v>20</v>
      </c>
      <c r="F1496" t="s">
        <v>17</v>
      </c>
      <c r="G1496" t="s">
        <v>22</v>
      </c>
      <c r="H1496">
        <v>276.7</v>
      </c>
      <c r="I1496">
        <v>250</v>
      </c>
      <c r="J1496">
        <v>99.1</v>
      </c>
      <c r="K1496">
        <v>67.5</v>
      </c>
      <c r="L1496">
        <v>26</v>
      </c>
      <c r="M1496">
        <v>5.5</v>
      </c>
      <c r="N1496">
        <v>0.16133935304765201</v>
      </c>
      <c r="O1496">
        <v>0.32900048405786497</v>
      </c>
    </row>
    <row r="1497" spans="1:15" x14ac:dyDescent="0.3">
      <c r="A1497">
        <v>6317</v>
      </c>
      <c r="B1497">
        <v>3293</v>
      </c>
      <c r="C1497">
        <v>322</v>
      </c>
      <c r="D1497" t="s">
        <v>23</v>
      </c>
      <c r="E1497" t="s">
        <v>20</v>
      </c>
      <c r="F1497" t="s">
        <v>17</v>
      </c>
      <c r="G1497" t="s">
        <v>22</v>
      </c>
      <c r="H1497">
        <v>276.7</v>
      </c>
      <c r="I1497">
        <v>250</v>
      </c>
      <c r="J1497">
        <v>99.1</v>
      </c>
      <c r="K1497">
        <v>67.5</v>
      </c>
      <c r="L1497">
        <v>26</v>
      </c>
      <c r="M1497">
        <v>5.5</v>
      </c>
      <c r="N1497">
        <v>0.17615821771065501</v>
      </c>
      <c r="O1497">
        <v>0.32889054719765498</v>
      </c>
    </row>
    <row r="1498" spans="1:15" x14ac:dyDescent="0.3">
      <c r="A1498">
        <v>6324</v>
      </c>
      <c r="B1498">
        <v>3296</v>
      </c>
      <c r="C1498">
        <v>344</v>
      </c>
      <c r="D1498" t="s">
        <v>19</v>
      </c>
      <c r="E1498" t="s">
        <v>16</v>
      </c>
      <c r="F1498" t="s">
        <v>17</v>
      </c>
      <c r="G1498" t="s">
        <v>22</v>
      </c>
      <c r="H1498">
        <v>266.7</v>
      </c>
      <c r="I1498">
        <v>231.5</v>
      </c>
      <c r="J1498">
        <v>87.8</v>
      </c>
      <c r="K1498">
        <v>64.5</v>
      </c>
      <c r="L1498">
        <v>22.5</v>
      </c>
      <c r="M1498">
        <v>9</v>
      </c>
      <c r="N1498">
        <v>0.217652798564759</v>
      </c>
      <c r="O1498">
        <v>0.176860244050842</v>
      </c>
    </row>
    <row r="1499" spans="1:15" x14ac:dyDescent="0.3">
      <c r="A1499">
        <v>6327</v>
      </c>
      <c r="B1499">
        <v>3297</v>
      </c>
      <c r="C1499">
        <v>345</v>
      </c>
      <c r="D1499" t="s">
        <v>19</v>
      </c>
      <c r="E1499" t="s">
        <v>20</v>
      </c>
      <c r="F1499" t="s">
        <v>17</v>
      </c>
      <c r="G1499" t="s">
        <v>22</v>
      </c>
      <c r="H1499">
        <v>277.60000000000002</v>
      </c>
      <c r="I1499">
        <v>252.5</v>
      </c>
      <c r="J1499">
        <v>98.4</v>
      </c>
      <c r="K1499">
        <v>67.5</v>
      </c>
      <c r="L1499">
        <v>25.8</v>
      </c>
      <c r="M1499">
        <v>13.5</v>
      </c>
      <c r="N1499">
        <v>0.125132254374138</v>
      </c>
      <c r="O1499">
        <v>0.101951426797579</v>
      </c>
    </row>
    <row r="1500" spans="1:15" x14ac:dyDescent="0.3">
      <c r="A1500">
        <v>6328</v>
      </c>
      <c r="B1500">
        <v>3297</v>
      </c>
      <c r="C1500">
        <v>345</v>
      </c>
      <c r="D1500" t="s">
        <v>19</v>
      </c>
      <c r="E1500" t="s">
        <v>20</v>
      </c>
      <c r="F1500" t="s">
        <v>17</v>
      </c>
      <c r="G1500" t="s">
        <v>22</v>
      </c>
      <c r="H1500">
        <v>277.60000000000002</v>
      </c>
      <c r="I1500">
        <v>252.5</v>
      </c>
      <c r="J1500">
        <v>98.4</v>
      </c>
      <c r="K1500">
        <v>67.5</v>
      </c>
      <c r="L1500">
        <v>25.8</v>
      </c>
      <c r="M1500">
        <v>13.5</v>
      </c>
      <c r="N1500">
        <v>0.10175281593008199</v>
      </c>
      <c r="O1500">
        <v>8.4445167330209403E-2</v>
      </c>
    </row>
    <row r="1501" spans="1:15" x14ac:dyDescent="0.3">
      <c r="A1501">
        <v>6329</v>
      </c>
      <c r="B1501">
        <v>3297</v>
      </c>
      <c r="C1501">
        <v>345</v>
      </c>
      <c r="D1501" t="s">
        <v>19</v>
      </c>
      <c r="E1501" t="s">
        <v>20</v>
      </c>
      <c r="F1501" t="s">
        <v>17</v>
      </c>
      <c r="G1501" t="s">
        <v>22</v>
      </c>
      <c r="H1501">
        <v>277.60000000000002</v>
      </c>
      <c r="I1501">
        <v>252.5</v>
      </c>
      <c r="J1501">
        <v>98.4</v>
      </c>
      <c r="K1501">
        <v>67.5</v>
      </c>
      <c r="L1501">
        <v>25.8</v>
      </c>
      <c r="M1501">
        <v>13.5</v>
      </c>
      <c r="N1501">
        <v>0.103157279100294</v>
      </c>
      <c r="O1501">
        <v>0.10186038664772901</v>
      </c>
    </row>
    <row r="1502" spans="1:15" x14ac:dyDescent="0.3">
      <c r="A1502">
        <v>6334</v>
      </c>
      <c r="B1502">
        <v>33</v>
      </c>
      <c r="C1502">
        <v>244</v>
      </c>
      <c r="D1502" t="s">
        <v>15</v>
      </c>
      <c r="E1502" t="s">
        <v>20</v>
      </c>
      <c r="F1502" t="s">
        <v>21</v>
      </c>
      <c r="G1502" t="s">
        <v>22</v>
      </c>
      <c r="H1502">
        <v>272.7</v>
      </c>
      <c r="I1502">
        <v>237</v>
      </c>
      <c r="J1502">
        <v>92.4</v>
      </c>
      <c r="K1502">
        <v>64.5</v>
      </c>
      <c r="L1502">
        <v>20.6</v>
      </c>
      <c r="M1502">
        <v>9</v>
      </c>
      <c r="N1502">
        <v>0.24496840224153199</v>
      </c>
      <c r="O1502">
        <v>6.8353360149061307E-2</v>
      </c>
    </row>
    <row r="1503" spans="1:15" x14ac:dyDescent="0.3">
      <c r="A1503">
        <v>6335</v>
      </c>
      <c r="B1503">
        <v>33</v>
      </c>
      <c r="C1503">
        <v>244</v>
      </c>
      <c r="D1503" t="s">
        <v>15</v>
      </c>
      <c r="E1503" t="s">
        <v>20</v>
      </c>
      <c r="F1503" t="s">
        <v>21</v>
      </c>
      <c r="G1503" t="s">
        <v>22</v>
      </c>
      <c r="H1503">
        <v>272.7</v>
      </c>
      <c r="I1503">
        <v>237</v>
      </c>
      <c r="J1503">
        <v>92.4</v>
      </c>
      <c r="K1503">
        <v>64.5</v>
      </c>
      <c r="L1503">
        <v>20.6</v>
      </c>
      <c r="M1503">
        <v>9</v>
      </c>
      <c r="N1503">
        <v>0.25761690394190401</v>
      </c>
      <c r="O1503">
        <v>4.2047512595142902E-2</v>
      </c>
    </row>
    <row r="1504" spans="1:15" x14ac:dyDescent="0.3">
      <c r="A1504">
        <v>6336</v>
      </c>
      <c r="B1504">
        <v>33</v>
      </c>
      <c r="C1504">
        <v>244</v>
      </c>
      <c r="D1504" t="s">
        <v>15</v>
      </c>
      <c r="E1504" t="s">
        <v>20</v>
      </c>
      <c r="F1504" t="s">
        <v>21</v>
      </c>
      <c r="G1504" t="s">
        <v>22</v>
      </c>
      <c r="H1504">
        <v>272.7</v>
      </c>
      <c r="I1504">
        <v>237</v>
      </c>
      <c r="J1504">
        <v>92.4</v>
      </c>
      <c r="K1504">
        <v>64.5</v>
      </c>
      <c r="L1504">
        <v>20.6</v>
      </c>
      <c r="M1504">
        <v>9</v>
      </c>
      <c r="N1504">
        <v>0.27549729370273901</v>
      </c>
      <c r="O1504">
        <v>5.9690218429496997E-2</v>
      </c>
    </row>
    <row r="1505" spans="1:15" x14ac:dyDescent="0.3">
      <c r="A1505">
        <v>6337</v>
      </c>
      <c r="B1505">
        <v>33</v>
      </c>
      <c r="C1505">
        <v>244</v>
      </c>
      <c r="D1505" t="s">
        <v>15</v>
      </c>
      <c r="E1505" t="s">
        <v>20</v>
      </c>
      <c r="F1505" t="s">
        <v>21</v>
      </c>
      <c r="G1505" t="s">
        <v>22</v>
      </c>
      <c r="H1505">
        <v>272.7</v>
      </c>
      <c r="I1505">
        <v>237</v>
      </c>
      <c r="J1505">
        <v>92.4</v>
      </c>
      <c r="K1505">
        <v>64.5</v>
      </c>
      <c r="L1505">
        <v>20.6</v>
      </c>
      <c r="M1505">
        <v>9</v>
      </c>
      <c r="N1505">
        <v>0.257015301439457</v>
      </c>
      <c r="O1505">
        <v>7.1912450318707299E-2</v>
      </c>
    </row>
    <row r="1506" spans="1:15" x14ac:dyDescent="0.3">
      <c r="A1506">
        <v>6338</v>
      </c>
      <c r="B1506">
        <v>33</v>
      </c>
      <c r="C1506">
        <v>244</v>
      </c>
      <c r="D1506" t="s">
        <v>15</v>
      </c>
      <c r="E1506" t="s">
        <v>20</v>
      </c>
      <c r="F1506" t="s">
        <v>21</v>
      </c>
      <c r="G1506" t="s">
        <v>22</v>
      </c>
      <c r="H1506">
        <v>272.7</v>
      </c>
      <c r="I1506">
        <v>237</v>
      </c>
      <c r="J1506">
        <v>92.4</v>
      </c>
      <c r="K1506">
        <v>64.5</v>
      </c>
      <c r="L1506">
        <v>20.6</v>
      </c>
      <c r="M1506">
        <v>9</v>
      </c>
      <c r="N1506">
        <v>0.26674814254915602</v>
      </c>
      <c r="O1506">
        <v>7.5949273516079496E-2</v>
      </c>
    </row>
    <row r="1507" spans="1:15" x14ac:dyDescent="0.3">
      <c r="A1507">
        <v>6339</v>
      </c>
      <c r="B1507">
        <v>33</v>
      </c>
      <c r="C1507">
        <v>244</v>
      </c>
      <c r="D1507" t="s">
        <v>15</v>
      </c>
      <c r="E1507" t="s">
        <v>20</v>
      </c>
      <c r="F1507" t="s">
        <v>21</v>
      </c>
      <c r="G1507" t="s">
        <v>22</v>
      </c>
      <c r="H1507">
        <v>272.7</v>
      </c>
      <c r="I1507">
        <v>237</v>
      </c>
      <c r="J1507">
        <v>92.4</v>
      </c>
      <c r="K1507">
        <v>64.5</v>
      </c>
      <c r="L1507">
        <v>20.6</v>
      </c>
      <c r="M1507">
        <v>9</v>
      </c>
      <c r="N1507">
        <v>0.26525643773743002</v>
      </c>
      <c r="O1507">
        <v>5.85099227944798E-2</v>
      </c>
    </row>
    <row r="1508" spans="1:15" x14ac:dyDescent="0.3">
      <c r="A1508">
        <v>6340</v>
      </c>
      <c r="B1508">
        <v>330</v>
      </c>
      <c r="C1508">
        <v>95</v>
      </c>
      <c r="D1508" t="s">
        <v>23</v>
      </c>
      <c r="E1508" t="s">
        <v>20</v>
      </c>
      <c r="F1508" t="s">
        <v>17</v>
      </c>
      <c r="G1508" t="s">
        <v>25</v>
      </c>
      <c r="H1508">
        <v>276.60000000000002</v>
      </c>
      <c r="I1508">
        <v>250.5</v>
      </c>
      <c r="J1508">
        <v>100</v>
      </c>
      <c r="K1508">
        <v>67</v>
      </c>
      <c r="L1508">
        <v>28.2</v>
      </c>
      <c r="M1508">
        <v>6.5</v>
      </c>
      <c r="N1508">
        <v>0.107945077866381</v>
      </c>
      <c r="O1508">
        <v>0.31837312162292197</v>
      </c>
    </row>
    <row r="1509" spans="1:15" x14ac:dyDescent="0.3">
      <c r="A1509">
        <v>6347</v>
      </c>
      <c r="B1509">
        <v>3303</v>
      </c>
      <c r="C1509">
        <v>335</v>
      </c>
      <c r="D1509" t="s">
        <v>19</v>
      </c>
      <c r="E1509" t="s">
        <v>20</v>
      </c>
      <c r="F1509" t="s">
        <v>17</v>
      </c>
      <c r="G1509" t="s">
        <v>25</v>
      </c>
      <c r="H1509">
        <v>278.5</v>
      </c>
      <c r="I1509">
        <v>240.5</v>
      </c>
      <c r="J1509">
        <v>94.4</v>
      </c>
      <c r="K1509">
        <v>69</v>
      </c>
      <c r="L1509">
        <v>25.8</v>
      </c>
      <c r="M1509">
        <v>8.5</v>
      </c>
      <c r="N1509">
        <v>3.7024433890356902E-2</v>
      </c>
      <c r="O1509">
        <v>3.48802789062529E-2</v>
      </c>
    </row>
    <row r="1510" spans="1:15" x14ac:dyDescent="0.3">
      <c r="A1510">
        <v>6348</v>
      </c>
      <c r="B1510">
        <v>3303</v>
      </c>
      <c r="C1510">
        <v>335</v>
      </c>
      <c r="D1510" t="s">
        <v>19</v>
      </c>
      <c r="E1510" t="s">
        <v>20</v>
      </c>
      <c r="F1510" t="s">
        <v>17</v>
      </c>
      <c r="G1510" t="s">
        <v>25</v>
      </c>
      <c r="H1510">
        <v>278.5</v>
      </c>
      <c r="I1510">
        <v>240.5</v>
      </c>
      <c r="J1510">
        <v>94.4</v>
      </c>
      <c r="K1510">
        <v>69</v>
      </c>
      <c r="L1510">
        <v>25.8</v>
      </c>
      <c r="M1510">
        <v>8.5</v>
      </c>
      <c r="N1510">
        <v>4.7001390560579399E-2</v>
      </c>
      <c r="O1510">
        <v>2.0467403438841899E-2</v>
      </c>
    </row>
    <row r="1511" spans="1:15" x14ac:dyDescent="0.3">
      <c r="A1511">
        <v>6352</v>
      </c>
      <c r="B1511">
        <v>3307</v>
      </c>
      <c r="C1511">
        <v>351</v>
      </c>
      <c r="D1511" t="s">
        <v>23</v>
      </c>
      <c r="E1511" t="s">
        <v>20</v>
      </c>
      <c r="F1511" t="s">
        <v>17</v>
      </c>
      <c r="G1511" t="s">
        <v>18</v>
      </c>
      <c r="H1511">
        <v>277.60000000000002</v>
      </c>
      <c r="I1511">
        <v>246.5</v>
      </c>
      <c r="J1511">
        <v>93.9</v>
      </c>
      <c r="K1511">
        <v>67.5</v>
      </c>
      <c r="L1511">
        <v>27.5</v>
      </c>
      <c r="M1511">
        <v>8</v>
      </c>
      <c r="N1511">
        <v>0.14763897776226401</v>
      </c>
      <c r="O1511">
        <v>0.28584193673074898</v>
      </c>
    </row>
    <row r="1512" spans="1:15" x14ac:dyDescent="0.3">
      <c r="A1512">
        <v>6353</v>
      </c>
      <c r="B1512">
        <v>3307</v>
      </c>
      <c r="C1512">
        <v>351</v>
      </c>
      <c r="D1512" t="s">
        <v>23</v>
      </c>
      <c r="E1512" t="s">
        <v>20</v>
      </c>
      <c r="F1512" t="s">
        <v>17</v>
      </c>
      <c r="G1512" t="s">
        <v>18</v>
      </c>
      <c r="H1512">
        <v>277.60000000000002</v>
      </c>
      <c r="I1512">
        <v>246.5</v>
      </c>
      <c r="J1512">
        <v>93.9</v>
      </c>
      <c r="K1512">
        <v>67.5</v>
      </c>
      <c r="L1512">
        <v>27.5</v>
      </c>
      <c r="M1512">
        <v>8</v>
      </c>
      <c r="N1512">
        <v>0.17924837015992701</v>
      </c>
      <c r="O1512">
        <v>0.31231126232794698</v>
      </c>
    </row>
    <row r="1513" spans="1:15" x14ac:dyDescent="0.3">
      <c r="A1513">
        <v>6354</v>
      </c>
      <c r="B1513">
        <v>3307</v>
      </c>
      <c r="C1513">
        <v>351</v>
      </c>
      <c r="D1513" t="s">
        <v>23</v>
      </c>
      <c r="E1513" t="s">
        <v>20</v>
      </c>
      <c r="F1513" t="s">
        <v>17</v>
      </c>
      <c r="G1513" t="s">
        <v>18</v>
      </c>
      <c r="H1513">
        <v>277.60000000000002</v>
      </c>
      <c r="I1513">
        <v>246.5</v>
      </c>
      <c r="J1513">
        <v>93.9</v>
      </c>
      <c r="K1513">
        <v>67.5</v>
      </c>
      <c r="L1513">
        <v>27.5</v>
      </c>
      <c r="M1513">
        <v>8</v>
      </c>
      <c r="N1513">
        <v>0.152648389928423</v>
      </c>
      <c r="O1513">
        <v>0.29200337873934801</v>
      </c>
    </row>
    <row r="1514" spans="1:15" x14ac:dyDescent="0.3">
      <c r="A1514">
        <v>6355</v>
      </c>
      <c r="B1514">
        <v>3307</v>
      </c>
      <c r="C1514">
        <v>351</v>
      </c>
      <c r="D1514" t="s">
        <v>23</v>
      </c>
      <c r="E1514" t="s">
        <v>20</v>
      </c>
      <c r="F1514" t="s">
        <v>17</v>
      </c>
      <c r="G1514" t="s">
        <v>18</v>
      </c>
      <c r="H1514">
        <v>277.60000000000002</v>
      </c>
      <c r="I1514">
        <v>246.5</v>
      </c>
      <c r="J1514">
        <v>93.9</v>
      </c>
      <c r="K1514">
        <v>67.5</v>
      </c>
      <c r="L1514">
        <v>27.5</v>
      </c>
      <c r="M1514">
        <v>8</v>
      </c>
      <c r="N1514">
        <v>0.15819705330311901</v>
      </c>
      <c r="O1514">
        <v>0.30514356072579801</v>
      </c>
    </row>
    <row r="1515" spans="1:15" x14ac:dyDescent="0.3">
      <c r="A1515">
        <v>6356</v>
      </c>
      <c r="B1515">
        <v>3307</v>
      </c>
      <c r="C1515">
        <v>351</v>
      </c>
      <c r="D1515" t="s">
        <v>23</v>
      </c>
      <c r="E1515" t="s">
        <v>20</v>
      </c>
      <c r="F1515" t="s">
        <v>17</v>
      </c>
      <c r="G1515" t="s">
        <v>18</v>
      </c>
      <c r="H1515">
        <v>277.60000000000002</v>
      </c>
      <c r="I1515">
        <v>246.5</v>
      </c>
      <c r="J1515">
        <v>93.9</v>
      </c>
      <c r="K1515">
        <v>67.5</v>
      </c>
      <c r="L1515">
        <v>27.5</v>
      </c>
      <c r="M1515">
        <v>8</v>
      </c>
      <c r="N1515">
        <v>0.16955249442984999</v>
      </c>
      <c r="O1515">
        <v>0.29321765536831901</v>
      </c>
    </row>
    <row r="1516" spans="1:15" x14ac:dyDescent="0.3">
      <c r="A1516">
        <v>6364</v>
      </c>
      <c r="B1516">
        <v>3310</v>
      </c>
      <c r="C1516">
        <v>413</v>
      </c>
      <c r="D1516" t="s">
        <v>19</v>
      </c>
      <c r="E1516" t="s">
        <v>20</v>
      </c>
      <c r="F1516" t="s">
        <v>21</v>
      </c>
      <c r="G1516" t="s">
        <v>25</v>
      </c>
      <c r="H1516">
        <v>279</v>
      </c>
      <c r="I1516">
        <v>247.5</v>
      </c>
      <c r="J1516">
        <v>93.5</v>
      </c>
      <c r="K1516">
        <v>66</v>
      </c>
      <c r="L1516">
        <v>25.5</v>
      </c>
      <c r="M1516">
        <v>10</v>
      </c>
      <c r="N1516">
        <v>0.22349977735368101</v>
      </c>
      <c r="O1516">
        <v>8.5255962871356894E-2</v>
      </c>
    </row>
    <row r="1517" spans="1:15" x14ac:dyDescent="0.3">
      <c r="A1517">
        <v>6365</v>
      </c>
      <c r="B1517">
        <v>3310</v>
      </c>
      <c r="C1517">
        <v>413</v>
      </c>
      <c r="D1517" t="s">
        <v>19</v>
      </c>
      <c r="E1517" t="s">
        <v>20</v>
      </c>
      <c r="F1517" t="s">
        <v>21</v>
      </c>
      <c r="G1517" t="s">
        <v>25</v>
      </c>
      <c r="H1517">
        <v>279</v>
      </c>
      <c r="I1517">
        <v>247.5</v>
      </c>
      <c r="J1517">
        <v>93.5</v>
      </c>
      <c r="K1517">
        <v>66</v>
      </c>
      <c r="L1517">
        <v>25.5</v>
      </c>
      <c r="M1517">
        <v>10</v>
      </c>
      <c r="N1517">
        <v>0.24396641035185801</v>
      </c>
      <c r="O1517">
        <v>6.3258973465923907E-2</v>
      </c>
    </row>
    <row r="1518" spans="1:15" x14ac:dyDescent="0.3">
      <c r="A1518">
        <v>6366</v>
      </c>
      <c r="B1518">
        <v>3312</v>
      </c>
      <c r="C1518">
        <v>298</v>
      </c>
      <c r="D1518" t="s">
        <v>19</v>
      </c>
      <c r="E1518" t="s">
        <v>20</v>
      </c>
      <c r="F1518" t="s">
        <v>17</v>
      </c>
      <c r="G1518" t="s">
        <v>25</v>
      </c>
      <c r="H1518">
        <v>275.60000000000002</v>
      </c>
      <c r="I1518">
        <v>251</v>
      </c>
      <c r="J1518">
        <v>95.1</v>
      </c>
      <c r="K1518">
        <v>66.5</v>
      </c>
      <c r="L1518">
        <v>25.3</v>
      </c>
      <c r="M1518">
        <v>10.5</v>
      </c>
      <c r="N1518">
        <v>0.27734687899003801</v>
      </c>
      <c r="O1518">
        <v>7.14400236609119E-2</v>
      </c>
    </row>
    <row r="1519" spans="1:15" x14ac:dyDescent="0.3">
      <c r="A1519">
        <v>6375</v>
      </c>
      <c r="B1519">
        <v>3315</v>
      </c>
      <c r="C1519">
        <v>31</v>
      </c>
      <c r="D1519" t="s">
        <v>23</v>
      </c>
      <c r="E1519" t="s">
        <v>16</v>
      </c>
      <c r="F1519" t="s">
        <v>21</v>
      </c>
      <c r="G1519" t="s">
        <v>18</v>
      </c>
      <c r="H1519">
        <v>274</v>
      </c>
      <c r="I1519">
        <v>250</v>
      </c>
      <c r="J1519">
        <v>99.4</v>
      </c>
      <c r="K1519">
        <v>68.5</v>
      </c>
      <c r="L1519">
        <v>23.2</v>
      </c>
      <c r="M1519">
        <v>10</v>
      </c>
      <c r="N1519">
        <v>0.213660973211792</v>
      </c>
      <c r="O1519">
        <v>0.182845359663908</v>
      </c>
    </row>
    <row r="1520" spans="1:15" x14ac:dyDescent="0.3">
      <c r="A1520">
        <v>6376</v>
      </c>
      <c r="B1520">
        <v>3315</v>
      </c>
      <c r="C1520">
        <v>31</v>
      </c>
      <c r="D1520" t="s">
        <v>23</v>
      </c>
      <c r="E1520" t="s">
        <v>16</v>
      </c>
      <c r="F1520" t="s">
        <v>21</v>
      </c>
      <c r="G1520" t="s">
        <v>18</v>
      </c>
      <c r="H1520">
        <v>274</v>
      </c>
      <c r="I1520">
        <v>250</v>
      </c>
      <c r="J1520">
        <v>99.4</v>
      </c>
      <c r="K1520">
        <v>68.5</v>
      </c>
      <c r="L1520">
        <v>23.2</v>
      </c>
      <c r="M1520">
        <v>10</v>
      </c>
      <c r="N1520">
        <v>0.20474117748099599</v>
      </c>
      <c r="O1520">
        <v>0.16207854771372099</v>
      </c>
    </row>
    <row r="1521" spans="1:15" x14ac:dyDescent="0.3">
      <c r="A1521">
        <v>6383</v>
      </c>
      <c r="B1521">
        <v>3317</v>
      </c>
      <c r="C1521">
        <v>203</v>
      </c>
      <c r="D1521" t="s">
        <v>19</v>
      </c>
      <c r="E1521" t="s">
        <v>20</v>
      </c>
      <c r="F1521" t="s">
        <v>17</v>
      </c>
      <c r="G1521" t="s">
        <v>24</v>
      </c>
      <c r="H1521">
        <v>277.60000000000002</v>
      </c>
      <c r="I1521">
        <v>247.5</v>
      </c>
      <c r="J1521">
        <v>94</v>
      </c>
      <c r="K1521">
        <v>65</v>
      </c>
      <c r="L1521">
        <v>24.9</v>
      </c>
      <c r="M1521">
        <v>9.5</v>
      </c>
      <c r="N1521">
        <v>0.250899024864503</v>
      </c>
      <c r="O1521">
        <v>5.7270824577829497E-2</v>
      </c>
    </row>
    <row r="1522" spans="1:15" x14ac:dyDescent="0.3">
      <c r="A1522">
        <v>6384</v>
      </c>
      <c r="B1522">
        <v>3317</v>
      </c>
      <c r="C1522">
        <v>203</v>
      </c>
      <c r="D1522" t="s">
        <v>19</v>
      </c>
      <c r="E1522" t="s">
        <v>20</v>
      </c>
      <c r="F1522" t="s">
        <v>17</v>
      </c>
      <c r="G1522" t="s">
        <v>24</v>
      </c>
      <c r="H1522">
        <v>277.60000000000002</v>
      </c>
      <c r="I1522">
        <v>247.5</v>
      </c>
      <c r="J1522">
        <v>94</v>
      </c>
      <c r="K1522">
        <v>65</v>
      </c>
      <c r="L1522">
        <v>24.9</v>
      </c>
      <c r="M1522">
        <v>9.5</v>
      </c>
      <c r="N1522">
        <v>0.26979671153199802</v>
      </c>
      <c r="O1522">
        <v>3.4317775730937597E-2</v>
      </c>
    </row>
    <row r="1523" spans="1:15" x14ac:dyDescent="0.3">
      <c r="A1523">
        <v>6385</v>
      </c>
      <c r="B1523">
        <v>3318</v>
      </c>
      <c r="C1523">
        <v>466</v>
      </c>
      <c r="D1523" t="s">
        <v>23</v>
      </c>
      <c r="E1523" t="s">
        <v>20</v>
      </c>
      <c r="F1523" t="s">
        <v>21</v>
      </c>
      <c r="G1523" t="s">
        <v>24</v>
      </c>
      <c r="H1523">
        <v>282.10000000000002</v>
      </c>
      <c r="I1523">
        <v>257</v>
      </c>
      <c r="J1523">
        <v>100.3</v>
      </c>
      <c r="K1523">
        <v>68.5</v>
      </c>
      <c r="L1523">
        <v>27.5</v>
      </c>
      <c r="M1523">
        <v>11</v>
      </c>
      <c r="N1523">
        <v>7.5623560696716899E-2</v>
      </c>
      <c r="O1523">
        <v>0.29339194155862103</v>
      </c>
    </row>
    <row r="1524" spans="1:15" x14ac:dyDescent="0.3">
      <c r="A1524">
        <v>6386</v>
      </c>
      <c r="B1524">
        <v>3318</v>
      </c>
      <c r="C1524">
        <v>466</v>
      </c>
      <c r="D1524" t="s">
        <v>23</v>
      </c>
      <c r="E1524" t="s">
        <v>20</v>
      </c>
      <c r="F1524" t="s">
        <v>21</v>
      </c>
      <c r="G1524" t="s">
        <v>24</v>
      </c>
      <c r="H1524">
        <v>282.10000000000002</v>
      </c>
      <c r="I1524">
        <v>257</v>
      </c>
      <c r="J1524">
        <v>100.3</v>
      </c>
      <c r="K1524">
        <v>68.5</v>
      </c>
      <c r="L1524">
        <v>27.5</v>
      </c>
      <c r="M1524">
        <v>11</v>
      </c>
      <c r="N1524">
        <v>7.0457464316615898E-2</v>
      </c>
      <c r="O1524">
        <v>0.27025435446436602</v>
      </c>
    </row>
    <row r="1525" spans="1:15" x14ac:dyDescent="0.3">
      <c r="A1525">
        <v>6387</v>
      </c>
      <c r="B1525">
        <v>3319</v>
      </c>
      <c r="C1525">
        <v>147</v>
      </c>
      <c r="D1525" t="s">
        <v>19</v>
      </c>
      <c r="E1525" t="s">
        <v>20</v>
      </c>
      <c r="F1525" t="s">
        <v>21</v>
      </c>
      <c r="G1525" t="s">
        <v>26</v>
      </c>
      <c r="H1525">
        <v>274.7</v>
      </c>
      <c r="I1525">
        <v>246</v>
      </c>
      <c r="J1525">
        <v>94.8</v>
      </c>
      <c r="K1525">
        <v>66.5</v>
      </c>
      <c r="L1525">
        <v>23.6</v>
      </c>
      <c r="M1525">
        <v>10.5</v>
      </c>
      <c r="N1525">
        <v>0.14392868809551099</v>
      </c>
      <c r="O1525">
        <v>0.104709176723866</v>
      </c>
    </row>
    <row r="1526" spans="1:15" x14ac:dyDescent="0.3">
      <c r="A1526">
        <v>6388</v>
      </c>
      <c r="B1526">
        <v>3319</v>
      </c>
      <c r="C1526">
        <v>147</v>
      </c>
      <c r="D1526" t="s">
        <v>19</v>
      </c>
      <c r="E1526" t="s">
        <v>20</v>
      </c>
      <c r="F1526" t="s">
        <v>21</v>
      </c>
      <c r="G1526" t="s">
        <v>26</v>
      </c>
      <c r="H1526">
        <v>274.7</v>
      </c>
      <c r="I1526">
        <v>246</v>
      </c>
      <c r="J1526">
        <v>94.8</v>
      </c>
      <c r="K1526">
        <v>66.5</v>
      </c>
      <c r="L1526">
        <v>23.6</v>
      </c>
      <c r="M1526">
        <v>10.5</v>
      </c>
      <c r="N1526">
        <v>0.147751848239563</v>
      </c>
      <c r="O1526">
        <v>0.12186014682313499</v>
      </c>
    </row>
    <row r="1527" spans="1:15" x14ac:dyDescent="0.3">
      <c r="A1527">
        <v>6389</v>
      </c>
      <c r="B1527">
        <v>3319</v>
      </c>
      <c r="C1527">
        <v>147</v>
      </c>
      <c r="D1527" t="s">
        <v>19</v>
      </c>
      <c r="E1527" t="s">
        <v>20</v>
      </c>
      <c r="F1527" t="s">
        <v>21</v>
      </c>
      <c r="G1527" t="s">
        <v>26</v>
      </c>
      <c r="H1527">
        <v>274.7</v>
      </c>
      <c r="I1527">
        <v>246</v>
      </c>
      <c r="J1527">
        <v>94.8</v>
      </c>
      <c r="K1527">
        <v>66.5</v>
      </c>
      <c r="L1527">
        <v>23.6</v>
      </c>
      <c r="M1527">
        <v>10.5</v>
      </c>
      <c r="N1527">
        <v>0.120725067481968</v>
      </c>
      <c r="O1527">
        <v>0.10320784216888</v>
      </c>
    </row>
    <row r="1528" spans="1:15" x14ac:dyDescent="0.3">
      <c r="A1528">
        <v>6393</v>
      </c>
      <c r="B1528">
        <v>3321</v>
      </c>
      <c r="C1528">
        <v>246</v>
      </c>
      <c r="D1528" t="s">
        <v>23</v>
      </c>
      <c r="E1528" t="s">
        <v>16</v>
      </c>
      <c r="F1528" t="s">
        <v>17</v>
      </c>
      <c r="G1528" t="s">
        <v>26</v>
      </c>
      <c r="H1528">
        <v>278.2</v>
      </c>
      <c r="I1528">
        <v>257</v>
      </c>
      <c r="J1528">
        <v>97.9</v>
      </c>
      <c r="K1528">
        <v>67</v>
      </c>
      <c r="L1528">
        <v>24.3</v>
      </c>
      <c r="M1528">
        <v>12.5</v>
      </c>
      <c r="N1528">
        <v>0.14853825425925801</v>
      </c>
      <c r="O1528">
        <v>0.39900875360292998</v>
      </c>
    </row>
    <row r="1529" spans="1:15" x14ac:dyDescent="0.3">
      <c r="A1529">
        <v>6394</v>
      </c>
      <c r="B1529">
        <v>3321</v>
      </c>
      <c r="C1529">
        <v>246</v>
      </c>
      <c r="D1529" t="s">
        <v>23</v>
      </c>
      <c r="E1529" t="s">
        <v>16</v>
      </c>
      <c r="F1529" t="s">
        <v>17</v>
      </c>
      <c r="G1529" t="s">
        <v>26</v>
      </c>
      <c r="H1529">
        <v>278.2</v>
      </c>
      <c r="I1529">
        <v>257</v>
      </c>
      <c r="J1529">
        <v>97.9</v>
      </c>
      <c r="K1529">
        <v>67</v>
      </c>
      <c r="L1529">
        <v>24.3</v>
      </c>
      <c r="M1529">
        <v>12.5</v>
      </c>
      <c r="N1529">
        <v>0.165276902747898</v>
      </c>
      <c r="O1529">
        <v>0.389551729052171</v>
      </c>
    </row>
    <row r="1530" spans="1:15" x14ac:dyDescent="0.3">
      <c r="A1530">
        <v>6395</v>
      </c>
      <c r="B1530">
        <v>3321</v>
      </c>
      <c r="C1530">
        <v>246</v>
      </c>
      <c r="D1530" t="s">
        <v>23</v>
      </c>
      <c r="E1530" t="s">
        <v>16</v>
      </c>
      <c r="F1530" t="s">
        <v>17</v>
      </c>
      <c r="G1530" t="s">
        <v>26</v>
      </c>
      <c r="H1530">
        <v>278.2</v>
      </c>
      <c r="I1530">
        <v>257</v>
      </c>
      <c r="J1530">
        <v>97.9</v>
      </c>
      <c r="K1530">
        <v>67</v>
      </c>
      <c r="L1530">
        <v>24.3</v>
      </c>
      <c r="M1530">
        <v>12.5</v>
      </c>
      <c r="N1530">
        <v>0.14814381440967</v>
      </c>
      <c r="O1530">
        <v>0.38967158471144903</v>
      </c>
    </row>
    <row r="1531" spans="1:15" x14ac:dyDescent="0.3">
      <c r="A1531">
        <v>6401</v>
      </c>
      <c r="B1531">
        <v>3324</v>
      </c>
      <c r="C1531">
        <v>190</v>
      </c>
      <c r="D1531" t="s">
        <v>23</v>
      </c>
      <c r="E1531" t="s">
        <v>20</v>
      </c>
      <c r="F1531" t="s">
        <v>17</v>
      </c>
      <c r="G1531" t="s">
        <v>24</v>
      </c>
      <c r="H1531">
        <v>276.60000000000002</v>
      </c>
      <c r="I1531">
        <v>243.5</v>
      </c>
      <c r="J1531">
        <v>94.8</v>
      </c>
      <c r="K1531">
        <v>67</v>
      </c>
      <c r="L1531">
        <v>27</v>
      </c>
      <c r="M1531">
        <v>9.5</v>
      </c>
      <c r="N1531">
        <v>9.4496385057691604E-2</v>
      </c>
      <c r="O1531">
        <v>0.28184983475629499</v>
      </c>
    </row>
    <row r="1532" spans="1:15" x14ac:dyDescent="0.3">
      <c r="A1532">
        <v>6402</v>
      </c>
      <c r="B1532">
        <v>3325</v>
      </c>
      <c r="C1532">
        <v>417</v>
      </c>
      <c r="D1532" t="s">
        <v>19</v>
      </c>
      <c r="E1532" t="s">
        <v>16</v>
      </c>
      <c r="F1532" t="s">
        <v>17</v>
      </c>
      <c r="G1532" t="s">
        <v>24</v>
      </c>
      <c r="H1532">
        <v>268.60000000000002</v>
      </c>
      <c r="I1532">
        <v>234.5</v>
      </c>
      <c r="J1532">
        <v>92.8</v>
      </c>
      <c r="K1532">
        <v>64</v>
      </c>
      <c r="L1532">
        <v>24.3</v>
      </c>
      <c r="M1532">
        <v>5</v>
      </c>
      <c r="N1532">
        <v>0.221380125030673</v>
      </c>
      <c r="O1532">
        <v>0.13814628677662899</v>
      </c>
    </row>
    <row r="1533" spans="1:15" x14ac:dyDescent="0.3">
      <c r="A1533">
        <v>6403</v>
      </c>
      <c r="B1533">
        <v>3325</v>
      </c>
      <c r="C1533">
        <v>417</v>
      </c>
      <c r="D1533" t="s">
        <v>19</v>
      </c>
      <c r="E1533" t="s">
        <v>16</v>
      </c>
      <c r="F1533" t="s">
        <v>17</v>
      </c>
      <c r="G1533" t="s">
        <v>24</v>
      </c>
      <c r="H1533">
        <v>268.60000000000002</v>
      </c>
      <c r="I1533">
        <v>234.5</v>
      </c>
      <c r="J1533">
        <v>92.8</v>
      </c>
      <c r="K1533">
        <v>64</v>
      </c>
      <c r="L1533">
        <v>24.3</v>
      </c>
      <c r="M1533">
        <v>5</v>
      </c>
      <c r="N1533">
        <v>0.19293878587143201</v>
      </c>
      <c r="O1533">
        <v>0.15316788386750699</v>
      </c>
    </row>
    <row r="1534" spans="1:15" x14ac:dyDescent="0.3">
      <c r="A1534">
        <v>6404</v>
      </c>
      <c r="B1534">
        <v>3325</v>
      </c>
      <c r="C1534">
        <v>417</v>
      </c>
      <c r="D1534" t="s">
        <v>19</v>
      </c>
      <c r="E1534" t="s">
        <v>16</v>
      </c>
      <c r="F1534" t="s">
        <v>17</v>
      </c>
      <c r="G1534" t="s">
        <v>24</v>
      </c>
      <c r="H1534">
        <v>268.60000000000002</v>
      </c>
      <c r="I1534">
        <v>234.5</v>
      </c>
      <c r="J1534">
        <v>92.8</v>
      </c>
      <c r="K1534">
        <v>64</v>
      </c>
      <c r="L1534">
        <v>24.3</v>
      </c>
      <c r="M1534">
        <v>5</v>
      </c>
      <c r="N1534">
        <v>0.20671148196146499</v>
      </c>
      <c r="O1534">
        <v>0.16325008732560201</v>
      </c>
    </row>
    <row r="1535" spans="1:15" x14ac:dyDescent="0.3">
      <c r="A1535">
        <v>6405</v>
      </c>
      <c r="B1535">
        <v>3325</v>
      </c>
      <c r="C1535">
        <v>417</v>
      </c>
      <c r="D1535" t="s">
        <v>19</v>
      </c>
      <c r="E1535" t="s">
        <v>16</v>
      </c>
      <c r="F1535" t="s">
        <v>17</v>
      </c>
      <c r="G1535" t="s">
        <v>24</v>
      </c>
      <c r="H1535">
        <v>268.60000000000002</v>
      </c>
      <c r="I1535">
        <v>234.5</v>
      </c>
      <c r="J1535">
        <v>92.8</v>
      </c>
      <c r="K1535">
        <v>64</v>
      </c>
      <c r="L1535">
        <v>24.3</v>
      </c>
      <c r="M1535">
        <v>5</v>
      </c>
      <c r="N1535">
        <v>0.21550661626839601</v>
      </c>
      <c r="O1535">
        <v>0.15437946502057201</v>
      </c>
    </row>
    <row r="1536" spans="1:15" x14ac:dyDescent="0.3">
      <c r="A1536">
        <v>6406</v>
      </c>
      <c r="B1536">
        <v>3325</v>
      </c>
      <c r="C1536">
        <v>417</v>
      </c>
      <c r="D1536" t="s">
        <v>19</v>
      </c>
      <c r="E1536" t="s">
        <v>16</v>
      </c>
      <c r="F1536" t="s">
        <v>17</v>
      </c>
      <c r="G1536" t="s">
        <v>24</v>
      </c>
      <c r="H1536">
        <v>268.60000000000002</v>
      </c>
      <c r="I1536">
        <v>234.5</v>
      </c>
      <c r="J1536">
        <v>92.8</v>
      </c>
      <c r="K1536">
        <v>64</v>
      </c>
      <c r="L1536">
        <v>24.3</v>
      </c>
      <c r="M1536">
        <v>5</v>
      </c>
      <c r="N1536">
        <v>0.22387110648109099</v>
      </c>
      <c r="O1536">
        <v>0.138962818629636</v>
      </c>
    </row>
    <row r="1537" spans="1:15" x14ac:dyDescent="0.3">
      <c r="A1537">
        <v>6407</v>
      </c>
      <c r="B1537">
        <v>3325</v>
      </c>
      <c r="C1537">
        <v>417</v>
      </c>
      <c r="D1537" t="s">
        <v>19</v>
      </c>
      <c r="E1537" t="s">
        <v>16</v>
      </c>
      <c r="F1537" t="s">
        <v>17</v>
      </c>
      <c r="G1537" t="s">
        <v>24</v>
      </c>
      <c r="H1537">
        <v>268.60000000000002</v>
      </c>
      <c r="I1537">
        <v>234.5</v>
      </c>
      <c r="J1537">
        <v>92.8</v>
      </c>
      <c r="K1537">
        <v>64</v>
      </c>
      <c r="L1537">
        <v>24.3</v>
      </c>
      <c r="M1537">
        <v>5</v>
      </c>
      <c r="N1537">
        <v>0.223529790837634</v>
      </c>
      <c r="O1537">
        <v>0.14962918143124401</v>
      </c>
    </row>
    <row r="1538" spans="1:15" x14ac:dyDescent="0.3">
      <c r="A1538">
        <v>6432</v>
      </c>
      <c r="B1538">
        <v>3333</v>
      </c>
      <c r="C1538">
        <v>68</v>
      </c>
      <c r="D1538" t="s">
        <v>19</v>
      </c>
      <c r="E1538" t="s">
        <v>20</v>
      </c>
      <c r="F1538" t="s">
        <v>17</v>
      </c>
      <c r="G1538" t="s">
        <v>22</v>
      </c>
      <c r="H1538">
        <v>275.60000000000002</v>
      </c>
      <c r="I1538">
        <v>254.5</v>
      </c>
      <c r="J1538">
        <v>95.5</v>
      </c>
      <c r="K1538">
        <v>65.5</v>
      </c>
      <c r="L1538">
        <v>29.1</v>
      </c>
      <c r="M1538">
        <v>10</v>
      </c>
      <c r="N1538">
        <v>0.20156888046941701</v>
      </c>
      <c r="O1538">
        <v>0.15516206063467999</v>
      </c>
    </row>
    <row r="1539" spans="1:15" x14ac:dyDescent="0.3">
      <c r="A1539">
        <v>6433</v>
      </c>
      <c r="B1539">
        <v>3333</v>
      </c>
      <c r="C1539">
        <v>68</v>
      </c>
      <c r="D1539" t="s">
        <v>19</v>
      </c>
      <c r="E1539" t="s">
        <v>20</v>
      </c>
      <c r="F1539" t="s">
        <v>17</v>
      </c>
      <c r="G1539" t="s">
        <v>22</v>
      </c>
      <c r="H1539">
        <v>275.60000000000002</v>
      </c>
      <c r="I1539">
        <v>254.5</v>
      </c>
      <c r="J1539">
        <v>95.5</v>
      </c>
      <c r="K1539">
        <v>65.5</v>
      </c>
      <c r="L1539">
        <v>29.1</v>
      </c>
      <c r="M1539">
        <v>10</v>
      </c>
      <c r="N1539">
        <v>0.21046422709798199</v>
      </c>
      <c r="O1539">
        <v>0.18501731978646299</v>
      </c>
    </row>
    <row r="1540" spans="1:15" x14ac:dyDescent="0.3">
      <c r="A1540">
        <v>6434</v>
      </c>
      <c r="B1540">
        <v>3333</v>
      </c>
      <c r="C1540">
        <v>68</v>
      </c>
      <c r="D1540" t="s">
        <v>19</v>
      </c>
      <c r="E1540" t="s">
        <v>20</v>
      </c>
      <c r="F1540" t="s">
        <v>17</v>
      </c>
      <c r="G1540" t="s">
        <v>22</v>
      </c>
      <c r="H1540">
        <v>275.60000000000002</v>
      </c>
      <c r="I1540">
        <v>254.5</v>
      </c>
      <c r="J1540">
        <v>95.5</v>
      </c>
      <c r="K1540">
        <v>65.5</v>
      </c>
      <c r="L1540">
        <v>29.1</v>
      </c>
      <c r="M1540">
        <v>10</v>
      </c>
      <c r="N1540">
        <v>0.20191551052001</v>
      </c>
      <c r="O1540">
        <v>0.175837993920091</v>
      </c>
    </row>
    <row r="1541" spans="1:15" x14ac:dyDescent="0.3">
      <c r="A1541">
        <v>6444</v>
      </c>
      <c r="B1541">
        <v>3338</v>
      </c>
      <c r="C1541">
        <v>118</v>
      </c>
      <c r="D1541" t="s">
        <v>19</v>
      </c>
      <c r="E1541" t="s">
        <v>20</v>
      </c>
      <c r="F1541" t="s">
        <v>21</v>
      </c>
      <c r="G1541" t="s">
        <v>26</v>
      </c>
      <c r="H1541">
        <v>276.39999999999998</v>
      </c>
      <c r="I1541">
        <v>245.5</v>
      </c>
      <c r="J1541">
        <v>96.4</v>
      </c>
      <c r="K1541">
        <v>67.5</v>
      </c>
      <c r="L1541">
        <v>24.9</v>
      </c>
      <c r="M1541">
        <v>4</v>
      </c>
      <c r="N1541">
        <v>0.1531762592683</v>
      </c>
      <c r="O1541">
        <v>0.245629178848802</v>
      </c>
    </row>
    <row r="1542" spans="1:15" x14ac:dyDescent="0.3">
      <c r="A1542">
        <v>6458</v>
      </c>
      <c r="B1542">
        <v>3342</v>
      </c>
      <c r="C1542">
        <v>368</v>
      </c>
      <c r="D1542" t="s">
        <v>19</v>
      </c>
      <c r="E1542" t="s">
        <v>16</v>
      </c>
      <c r="F1542" t="s">
        <v>21</v>
      </c>
      <c r="G1542" t="s">
        <v>26</v>
      </c>
      <c r="H1542">
        <v>273.3</v>
      </c>
      <c r="I1542">
        <v>249</v>
      </c>
      <c r="J1542">
        <v>98.9</v>
      </c>
      <c r="K1542">
        <v>68.5</v>
      </c>
      <c r="L1542">
        <v>23.8</v>
      </c>
      <c r="M1542">
        <v>9</v>
      </c>
      <c r="N1542">
        <v>0.13333582015860901</v>
      </c>
      <c r="O1542">
        <v>4.4732241698665097E-2</v>
      </c>
    </row>
    <row r="1543" spans="1:15" x14ac:dyDescent="0.3">
      <c r="A1543">
        <v>6459</v>
      </c>
      <c r="B1543">
        <v>3342</v>
      </c>
      <c r="C1543">
        <v>368</v>
      </c>
      <c r="D1543" t="s">
        <v>19</v>
      </c>
      <c r="E1543" t="s">
        <v>16</v>
      </c>
      <c r="F1543" t="s">
        <v>21</v>
      </c>
      <c r="G1543" t="s">
        <v>26</v>
      </c>
      <c r="H1543">
        <v>273.3</v>
      </c>
      <c r="I1543">
        <v>249</v>
      </c>
      <c r="J1543">
        <v>98.9</v>
      </c>
      <c r="K1543">
        <v>68.5</v>
      </c>
      <c r="L1543">
        <v>23.8</v>
      </c>
      <c r="M1543">
        <v>9</v>
      </c>
      <c r="N1543">
        <v>0.131597139862632</v>
      </c>
      <c r="O1543">
        <v>5.7762905807680197E-2</v>
      </c>
    </row>
    <row r="1544" spans="1:15" x14ac:dyDescent="0.3">
      <c r="A1544">
        <v>6460</v>
      </c>
      <c r="B1544">
        <v>3342</v>
      </c>
      <c r="C1544">
        <v>368</v>
      </c>
      <c r="D1544" t="s">
        <v>19</v>
      </c>
      <c r="E1544" t="s">
        <v>16</v>
      </c>
      <c r="F1544" t="s">
        <v>21</v>
      </c>
      <c r="G1544" t="s">
        <v>26</v>
      </c>
      <c r="H1544">
        <v>273.3</v>
      </c>
      <c r="I1544">
        <v>249</v>
      </c>
      <c r="J1544">
        <v>98.9</v>
      </c>
      <c r="K1544">
        <v>68.5</v>
      </c>
      <c r="L1544">
        <v>23.8</v>
      </c>
      <c r="M1544">
        <v>9</v>
      </c>
      <c r="N1544">
        <v>0.12129851833427401</v>
      </c>
      <c r="O1544">
        <v>5.6522856578743001E-2</v>
      </c>
    </row>
    <row r="1545" spans="1:15" x14ac:dyDescent="0.3">
      <c r="A1545">
        <v>6472</v>
      </c>
      <c r="B1545">
        <v>3347</v>
      </c>
      <c r="C1545">
        <v>388</v>
      </c>
      <c r="D1545" t="s">
        <v>19</v>
      </c>
      <c r="E1545" t="s">
        <v>16</v>
      </c>
      <c r="F1545" t="s">
        <v>17</v>
      </c>
      <c r="G1545" t="s">
        <v>22</v>
      </c>
      <c r="H1545">
        <v>277.10000000000002</v>
      </c>
      <c r="I1545">
        <v>244.5</v>
      </c>
      <c r="J1545">
        <v>91.9</v>
      </c>
      <c r="K1545">
        <v>62.5</v>
      </c>
      <c r="L1545">
        <v>25.9</v>
      </c>
      <c r="M1545">
        <v>7</v>
      </c>
      <c r="N1545">
        <v>7.9228794049103393E-2</v>
      </c>
      <c r="O1545">
        <v>8.6127380899411202E-2</v>
      </c>
    </row>
    <row r="1546" spans="1:15" x14ac:dyDescent="0.3">
      <c r="A1546">
        <v>6473</v>
      </c>
      <c r="B1546">
        <v>3347</v>
      </c>
      <c r="C1546">
        <v>388</v>
      </c>
      <c r="D1546" t="s">
        <v>19</v>
      </c>
      <c r="E1546" t="s">
        <v>16</v>
      </c>
      <c r="F1546" t="s">
        <v>17</v>
      </c>
      <c r="G1546" t="s">
        <v>22</v>
      </c>
      <c r="H1546">
        <v>277.10000000000002</v>
      </c>
      <c r="I1546">
        <v>244.5</v>
      </c>
      <c r="J1546">
        <v>91.9</v>
      </c>
      <c r="K1546">
        <v>62.5</v>
      </c>
      <c r="L1546">
        <v>25.9</v>
      </c>
      <c r="M1546">
        <v>7</v>
      </c>
      <c r="N1546">
        <v>0.10968255268329299</v>
      </c>
      <c r="O1546">
        <v>7.7635369902835094E-2</v>
      </c>
    </row>
    <row r="1547" spans="1:15" x14ac:dyDescent="0.3">
      <c r="A1547">
        <v>6474</v>
      </c>
      <c r="B1547">
        <v>3347</v>
      </c>
      <c r="C1547">
        <v>388</v>
      </c>
      <c r="D1547" t="s">
        <v>19</v>
      </c>
      <c r="E1547" t="s">
        <v>16</v>
      </c>
      <c r="F1547" t="s">
        <v>17</v>
      </c>
      <c r="G1547" t="s">
        <v>22</v>
      </c>
      <c r="H1547">
        <v>277.10000000000002</v>
      </c>
      <c r="I1547">
        <v>244.5</v>
      </c>
      <c r="J1547">
        <v>91.9</v>
      </c>
      <c r="K1547">
        <v>62.5</v>
      </c>
      <c r="L1547">
        <v>25.9</v>
      </c>
      <c r="M1547">
        <v>7</v>
      </c>
      <c r="N1547">
        <v>9.1749900745434598E-2</v>
      </c>
      <c r="O1547">
        <v>6.4711168685016404E-2</v>
      </c>
    </row>
    <row r="1548" spans="1:15" x14ac:dyDescent="0.3">
      <c r="A1548">
        <v>6480</v>
      </c>
      <c r="B1548">
        <v>3351</v>
      </c>
      <c r="C1548">
        <v>453</v>
      </c>
      <c r="D1548" t="s">
        <v>23</v>
      </c>
      <c r="E1548" t="s">
        <v>20</v>
      </c>
      <c r="F1548" t="s">
        <v>17</v>
      </c>
      <c r="G1548" t="s">
        <v>26</v>
      </c>
      <c r="H1548">
        <v>281.60000000000002</v>
      </c>
      <c r="I1548">
        <v>255.5</v>
      </c>
      <c r="J1548">
        <v>100.4</v>
      </c>
      <c r="K1548">
        <v>70</v>
      </c>
      <c r="L1548">
        <v>25.7</v>
      </c>
      <c r="M1548">
        <v>10</v>
      </c>
      <c r="N1548">
        <v>0.14046883125031601</v>
      </c>
      <c r="O1548">
        <v>0.41892318968159398</v>
      </c>
    </row>
    <row r="1549" spans="1:15" x14ac:dyDescent="0.3">
      <c r="A1549">
        <v>6481</v>
      </c>
      <c r="B1549">
        <v>3351</v>
      </c>
      <c r="C1549">
        <v>453</v>
      </c>
      <c r="D1549" t="s">
        <v>23</v>
      </c>
      <c r="E1549" t="s">
        <v>20</v>
      </c>
      <c r="F1549" t="s">
        <v>17</v>
      </c>
      <c r="G1549" t="s">
        <v>26</v>
      </c>
      <c r="H1549">
        <v>281.60000000000002</v>
      </c>
      <c r="I1549">
        <v>255.5</v>
      </c>
      <c r="J1549">
        <v>100.4</v>
      </c>
      <c r="K1549">
        <v>70</v>
      </c>
      <c r="L1549">
        <v>25.7</v>
      </c>
      <c r="M1549">
        <v>10</v>
      </c>
      <c r="N1549">
        <v>0.15636382542344601</v>
      </c>
      <c r="O1549">
        <v>0.38800951044450499</v>
      </c>
    </row>
    <row r="1550" spans="1:15" x14ac:dyDescent="0.3">
      <c r="A1550">
        <v>6483</v>
      </c>
      <c r="B1550">
        <v>3353</v>
      </c>
      <c r="C1550">
        <v>453</v>
      </c>
      <c r="D1550" t="s">
        <v>23</v>
      </c>
      <c r="E1550" t="s">
        <v>20</v>
      </c>
      <c r="F1550" t="s">
        <v>17</v>
      </c>
      <c r="G1550" t="s">
        <v>18</v>
      </c>
      <c r="H1550">
        <v>281.60000000000002</v>
      </c>
      <c r="I1550">
        <v>255.5</v>
      </c>
      <c r="J1550">
        <v>100.4</v>
      </c>
      <c r="K1550">
        <v>70</v>
      </c>
      <c r="L1550">
        <v>25.7</v>
      </c>
      <c r="M1550">
        <v>10</v>
      </c>
      <c r="N1550">
        <v>0.124322720516056</v>
      </c>
      <c r="O1550">
        <v>0.381177887176191</v>
      </c>
    </row>
    <row r="1551" spans="1:15" x14ac:dyDescent="0.3">
      <c r="A1551">
        <v>6484</v>
      </c>
      <c r="B1551">
        <v>3354</v>
      </c>
      <c r="C1551">
        <v>246</v>
      </c>
      <c r="D1551" t="s">
        <v>23</v>
      </c>
      <c r="E1551" t="s">
        <v>16</v>
      </c>
      <c r="F1551" t="s">
        <v>21</v>
      </c>
      <c r="G1551" t="s">
        <v>24</v>
      </c>
      <c r="H1551">
        <v>278.2</v>
      </c>
      <c r="I1551">
        <v>257</v>
      </c>
      <c r="J1551">
        <v>97.9</v>
      </c>
      <c r="K1551">
        <v>67</v>
      </c>
      <c r="L1551">
        <v>24.3</v>
      </c>
      <c r="M1551">
        <v>12.5</v>
      </c>
      <c r="N1551">
        <v>0.178532199364445</v>
      </c>
      <c r="O1551">
        <v>0.38818009271180198</v>
      </c>
    </row>
    <row r="1552" spans="1:15" x14ac:dyDescent="0.3">
      <c r="A1552">
        <v>6485</v>
      </c>
      <c r="B1552">
        <v>3354</v>
      </c>
      <c r="C1552">
        <v>246</v>
      </c>
      <c r="D1552" t="s">
        <v>23</v>
      </c>
      <c r="E1552" t="s">
        <v>16</v>
      </c>
      <c r="F1552" t="s">
        <v>21</v>
      </c>
      <c r="G1552" t="s">
        <v>24</v>
      </c>
      <c r="H1552">
        <v>278.2</v>
      </c>
      <c r="I1552">
        <v>257</v>
      </c>
      <c r="J1552">
        <v>97.9</v>
      </c>
      <c r="K1552">
        <v>67</v>
      </c>
      <c r="L1552">
        <v>24.3</v>
      </c>
      <c r="M1552">
        <v>12.5</v>
      </c>
      <c r="N1552">
        <v>0.165771549282445</v>
      </c>
      <c r="O1552">
        <v>0.39737830985065797</v>
      </c>
    </row>
    <row r="1553" spans="1:15" x14ac:dyDescent="0.3">
      <c r="A1553">
        <v>6486</v>
      </c>
      <c r="B1553">
        <v>3354</v>
      </c>
      <c r="C1553">
        <v>246</v>
      </c>
      <c r="D1553" t="s">
        <v>23</v>
      </c>
      <c r="E1553" t="s">
        <v>16</v>
      </c>
      <c r="F1553" t="s">
        <v>21</v>
      </c>
      <c r="G1553" t="s">
        <v>24</v>
      </c>
      <c r="H1553">
        <v>278.2</v>
      </c>
      <c r="I1553">
        <v>257</v>
      </c>
      <c r="J1553">
        <v>97.9</v>
      </c>
      <c r="K1553">
        <v>67</v>
      </c>
      <c r="L1553">
        <v>24.3</v>
      </c>
      <c r="M1553">
        <v>12.5</v>
      </c>
      <c r="N1553">
        <v>0.15925583802867399</v>
      </c>
      <c r="O1553">
        <v>0.38431964490695503</v>
      </c>
    </row>
    <row r="1554" spans="1:15" x14ac:dyDescent="0.3">
      <c r="A1554">
        <v>6490</v>
      </c>
      <c r="B1554">
        <v>3357</v>
      </c>
      <c r="C1554">
        <v>405</v>
      </c>
      <c r="D1554" t="s">
        <v>19</v>
      </c>
      <c r="E1554" t="s">
        <v>16</v>
      </c>
      <c r="F1554" t="s">
        <v>21</v>
      </c>
      <c r="G1554" t="s">
        <v>26</v>
      </c>
      <c r="H1554">
        <v>277.60000000000002</v>
      </c>
      <c r="I1554">
        <v>250</v>
      </c>
      <c r="J1554">
        <v>93.4</v>
      </c>
      <c r="K1554">
        <v>67.5</v>
      </c>
      <c r="L1554">
        <v>29.4</v>
      </c>
      <c r="M1554">
        <v>6</v>
      </c>
      <c r="N1554">
        <v>0.29078982074026799</v>
      </c>
      <c r="O1554">
        <v>7.1175412632447005E-2</v>
      </c>
    </row>
    <row r="1555" spans="1:15" x14ac:dyDescent="0.3">
      <c r="A1555">
        <v>6491</v>
      </c>
      <c r="B1555">
        <v>3357</v>
      </c>
      <c r="C1555">
        <v>405</v>
      </c>
      <c r="D1555" t="s">
        <v>19</v>
      </c>
      <c r="E1555" t="s">
        <v>16</v>
      </c>
      <c r="F1555" t="s">
        <v>21</v>
      </c>
      <c r="G1555" t="s">
        <v>26</v>
      </c>
      <c r="H1555">
        <v>277.60000000000002</v>
      </c>
      <c r="I1555">
        <v>250</v>
      </c>
      <c r="J1555">
        <v>93.4</v>
      </c>
      <c r="K1555">
        <v>67.5</v>
      </c>
      <c r="L1555">
        <v>29.4</v>
      </c>
      <c r="M1555">
        <v>6</v>
      </c>
      <c r="N1555">
        <v>0.317526875196605</v>
      </c>
      <c r="O1555">
        <v>7.9795465166149104E-2</v>
      </c>
    </row>
    <row r="1556" spans="1:15" x14ac:dyDescent="0.3">
      <c r="A1556">
        <v>6499</v>
      </c>
      <c r="B1556">
        <v>3360</v>
      </c>
      <c r="C1556">
        <v>267</v>
      </c>
      <c r="D1556" t="s">
        <v>23</v>
      </c>
      <c r="E1556" t="s">
        <v>20</v>
      </c>
      <c r="F1556" t="s">
        <v>21</v>
      </c>
      <c r="G1556" t="s">
        <v>25</v>
      </c>
      <c r="H1556">
        <v>275.39999999999998</v>
      </c>
      <c r="I1556">
        <v>244.5</v>
      </c>
      <c r="J1556">
        <v>95.4</v>
      </c>
      <c r="K1556">
        <v>67</v>
      </c>
      <c r="L1556">
        <v>22.2</v>
      </c>
      <c r="M1556">
        <v>9.5</v>
      </c>
      <c r="N1556">
        <v>0.24356241103208701</v>
      </c>
      <c r="O1556">
        <v>0.22661466384656201</v>
      </c>
    </row>
    <row r="1557" spans="1:15" x14ac:dyDescent="0.3">
      <c r="A1557">
        <v>6500</v>
      </c>
      <c r="B1557">
        <v>3360</v>
      </c>
      <c r="C1557">
        <v>267</v>
      </c>
      <c r="D1557" t="s">
        <v>23</v>
      </c>
      <c r="E1557" t="s">
        <v>20</v>
      </c>
      <c r="F1557" t="s">
        <v>21</v>
      </c>
      <c r="G1557" t="s">
        <v>25</v>
      </c>
      <c r="H1557">
        <v>275.39999999999998</v>
      </c>
      <c r="I1557">
        <v>244.5</v>
      </c>
      <c r="J1557">
        <v>95.4</v>
      </c>
      <c r="K1557">
        <v>67</v>
      </c>
      <c r="L1557">
        <v>22.2</v>
      </c>
      <c r="M1557">
        <v>9.5</v>
      </c>
      <c r="N1557">
        <v>0.23774834761480601</v>
      </c>
      <c r="O1557">
        <v>0.20237767447000499</v>
      </c>
    </row>
    <row r="1558" spans="1:15" x14ac:dyDescent="0.3">
      <c r="A1558">
        <v>6504</v>
      </c>
      <c r="B1558">
        <v>3362</v>
      </c>
      <c r="C1558">
        <v>244</v>
      </c>
      <c r="D1558" t="s">
        <v>15</v>
      </c>
      <c r="E1558" t="s">
        <v>20</v>
      </c>
      <c r="F1558" t="s">
        <v>17</v>
      </c>
      <c r="G1558" t="s">
        <v>22</v>
      </c>
      <c r="H1558">
        <v>272.7</v>
      </c>
      <c r="I1558">
        <v>237</v>
      </c>
      <c r="J1558">
        <v>92.4</v>
      </c>
      <c r="K1558">
        <v>64.5</v>
      </c>
      <c r="L1558">
        <v>20.6</v>
      </c>
      <c r="M1558">
        <v>9</v>
      </c>
      <c r="N1558">
        <v>0.23748670010631701</v>
      </c>
      <c r="O1558">
        <v>4.7852455451487703E-2</v>
      </c>
    </row>
    <row r="1559" spans="1:15" x14ac:dyDescent="0.3">
      <c r="A1559">
        <v>6505</v>
      </c>
      <c r="B1559">
        <v>3362</v>
      </c>
      <c r="C1559">
        <v>244</v>
      </c>
      <c r="D1559" t="s">
        <v>15</v>
      </c>
      <c r="E1559" t="s">
        <v>20</v>
      </c>
      <c r="F1559" t="s">
        <v>17</v>
      </c>
      <c r="G1559" t="s">
        <v>22</v>
      </c>
      <c r="H1559">
        <v>272.7</v>
      </c>
      <c r="I1559">
        <v>237</v>
      </c>
      <c r="J1559">
        <v>92.4</v>
      </c>
      <c r="K1559">
        <v>64.5</v>
      </c>
      <c r="L1559">
        <v>20.6</v>
      </c>
      <c r="M1559">
        <v>9</v>
      </c>
      <c r="N1559">
        <v>0.23944263625077</v>
      </c>
      <c r="O1559">
        <v>5.7830515199890999E-2</v>
      </c>
    </row>
    <row r="1560" spans="1:15" x14ac:dyDescent="0.3">
      <c r="A1560">
        <v>6506</v>
      </c>
      <c r="B1560">
        <v>3362</v>
      </c>
      <c r="C1560">
        <v>244</v>
      </c>
      <c r="D1560" t="s">
        <v>15</v>
      </c>
      <c r="E1560" t="s">
        <v>20</v>
      </c>
      <c r="F1560" t="s">
        <v>17</v>
      </c>
      <c r="G1560" t="s">
        <v>22</v>
      </c>
      <c r="H1560">
        <v>272.7</v>
      </c>
      <c r="I1560">
        <v>237</v>
      </c>
      <c r="J1560">
        <v>92.4</v>
      </c>
      <c r="K1560">
        <v>64.5</v>
      </c>
      <c r="L1560">
        <v>20.6</v>
      </c>
      <c r="M1560">
        <v>9</v>
      </c>
      <c r="N1560">
        <v>0.251474463276253</v>
      </c>
      <c r="O1560">
        <v>6.2044493535782702E-2</v>
      </c>
    </row>
    <row r="1561" spans="1:15" x14ac:dyDescent="0.3">
      <c r="A1561">
        <v>6511</v>
      </c>
      <c r="B1561">
        <v>3364</v>
      </c>
      <c r="C1561">
        <v>228</v>
      </c>
      <c r="D1561" t="s">
        <v>19</v>
      </c>
      <c r="E1561" t="s">
        <v>16</v>
      </c>
      <c r="F1561" t="s">
        <v>17</v>
      </c>
      <c r="G1561" t="s">
        <v>24</v>
      </c>
      <c r="H1561">
        <v>275.39999999999998</v>
      </c>
      <c r="I1561">
        <v>249.5</v>
      </c>
      <c r="J1561">
        <v>93.4</v>
      </c>
      <c r="K1561">
        <v>64</v>
      </c>
      <c r="L1561">
        <v>28.4</v>
      </c>
      <c r="M1561">
        <v>13</v>
      </c>
      <c r="N1561">
        <v>9.7810470414690306E-2</v>
      </c>
      <c r="O1561">
        <v>0.142385468781555</v>
      </c>
    </row>
    <row r="1562" spans="1:15" x14ac:dyDescent="0.3">
      <c r="A1562">
        <v>6512</v>
      </c>
      <c r="B1562">
        <v>3364</v>
      </c>
      <c r="C1562">
        <v>228</v>
      </c>
      <c r="D1562" t="s">
        <v>19</v>
      </c>
      <c r="E1562" t="s">
        <v>16</v>
      </c>
      <c r="F1562" t="s">
        <v>17</v>
      </c>
      <c r="G1562" t="s">
        <v>24</v>
      </c>
      <c r="H1562">
        <v>275.39999999999998</v>
      </c>
      <c r="I1562">
        <v>249.5</v>
      </c>
      <c r="J1562">
        <v>93.4</v>
      </c>
      <c r="K1562">
        <v>64</v>
      </c>
      <c r="L1562">
        <v>28.4</v>
      </c>
      <c r="M1562">
        <v>13</v>
      </c>
      <c r="N1562">
        <v>7.9398215850218806E-2</v>
      </c>
      <c r="O1562">
        <v>0.13737816514165199</v>
      </c>
    </row>
    <row r="1563" spans="1:15" x14ac:dyDescent="0.3">
      <c r="A1563">
        <v>6513</v>
      </c>
      <c r="B1563">
        <v>3364</v>
      </c>
      <c r="C1563">
        <v>228</v>
      </c>
      <c r="D1563" t="s">
        <v>19</v>
      </c>
      <c r="E1563" t="s">
        <v>16</v>
      </c>
      <c r="F1563" t="s">
        <v>17</v>
      </c>
      <c r="G1563" t="s">
        <v>24</v>
      </c>
      <c r="H1563">
        <v>275.39999999999998</v>
      </c>
      <c r="I1563">
        <v>249.5</v>
      </c>
      <c r="J1563">
        <v>93.4</v>
      </c>
      <c r="K1563">
        <v>64</v>
      </c>
      <c r="L1563">
        <v>28.4</v>
      </c>
      <c r="M1563">
        <v>13</v>
      </c>
      <c r="N1563">
        <v>7.8405246194373196E-2</v>
      </c>
      <c r="O1563">
        <v>0.14353480924390399</v>
      </c>
    </row>
    <row r="1564" spans="1:15" x14ac:dyDescent="0.3">
      <c r="A1564">
        <v>6517</v>
      </c>
      <c r="B1564">
        <v>3367</v>
      </c>
      <c r="C1564">
        <v>31</v>
      </c>
      <c r="D1564" t="s">
        <v>23</v>
      </c>
      <c r="E1564" t="s">
        <v>16</v>
      </c>
      <c r="F1564" t="s">
        <v>21</v>
      </c>
      <c r="G1564" t="s">
        <v>24</v>
      </c>
      <c r="H1564">
        <v>274</v>
      </c>
      <c r="I1564">
        <v>250</v>
      </c>
      <c r="J1564">
        <v>99.4</v>
      </c>
      <c r="K1564">
        <v>68.5</v>
      </c>
      <c r="L1564">
        <v>23.2</v>
      </c>
      <c r="M1564">
        <v>10</v>
      </c>
      <c r="N1564">
        <v>0.212465283143528</v>
      </c>
      <c r="O1564">
        <v>0.15862945903337999</v>
      </c>
    </row>
    <row r="1565" spans="1:15" x14ac:dyDescent="0.3">
      <c r="A1565">
        <v>6518</v>
      </c>
      <c r="B1565">
        <v>3367</v>
      </c>
      <c r="C1565">
        <v>31</v>
      </c>
      <c r="D1565" t="s">
        <v>23</v>
      </c>
      <c r="E1565" t="s">
        <v>16</v>
      </c>
      <c r="F1565" t="s">
        <v>21</v>
      </c>
      <c r="G1565" t="s">
        <v>24</v>
      </c>
      <c r="H1565">
        <v>274</v>
      </c>
      <c r="I1565">
        <v>250</v>
      </c>
      <c r="J1565">
        <v>99.4</v>
      </c>
      <c r="K1565">
        <v>68.5</v>
      </c>
      <c r="L1565">
        <v>23.2</v>
      </c>
      <c r="M1565">
        <v>10</v>
      </c>
      <c r="N1565">
        <v>0.203874179285982</v>
      </c>
      <c r="O1565">
        <v>0.183886380191047</v>
      </c>
    </row>
    <row r="1566" spans="1:15" x14ac:dyDescent="0.3">
      <c r="A1566">
        <v>6522</v>
      </c>
      <c r="B1566">
        <v>3369</v>
      </c>
      <c r="C1566">
        <v>267</v>
      </c>
      <c r="D1566" t="s">
        <v>23</v>
      </c>
      <c r="E1566" t="s">
        <v>20</v>
      </c>
      <c r="F1566" t="s">
        <v>21</v>
      </c>
      <c r="G1566" t="s">
        <v>26</v>
      </c>
      <c r="H1566">
        <v>275.39999999999998</v>
      </c>
      <c r="I1566">
        <v>244.5</v>
      </c>
      <c r="J1566">
        <v>95.4</v>
      </c>
      <c r="K1566">
        <v>67</v>
      </c>
      <c r="L1566">
        <v>22.2</v>
      </c>
      <c r="M1566">
        <v>9.5</v>
      </c>
      <c r="N1566">
        <v>0.26817988052889802</v>
      </c>
      <c r="O1566">
        <v>0.228437789333061</v>
      </c>
    </row>
    <row r="1567" spans="1:15" x14ac:dyDescent="0.3">
      <c r="A1567">
        <v>6523</v>
      </c>
      <c r="B1567">
        <v>3369</v>
      </c>
      <c r="C1567">
        <v>267</v>
      </c>
      <c r="D1567" t="s">
        <v>23</v>
      </c>
      <c r="E1567" t="s">
        <v>20</v>
      </c>
      <c r="F1567" t="s">
        <v>21</v>
      </c>
      <c r="G1567" t="s">
        <v>26</v>
      </c>
      <c r="H1567">
        <v>275.39999999999998</v>
      </c>
      <c r="I1567">
        <v>244.5</v>
      </c>
      <c r="J1567">
        <v>95.4</v>
      </c>
      <c r="K1567">
        <v>67</v>
      </c>
      <c r="L1567">
        <v>22.2</v>
      </c>
      <c r="M1567">
        <v>9.5</v>
      </c>
      <c r="N1567">
        <v>0.23910464018317401</v>
      </c>
      <c r="O1567">
        <v>0.231609611231062</v>
      </c>
    </row>
    <row r="1568" spans="1:15" x14ac:dyDescent="0.3">
      <c r="A1568">
        <v>6524</v>
      </c>
      <c r="B1568">
        <v>3369</v>
      </c>
      <c r="C1568">
        <v>267</v>
      </c>
      <c r="D1568" t="s">
        <v>23</v>
      </c>
      <c r="E1568" t="s">
        <v>20</v>
      </c>
      <c r="F1568" t="s">
        <v>21</v>
      </c>
      <c r="G1568" t="s">
        <v>26</v>
      </c>
      <c r="H1568">
        <v>275.39999999999998</v>
      </c>
      <c r="I1568">
        <v>244.5</v>
      </c>
      <c r="J1568">
        <v>95.4</v>
      </c>
      <c r="K1568">
        <v>67</v>
      </c>
      <c r="L1568">
        <v>22.2</v>
      </c>
      <c r="M1568">
        <v>9.5</v>
      </c>
      <c r="N1568">
        <v>0.23691784920227399</v>
      </c>
      <c r="O1568">
        <v>0.22228038650286999</v>
      </c>
    </row>
    <row r="1569" spans="1:15" x14ac:dyDescent="0.3">
      <c r="A1569">
        <v>6525</v>
      </c>
      <c r="B1569">
        <v>3369</v>
      </c>
      <c r="C1569">
        <v>267</v>
      </c>
      <c r="D1569" t="s">
        <v>23</v>
      </c>
      <c r="E1569" t="s">
        <v>20</v>
      </c>
      <c r="F1569" t="s">
        <v>21</v>
      </c>
      <c r="G1569" t="s">
        <v>26</v>
      </c>
      <c r="H1569">
        <v>275.39999999999998</v>
      </c>
      <c r="I1569">
        <v>244.5</v>
      </c>
      <c r="J1569">
        <v>95.4</v>
      </c>
      <c r="K1569">
        <v>67</v>
      </c>
      <c r="L1569">
        <v>22.2</v>
      </c>
      <c r="M1569">
        <v>9.5</v>
      </c>
      <c r="N1569">
        <v>0.27518475128744702</v>
      </c>
      <c r="O1569">
        <v>0.225201119229757</v>
      </c>
    </row>
    <row r="1570" spans="1:15" x14ac:dyDescent="0.3">
      <c r="A1570">
        <v>6526</v>
      </c>
      <c r="B1570">
        <v>3369</v>
      </c>
      <c r="C1570">
        <v>267</v>
      </c>
      <c r="D1570" t="s">
        <v>23</v>
      </c>
      <c r="E1570" t="s">
        <v>20</v>
      </c>
      <c r="F1570" t="s">
        <v>21</v>
      </c>
      <c r="G1570" t="s">
        <v>26</v>
      </c>
      <c r="H1570">
        <v>275.39999999999998</v>
      </c>
      <c r="I1570">
        <v>244.5</v>
      </c>
      <c r="J1570">
        <v>95.4</v>
      </c>
      <c r="K1570">
        <v>67</v>
      </c>
      <c r="L1570">
        <v>22.2</v>
      </c>
      <c r="M1570">
        <v>9.5</v>
      </c>
      <c r="N1570">
        <v>0.24031174828773999</v>
      </c>
      <c r="O1570">
        <v>0.23435201198811401</v>
      </c>
    </row>
    <row r="1571" spans="1:15" x14ac:dyDescent="0.3">
      <c r="A1571">
        <v>6543</v>
      </c>
      <c r="B1571">
        <v>3377</v>
      </c>
      <c r="C1571">
        <v>322</v>
      </c>
      <c r="D1571" t="s">
        <v>23</v>
      </c>
      <c r="E1571" t="s">
        <v>20</v>
      </c>
      <c r="F1571" t="s">
        <v>17</v>
      </c>
      <c r="G1571" t="s">
        <v>26</v>
      </c>
      <c r="H1571">
        <v>276.7</v>
      </c>
      <c r="I1571">
        <v>250</v>
      </c>
      <c r="J1571">
        <v>99.1</v>
      </c>
      <c r="K1571">
        <v>67.5</v>
      </c>
      <c r="L1571">
        <v>26</v>
      </c>
      <c r="M1571">
        <v>5.5</v>
      </c>
      <c r="N1571">
        <v>0.16526829102368601</v>
      </c>
      <c r="O1571">
        <v>0.32234600530260399</v>
      </c>
    </row>
    <row r="1572" spans="1:15" x14ac:dyDescent="0.3">
      <c r="A1572">
        <v>6544</v>
      </c>
      <c r="B1572">
        <v>3377</v>
      </c>
      <c r="C1572">
        <v>322</v>
      </c>
      <c r="D1572" t="s">
        <v>23</v>
      </c>
      <c r="E1572" t="s">
        <v>20</v>
      </c>
      <c r="F1572" t="s">
        <v>17</v>
      </c>
      <c r="G1572" t="s">
        <v>26</v>
      </c>
      <c r="H1572">
        <v>276.7</v>
      </c>
      <c r="I1572">
        <v>250</v>
      </c>
      <c r="J1572">
        <v>99.1</v>
      </c>
      <c r="K1572">
        <v>67.5</v>
      </c>
      <c r="L1572">
        <v>26</v>
      </c>
      <c r="M1572">
        <v>5.5</v>
      </c>
      <c r="N1572">
        <v>0.17796320509425301</v>
      </c>
      <c r="O1572">
        <v>0.32323154071400101</v>
      </c>
    </row>
    <row r="1573" spans="1:15" x14ac:dyDescent="0.3">
      <c r="A1573">
        <v>6548</v>
      </c>
      <c r="B1573">
        <v>3379</v>
      </c>
      <c r="C1573">
        <v>121</v>
      </c>
      <c r="D1573" t="s">
        <v>15</v>
      </c>
      <c r="E1573" t="s">
        <v>20</v>
      </c>
      <c r="F1573" t="s">
        <v>17</v>
      </c>
      <c r="G1573" t="s">
        <v>22</v>
      </c>
      <c r="H1573">
        <v>274.2</v>
      </c>
      <c r="I1573">
        <v>259</v>
      </c>
      <c r="J1573">
        <v>97.6</v>
      </c>
      <c r="K1573">
        <v>68</v>
      </c>
      <c r="L1573">
        <v>24.5</v>
      </c>
      <c r="M1573">
        <v>7</v>
      </c>
      <c r="N1573">
        <v>0.133700922269435</v>
      </c>
      <c r="O1573">
        <v>4.4554175054403899E-2</v>
      </c>
    </row>
    <row r="1574" spans="1:15" x14ac:dyDescent="0.3">
      <c r="A1574">
        <v>6549</v>
      </c>
      <c r="B1574">
        <v>3380</v>
      </c>
      <c r="C1574">
        <v>303</v>
      </c>
      <c r="D1574" t="s">
        <v>19</v>
      </c>
      <c r="E1574" t="s">
        <v>20</v>
      </c>
      <c r="F1574" t="s">
        <v>21</v>
      </c>
      <c r="G1574" t="s">
        <v>22</v>
      </c>
      <c r="H1574">
        <v>277.60000000000002</v>
      </c>
      <c r="I1574">
        <v>254.5</v>
      </c>
      <c r="J1574">
        <v>94.7</v>
      </c>
      <c r="K1574">
        <v>67</v>
      </c>
      <c r="L1574">
        <v>27.3</v>
      </c>
      <c r="M1574">
        <v>14</v>
      </c>
      <c r="N1574">
        <v>6.6533422014157198E-2</v>
      </c>
      <c r="O1574">
        <v>0.157436305797996</v>
      </c>
    </row>
    <row r="1575" spans="1:15" x14ac:dyDescent="0.3">
      <c r="A1575">
        <v>6550</v>
      </c>
      <c r="B1575">
        <v>3381</v>
      </c>
      <c r="C1575">
        <v>298</v>
      </c>
      <c r="D1575" t="s">
        <v>19</v>
      </c>
      <c r="E1575" t="s">
        <v>20</v>
      </c>
      <c r="F1575" t="s">
        <v>21</v>
      </c>
      <c r="G1575" t="s">
        <v>25</v>
      </c>
      <c r="H1575">
        <v>275.60000000000002</v>
      </c>
      <c r="I1575">
        <v>251</v>
      </c>
      <c r="J1575">
        <v>95.1</v>
      </c>
      <c r="K1575">
        <v>66.5</v>
      </c>
      <c r="L1575">
        <v>25.3</v>
      </c>
      <c r="M1575">
        <v>10.5</v>
      </c>
      <c r="N1575">
        <v>0.308448724036615</v>
      </c>
      <c r="O1575">
        <v>7.9505796458361394E-2</v>
      </c>
    </row>
    <row r="1576" spans="1:15" x14ac:dyDescent="0.3">
      <c r="A1576">
        <v>6551</v>
      </c>
      <c r="B1576">
        <v>3381</v>
      </c>
      <c r="C1576">
        <v>298</v>
      </c>
      <c r="D1576" t="s">
        <v>19</v>
      </c>
      <c r="E1576" t="s">
        <v>20</v>
      </c>
      <c r="F1576" t="s">
        <v>21</v>
      </c>
      <c r="G1576" t="s">
        <v>25</v>
      </c>
      <c r="H1576">
        <v>275.60000000000002</v>
      </c>
      <c r="I1576">
        <v>251</v>
      </c>
      <c r="J1576">
        <v>95.1</v>
      </c>
      <c r="K1576">
        <v>66.5</v>
      </c>
      <c r="L1576">
        <v>25.3</v>
      </c>
      <c r="M1576">
        <v>10.5</v>
      </c>
      <c r="N1576">
        <v>0.29712382879363902</v>
      </c>
      <c r="O1576">
        <v>5.5072532207583999E-2</v>
      </c>
    </row>
    <row r="1577" spans="1:15" x14ac:dyDescent="0.3">
      <c r="A1577">
        <v>6552</v>
      </c>
      <c r="B1577">
        <v>3381</v>
      </c>
      <c r="C1577">
        <v>298</v>
      </c>
      <c r="D1577" t="s">
        <v>19</v>
      </c>
      <c r="E1577" t="s">
        <v>20</v>
      </c>
      <c r="F1577" t="s">
        <v>21</v>
      </c>
      <c r="G1577" t="s">
        <v>25</v>
      </c>
      <c r="H1577">
        <v>275.60000000000002</v>
      </c>
      <c r="I1577">
        <v>251</v>
      </c>
      <c r="J1577">
        <v>95.1</v>
      </c>
      <c r="K1577">
        <v>66.5</v>
      </c>
      <c r="L1577">
        <v>25.3</v>
      </c>
      <c r="M1577">
        <v>10.5</v>
      </c>
      <c r="N1577">
        <v>0.30059446295961001</v>
      </c>
      <c r="O1577">
        <v>7.0607277507154606E-2</v>
      </c>
    </row>
    <row r="1578" spans="1:15" x14ac:dyDescent="0.3">
      <c r="A1578">
        <v>6553</v>
      </c>
      <c r="B1578">
        <v>3381</v>
      </c>
      <c r="C1578">
        <v>298</v>
      </c>
      <c r="D1578" t="s">
        <v>19</v>
      </c>
      <c r="E1578" t="s">
        <v>20</v>
      </c>
      <c r="F1578" t="s">
        <v>21</v>
      </c>
      <c r="G1578" t="s">
        <v>25</v>
      </c>
      <c r="H1578">
        <v>275.60000000000002</v>
      </c>
      <c r="I1578">
        <v>251</v>
      </c>
      <c r="J1578">
        <v>95.1</v>
      </c>
      <c r="K1578">
        <v>66.5</v>
      </c>
      <c r="L1578">
        <v>25.3</v>
      </c>
      <c r="M1578">
        <v>10.5</v>
      </c>
      <c r="N1578">
        <v>0.29397775870310699</v>
      </c>
      <c r="O1578">
        <v>4.4896377814180398E-2</v>
      </c>
    </row>
    <row r="1579" spans="1:15" x14ac:dyDescent="0.3">
      <c r="A1579">
        <v>6578</v>
      </c>
      <c r="B1579">
        <v>3391</v>
      </c>
      <c r="C1579">
        <v>269</v>
      </c>
      <c r="D1579" t="s">
        <v>19</v>
      </c>
      <c r="E1579" t="s">
        <v>20</v>
      </c>
      <c r="F1579" t="s">
        <v>21</v>
      </c>
      <c r="G1579" t="s">
        <v>18</v>
      </c>
      <c r="H1579">
        <v>273.8</v>
      </c>
      <c r="I1579">
        <v>243</v>
      </c>
      <c r="J1579">
        <v>91.5</v>
      </c>
      <c r="K1579">
        <v>66</v>
      </c>
      <c r="L1579">
        <v>24.8</v>
      </c>
      <c r="M1579">
        <v>8.5</v>
      </c>
      <c r="N1579">
        <v>0.10775873445784399</v>
      </c>
      <c r="O1579">
        <v>0.121888176352577</v>
      </c>
    </row>
    <row r="1580" spans="1:15" x14ac:dyDescent="0.3">
      <c r="A1580">
        <v>6579</v>
      </c>
      <c r="B1580">
        <v>3392</v>
      </c>
      <c r="C1580">
        <v>197</v>
      </c>
      <c r="D1580" t="s">
        <v>19</v>
      </c>
      <c r="E1580" t="s">
        <v>20</v>
      </c>
      <c r="F1580" t="s">
        <v>17</v>
      </c>
      <c r="G1580" t="s">
        <v>25</v>
      </c>
      <c r="H1580">
        <v>280.10000000000002</v>
      </c>
      <c r="I1580">
        <v>249.5</v>
      </c>
      <c r="J1580">
        <v>95.8</v>
      </c>
      <c r="K1580">
        <v>69.5</v>
      </c>
      <c r="L1580">
        <v>26.6</v>
      </c>
      <c r="M1580">
        <v>6.5</v>
      </c>
      <c r="N1580">
        <v>0.17792887490193099</v>
      </c>
      <c r="O1580">
        <v>1.5126977504637601E-2</v>
      </c>
    </row>
    <row r="1581" spans="1:15" x14ac:dyDescent="0.3">
      <c r="A1581">
        <v>6580</v>
      </c>
      <c r="B1581">
        <v>3392</v>
      </c>
      <c r="C1581">
        <v>197</v>
      </c>
      <c r="D1581" t="s">
        <v>19</v>
      </c>
      <c r="E1581" t="s">
        <v>20</v>
      </c>
      <c r="F1581" t="s">
        <v>17</v>
      </c>
      <c r="G1581" t="s">
        <v>25</v>
      </c>
      <c r="H1581">
        <v>280.10000000000002</v>
      </c>
      <c r="I1581">
        <v>249.5</v>
      </c>
      <c r="J1581">
        <v>95.8</v>
      </c>
      <c r="K1581">
        <v>69.5</v>
      </c>
      <c r="L1581">
        <v>26.6</v>
      </c>
      <c r="M1581">
        <v>6.5</v>
      </c>
      <c r="N1581">
        <v>0.18117282359245401</v>
      </c>
      <c r="O1581">
        <v>2.1552328249349099E-2</v>
      </c>
    </row>
    <row r="1582" spans="1:15" x14ac:dyDescent="0.3">
      <c r="A1582">
        <v>6582</v>
      </c>
      <c r="B1582">
        <v>3393</v>
      </c>
      <c r="C1582">
        <v>193</v>
      </c>
      <c r="D1582" t="s">
        <v>19</v>
      </c>
      <c r="E1582" t="s">
        <v>20</v>
      </c>
      <c r="F1582" t="s">
        <v>17</v>
      </c>
      <c r="G1582" t="s">
        <v>25</v>
      </c>
      <c r="H1582">
        <v>279.60000000000002</v>
      </c>
      <c r="I1582">
        <v>259.5</v>
      </c>
      <c r="J1582">
        <v>97.1</v>
      </c>
      <c r="K1582">
        <v>67.5</v>
      </c>
      <c r="L1582">
        <v>25.4</v>
      </c>
      <c r="M1582">
        <v>7.5</v>
      </c>
      <c r="N1582">
        <v>0.100997982852638</v>
      </c>
      <c r="O1582">
        <v>3.0974228354056599E-2</v>
      </c>
    </row>
    <row r="1583" spans="1:15" x14ac:dyDescent="0.3">
      <c r="A1583">
        <v>6585</v>
      </c>
      <c r="B1583">
        <v>3395</v>
      </c>
      <c r="C1583">
        <v>387</v>
      </c>
      <c r="D1583" t="s">
        <v>19</v>
      </c>
      <c r="E1583" t="s">
        <v>16</v>
      </c>
      <c r="F1583" t="s">
        <v>21</v>
      </c>
      <c r="G1583" t="s">
        <v>24</v>
      </c>
      <c r="H1583">
        <v>275.2</v>
      </c>
      <c r="I1583">
        <v>249.5</v>
      </c>
      <c r="J1583">
        <v>96.8</v>
      </c>
      <c r="K1583">
        <v>66</v>
      </c>
      <c r="L1583">
        <v>25.3</v>
      </c>
      <c r="M1583">
        <v>8.5</v>
      </c>
      <c r="N1583">
        <v>9.9518547534895793E-2</v>
      </c>
      <c r="O1583">
        <v>8.0942350494680695E-2</v>
      </c>
    </row>
    <row r="1584" spans="1:15" x14ac:dyDescent="0.3">
      <c r="A1584">
        <v>6586</v>
      </c>
      <c r="B1584">
        <v>3396</v>
      </c>
      <c r="C1584">
        <v>99</v>
      </c>
      <c r="D1584" t="s">
        <v>19</v>
      </c>
      <c r="E1584" t="s">
        <v>20</v>
      </c>
      <c r="F1584" t="s">
        <v>21</v>
      </c>
      <c r="G1584" t="s">
        <v>26</v>
      </c>
      <c r="H1584">
        <v>277</v>
      </c>
      <c r="I1584">
        <v>257</v>
      </c>
      <c r="J1584">
        <v>99.7</v>
      </c>
      <c r="K1584">
        <v>69</v>
      </c>
      <c r="L1584">
        <v>26.4</v>
      </c>
      <c r="M1584">
        <v>7.5</v>
      </c>
      <c r="N1584">
        <v>0.12778813428109201</v>
      </c>
      <c r="O1584">
        <v>6.0494957982700902E-2</v>
      </c>
    </row>
    <row r="1585" spans="1:15" x14ac:dyDescent="0.3">
      <c r="A1585">
        <v>6587</v>
      </c>
      <c r="B1585">
        <v>3396</v>
      </c>
      <c r="C1585">
        <v>99</v>
      </c>
      <c r="D1585" t="s">
        <v>19</v>
      </c>
      <c r="E1585" t="s">
        <v>20</v>
      </c>
      <c r="F1585" t="s">
        <v>21</v>
      </c>
      <c r="G1585" t="s">
        <v>26</v>
      </c>
      <c r="H1585">
        <v>277</v>
      </c>
      <c r="I1585">
        <v>257</v>
      </c>
      <c r="J1585">
        <v>99.7</v>
      </c>
      <c r="K1585">
        <v>69</v>
      </c>
      <c r="L1585">
        <v>26.4</v>
      </c>
      <c r="M1585">
        <v>7.5</v>
      </c>
      <c r="N1585">
        <v>0.119600840000485</v>
      </c>
      <c r="O1585">
        <v>4.0384302088247101E-2</v>
      </c>
    </row>
    <row r="1586" spans="1:15" x14ac:dyDescent="0.3">
      <c r="A1586">
        <v>6599</v>
      </c>
      <c r="B1586">
        <v>34</v>
      </c>
      <c r="C1586">
        <v>228</v>
      </c>
      <c r="D1586" t="s">
        <v>19</v>
      </c>
      <c r="E1586" t="s">
        <v>16</v>
      </c>
      <c r="F1586" t="s">
        <v>21</v>
      </c>
      <c r="G1586" t="s">
        <v>26</v>
      </c>
      <c r="H1586">
        <v>275.39999999999998</v>
      </c>
      <c r="I1586">
        <v>249.5</v>
      </c>
      <c r="J1586">
        <v>93.4</v>
      </c>
      <c r="K1586">
        <v>64</v>
      </c>
      <c r="L1586">
        <v>28.4</v>
      </c>
      <c r="M1586">
        <v>13</v>
      </c>
      <c r="N1586">
        <v>0.107713079779285</v>
      </c>
      <c r="O1586">
        <v>0.13598311139902799</v>
      </c>
    </row>
    <row r="1587" spans="1:15" x14ac:dyDescent="0.3">
      <c r="A1587">
        <v>6600</v>
      </c>
      <c r="B1587">
        <v>34</v>
      </c>
      <c r="C1587">
        <v>228</v>
      </c>
      <c r="D1587" t="s">
        <v>19</v>
      </c>
      <c r="E1587" t="s">
        <v>16</v>
      </c>
      <c r="F1587" t="s">
        <v>21</v>
      </c>
      <c r="G1587" t="s">
        <v>26</v>
      </c>
      <c r="H1587">
        <v>275.39999999999998</v>
      </c>
      <c r="I1587">
        <v>249.5</v>
      </c>
      <c r="J1587">
        <v>93.4</v>
      </c>
      <c r="K1587">
        <v>64</v>
      </c>
      <c r="L1587">
        <v>28.4</v>
      </c>
      <c r="M1587">
        <v>13</v>
      </c>
      <c r="N1587">
        <v>0.110269661483002</v>
      </c>
      <c r="O1587">
        <v>0.15457956452878399</v>
      </c>
    </row>
    <row r="1588" spans="1:15" x14ac:dyDescent="0.3">
      <c r="A1588">
        <v>6601</v>
      </c>
      <c r="B1588">
        <v>34</v>
      </c>
      <c r="C1588">
        <v>228</v>
      </c>
      <c r="D1588" t="s">
        <v>19</v>
      </c>
      <c r="E1588" t="s">
        <v>16</v>
      </c>
      <c r="F1588" t="s">
        <v>21</v>
      </c>
      <c r="G1588" t="s">
        <v>26</v>
      </c>
      <c r="H1588">
        <v>275.39999999999998</v>
      </c>
      <c r="I1588">
        <v>249.5</v>
      </c>
      <c r="J1588">
        <v>93.4</v>
      </c>
      <c r="K1588">
        <v>64</v>
      </c>
      <c r="L1588">
        <v>28.4</v>
      </c>
      <c r="M1588">
        <v>13</v>
      </c>
      <c r="N1588">
        <v>7.6575889702370906E-2</v>
      </c>
      <c r="O1588">
        <v>0.13883557873966301</v>
      </c>
    </row>
    <row r="1589" spans="1:15" x14ac:dyDescent="0.3">
      <c r="A1589">
        <v>6611</v>
      </c>
      <c r="B1589">
        <v>3402</v>
      </c>
      <c r="C1589">
        <v>455</v>
      </c>
      <c r="D1589" t="s">
        <v>19</v>
      </c>
      <c r="E1589" t="s">
        <v>20</v>
      </c>
      <c r="F1589" t="s">
        <v>17</v>
      </c>
      <c r="G1589" t="s">
        <v>25</v>
      </c>
      <c r="H1589">
        <v>278.5</v>
      </c>
      <c r="I1589">
        <v>252.5</v>
      </c>
      <c r="J1589">
        <v>92.8</v>
      </c>
      <c r="K1589">
        <v>69</v>
      </c>
      <c r="L1589">
        <v>25.6</v>
      </c>
      <c r="M1589">
        <v>9</v>
      </c>
      <c r="N1589">
        <v>0.21257534731310801</v>
      </c>
      <c r="O1589">
        <v>5.87847413345104E-2</v>
      </c>
    </row>
    <row r="1590" spans="1:15" x14ac:dyDescent="0.3">
      <c r="A1590">
        <v>6612</v>
      </c>
      <c r="B1590">
        <v>3402</v>
      </c>
      <c r="C1590">
        <v>455</v>
      </c>
      <c r="D1590" t="s">
        <v>19</v>
      </c>
      <c r="E1590" t="s">
        <v>20</v>
      </c>
      <c r="F1590" t="s">
        <v>17</v>
      </c>
      <c r="G1590" t="s">
        <v>25</v>
      </c>
      <c r="H1590">
        <v>278.5</v>
      </c>
      <c r="I1590">
        <v>252.5</v>
      </c>
      <c r="J1590">
        <v>92.8</v>
      </c>
      <c r="K1590">
        <v>69</v>
      </c>
      <c r="L1590">
        <v>25.6</v>
      </c>
      <c r="M1590">
        <v>9</v>
      </c>
      <c r="N1590">
        <v>0.198266510584515</v>
      </c>
      <c r="O1590">
        <v>5.0433608818893999E-2</v>
      </c>
    </row>
    <row r="1591" spans="1:15" x14ac:dyDescent="0.3">
      <c r="A1591">
        <v>6618</v>
      </c>
      <c r="B1591">
        <v>3406</v>
      </c>
      <c r="C1591">
        <v>95</v>
      </c>
      <c r="D1591" t="s">
        <v>23</v>
      </c>
      <c r="E1591" t="s">
        <v>20</v>
      </c>
      <c r="F1591" t="s">
        <v>17</v>
      </c>
      <c r="G1591" t="s">
        <v>26</v>
      </c>
      <c r="H1591">
        <v>276.60000000000002</v>
      </c>
      <c r="I1591">
        <v>250.5</v>
      </c>
      <c r="J1591">
        <v>100</v>
      </c>
      <c r="K1591">
        <v>67</v>
      </c>
      <c r="L1591">
        <v>28.2</v>
      </c>
      <c r="M1591">
        <v>6.5</v>
      </c>
      <c r="N1591">
        <v>7.8582797586948097E-2</v>
      </c>
      <c r="O1591">
        <v>0.33969000520237902</v>
      </c>
    </row>
    <row r="1592" spans="1:15" x14ac:dyDescent="0.3">
      <c r="A1592">
        <v>6619</v>
      </c>
      <c r="B1592">
        <v>3406</v>
      </c>
      <c r="C1592">
        <v>95</v>
      </c>
      <c r="D1592" t="s">
        <v>23</v>
      </c>
      <c r="E1592" t="s">
        <v>20</v>
      </c>
      <c r="F1592" t="s">
        <v>17</v>
      </c>
      <c r="G1592" t="s">
        <v>26</v>
      </c>
      <c r="H1592">
        <v>276.60000000000002</v>
      </c>
      <c r="I1592">
        <v>250.5</v>
      </c>
      <c r="J1592">
        <v>100</v>
      </c>
      <c r="K1592">
        <v>67</v>
      </c>
      <c r="L1592">
        <v>28.2</v>
      </c>
      <c r="M1592">
        <v>6.5</v>
      </c>
      <c r="N1592">
        <v>0.102326084441695</v>
      </c>
      <c r="O1592">
        <v>0.33954401942759499</v>
      </c>
    </row>
    <row r="1593" spans="1:15" x14ac:dyDescent="0.3">
      <c r="A1593">
        <v>6620</v>
      </c>
      <c r="B1593">
        <v>3406</v>
      </c>
      <c r="C1593">
        <v>95</v>
      </c>
      <c r="D1593" t="s">
        <v>23</v>
      </c>
      <c r="E1593" t="s">
        <v>20</v>
      </c>
      <c r="F1593" t="s">
        <v>17</v>
      </c>
      <c r="G1593" t="s">
        <v>26</v>
      </c>
      <c r="H1593">
        <v>276.60000000000002</v>
      </c>
      <c r="I1593">
        <v>250.5</v>
      </c>
      <c r="J1593">
        <v>100</v>
      </c>
      <c r="K1593">
        <v>67</v>
      </c>
      <c r="L1593">
        <v>28.2</v>
      </c>
      <c r="M1593">
        <v>6.5</v>
      </c>
      <c r="N1593">
        <v>8.6179501853169194E-2</v>
      </c>
      <c r="O1593">
        <v>0.32148582338200399</v>
      </c>
    </row>
    <row r="1594" spans="1:15" x14ac:dyDescent="0.3">
      <c r="A1594">
        <v>6622</v>
      </c>
      <c r="B1594">
        <v>3408</v>
      </c>
      <c r="C1594">
        <v>124</v>
      </c>
      <c r="D1594" t="s">
        <v>23</v>
      </c>
      <c r="E1594" t="s">
        <v>16</v>
      </c>
      <c r="F1594" t="s">
        <v>17</v>
      </c>
      <c r="G1594" t="s">
        <v>26</v>
      </c>
      <c r="H1594">
        <v>275.39999999999998</v>
      </c>
      <c r="I1594">
        <v>241</v>
      </c>
      <c r="J1594">
        <v>94.9</v>
      </c>
      <c r="K1594">
        <v>69</v>
      </c>
      <c r="L1594">
        <v>24.9</v>
      </c>
      <c r="M1594">
        <v>7.5</v>
      </c>
      <c r="N1594">
        <v>0.18987632210182601</v>
      </c>
      <c r="O1594">
        <v>0.33334684763727102</v>
      </c>
    </row>
    <row r="1595" spans="1:15" x14ac:dyDescent="0.3">
      <c r="A1595">
        <v>6623</v>
      </c>
      <c r="B1595">
        <v>3408</v>
      </c>
      <c r="C1595">
        <v>124</v>
      </c>
      <c r="D1595" t="s">
        <v>23</v>
      </c>
      <c r="E1595" t="s">
        <v>16</v>
      </c>
      <c r="F1595" t="s">
        <v>17</v>
      </c>
      <c r="G1595" t="s">
        <v>26</v>
      </c>
      <c r="H1595">
        <v>275.39999999999998</v>
      </c>
      <c r="I1595">
        <v>241</v>
      </c>
      <c r="J1595">
        <v>94.9</v>
      </c>
      <c r="K1595">
        <v>69</v>
      </c>
      <c r="L1595">
        <v>24.9</v>
      </c>
      <c r="M1595">
        <v>7.5</v>
      </c>
      <c r="N1595">
        <v>0.20419426182242401</v>
      </c>
      <c r="O1595">
        <v>0.33101960488606302</v>
      </c>
    </row>
    <row r="1596" spans="1:15" x14ac:dyDescent="0.3">
      <c r="A1596">
        <v>6624</v>
      </c>
      <c r="B1596">
        <v>3408</v>
      </c>
      <c r="C1596">
        <v>124</v>
      </c>
      <c r="D1596" t="s">
        <v>23</v>
      </c>
      <c r="E1596" t="s">
        <v>16</v>
      </c>
      <c r="F1596" t="s">
        <v>17</v>
      </c>
      <c r="G1596" t="s">
        <v>26</v>
      </c>
      <c r="H1596">
        <v>275.39999999999998</v>
      </c>
      <c r="I1596">
        <v>241</v>
      </c>
      <c r="J1596">
        <v>94.9</v>
      </c>
      <c r="K1596">
        <v>69</v>
      </c>
      <c r="L1596">
        <v>24.9</v>
      </c>
      <c r="M1596">
        <v>7.5</v>
      </c>
      <c r="N1596">
        <v>0.18712407120396601</v>
      </c>
      <c r="O1596">
        <v>0.309510092809826</v>
      </c>
    </row>
    <row r="1597" spans="1:15" x14ac:dyDescent="0.3">
      <c r="A1597">
        <v>6625</v>
      </c>
      <c r="B1597">
        <v>3408</v>
      </c>
      <c r="C1597">
        <v>124</v>
      </c>
      <c r="D1597" t="s">
        <v>23</v>
      </c>
      <c r="E1597" t="s">
        <v>16</v>
      </c>
      <c r="F1597" t="s">
        <v>17</v>
      </c>
      <c r="G1597" t="s">
        <v>26</v>
      </c>
      <c r="H1597">
        <v>275.39999999999998</v>
      </c>
      <c r="I1597">
        <v>241</v>
      </c>
      <c r="J1597">
        <v>94.9</v>
      </c>
      <c r="K1597">
        <v>69</v>
      </c>
      <c r="L1597">
        <v>24.9</v>
      </c>
      <c r="M1597">
        <v>7.5</v>
      </c>
      <c r="N1597">
        <v>0.189652794291054</v>
      </c>
      <c r="O1597">
        <v>0.30316557890325702</v>
      </c>
    </row>
    <row r="1598" spans="1:15" x14ac:dyDescent="0.3">
      <c r="A1598">
        <v>6626</v>
      </c>
      <c r="B1598">
        <v>3408</v>
      </c>
      <c r="C1598">
        <v>124</v>
      </c>
      <c r="D1598" t="s">
        <v>23</v>
      </c>
      <c r="E1598" t="s">
        <v>16</v>
      </c>
      <c r="F1598" t="s">
        <v>17</v>
      </c>
      <c r="G1598" t="s">
        <v>26</v>
      </c>
      <c r="H1598">
        <v>275.39999999999998</v>
      </c>
      <c r="I1598">
        <v>241</v>
      </c>
      <c r="J1598">
        <v>94.9</v>
      </c>
      <c r="K1598">
        <v>69</v>
      </c>
      <c r="L1598">
        <v>24.9</v>
      </c>
      <c r="M1598">
        <v>7.5</v>
      </c>
      <c r="N1598">
        <v>0.21514081738758001</v>
      </c>
      <c r="O1598">
        <v>0.30457080337561099</v>
      </c>
    </row>
    <row r="1599" spans="1:15" x14ac:dyDescent="0.3">
      <c r="A1599">
        <v>6639</v>
      </c>
      <c r="B1599">
        <v>3412</v>
      </c>
      <c r="C1599">
        <v>279</v>
      </c>
      <c r="D1599" t="s">
        <v>23</v>
      </c>
      <c r="E1599" t="s">
        <v>16</v>
      </c>
      <c r="F1599" t="s">
        <v>17</v>
      </c>
      <c r="G1599" t="s">
        <v>25</v>
      </c>
      <c r="H1599">
        <v>273.8</v>
      </c>
      <c r="I1599">
        <v>248.5</v>
      </c>
      <c r="J1599">
        <v>97.9</v>
      </c>
      <c r="K1599">
        <v>65.5</v>
      </c>
      <c r="L1599">
        <v>24.9</v>
      </c>
      <c r="M1599">
        <v>4</v>
      </c>
      <c r="N1599">
        <v>0.248615730921602</v>
      </c>
      <c r="O1599">
        <v>0.37775604026701598</v>
      </c>
    </row>
    <row r="1600" spans="1:15" x14ac:dyDescent="0.3">
      <c r="A1600">
        <v>6640</v>
      </c>
      <c r="B1600">
        <v>3412</v>
      </c>
      <c r="C1600">
        <v>279</v>
      </c>
      <c r="D1600" t="s">
        <v>23</v>
      </c>
      <c r="E1600" t="s">
        <v>16</v>
      </c>
      <c r="F1600" t="s">
        <v>17</v>
      </c>
      <c r="G1600" t="s">
        <v>25</v>
      </c>
      <c r="H1600">
        <v>273.8</v>
      </c>
      <c r="I1600">
        <v>248.5</v>
      </c>
      <c r="J1600">
        <v>97.9</v>
      </c>
      <c r="K1600">
        <v>65.5</v>
      </c>
      <c r="L1600">
        <v>24.9</v>
      </c>
      <c r="M1600">
        <v>4</v>
      </c>
      <c r="N1600">
        <v>0.24309805216431801</v>
      </c>
      <c r="O1600">
        <v>0.37021808919375099</v>
      </c>
    </row>
    <row r="1601" spans="1:15" x14ac:dyDescent="0.3">
      <c r="A1601">
        <v>6649</v>
      </c>
      <c r="B1601">
        <v>3417</v>
      </c>
      <c r="C1601">
        <v>29</v>
      </c>
      <c r="D1601" t="s">
        <v>19</v>
      </c>
      <c r="E1601" t="s">
        <v>20</v>
      </c>
      <c r="F1601" t="s">
        <v>17</v>
      </c>
      <c r="G1601" t="s">
        <v>18</v>
      </c>
      <c r="H1601">
        <v>276.60000000000002</v>
      </c>
      <c r="I1601">
        <v>256.5</v>
      </c>
      <c r="J1601">
        <v>98.4</v>
      </c>
      <c r="K1601">
        <v>67.5</v>
      </c>
      <c r="L1601">
        <v>28.3</v>
      </c>
      <c r="M1601">
        <v>8</v>
      </c>
      <c r="N1601">
        <v>0.20580353320005501</v>
      </c>
      <c r="O1601">
        <v>0.105065237271335</v>
      </c>
    </row>
    <row r="1602" spans="1:15" x14ac:dyDescent="0.3">
      <c r="A1602">
        <v>6650</v>
      </c>
      <c r="B1602">
        <v>3417</v>
      </c>
      <c r="C1602">
        <v>29</v>
      </c>
      <c r="D1602" t="s">
        <v>19</v>
      </c>
      <c r="E1602" t="s">
        <v>20</v>
      </c>
      <c r="F1602" t="s">
        <v>17</v>
      </c>
      <c r="G1602" t="s">
        <v>18</v>
      </c>
      <c r="H1602">
        <v>276.60000000000002</v>
      </c>
      <c r="I1602">
        <v>256.5</v>
      </c>
      <c r="J1602">
        <v>98.4</v>
      </c>
      <c r="K1602">
        <v>67.5</v>
      </c>
      <c r="L1602">
        <v>28.3</v>
      </c>
      <c r="M1602">
        <v>8</v>
      </c>
      <c r="N1602">
        <v>0.19712454823227299</v>
      </c>
      <c r="O1602">
        <v>7.7235437348535704E-2</v>
      </c>
    </row>
    <row r="1603" spans="1:15" x14ac:dyDescent="0.3">
      <c r="A1603">
        <v>6651</v>
      </c>
      <c r="B1603">
        <v>3417</v>
      </c>
      <c r="C1603">
        <v>29</v>
      </c>
      <c r="D1603" t="s">
        <v>19</v>
      </c>
      <c r="E1603" t="s">
        <v>20</v>
      </c>
      <c r="F1603" t="s">
        <v>17</v>
      </c>
      <c r="G1603" t="s">
        <v>18</v>
      </c>
      <c r="H1603">
        <v>276.60000000000002</v>
      </c>
      <c r="I1603">
        <v>256.5</v>
      </c>
      <c r="J1603">
        <v>98.4</v>
      </c>
      <c r="K1603">
        <v>67.5</v>
      </c>
      <c r="L1603">
        <v>28.3</v>
      </c>
      <c r="M1603">
        <v>8</v>
      </c>
      <c r="N1603">
        <v>0.19189009970927001</v>
      </c>
      <c r="O1603">
        <v>9.8968167262166895E-2</v>
      </c>
    </row>
    <row r="1604" spans="1:15" x14ac:dyDescent="0.3">
      <c r="A1604">
        <v>6654</v>
      </c>
      <c r="B1604">
        <v>3419</v>
      </c>
      <c r="C1604">
        <v>310</v>
      </c>
      <c r="D1604" t="s">
        <v>19</v>
      </c>
      <c r="E1604" t="s">
        <v>20</v>
      </c>
      <c r="F1604" t="s">
        <v>17</v>
      </c>
      <c r="G1604" t="s">
        <v>18</v>
      </c>
      <c r="H1604">
        <v>273.60000000000002</v>
      </c>
      <c r="I1604">
        <v>255</v>
      </c>
      <c r="J1604">
        <v>95.2</v>
      </c>
      <c r="K1604">
        <v>63.5</v>
      </c>
      <c r="L1604">
        <v>27</v>
      </c>
      <c r="M1604">
        <v>11.5</v>
      </c>
      <c r="N1604">
        <v>2.3301010549818701E-2</v>
      </c>
      <c r="O1604">
        <v>0.113837689333612</v>
      </c>
    </row>
    <row r="1605" spans="1:15" x14ac:dyDescent="0.3">
      <c r="A1605">
        <v>6655</v>
      </c>
      <c r="B1605">
        <v>3419</v>
      </c>
      <c r="C1605">
        <v>310</v>
      </c>
      <c r="D1605" t="s">
        <v>19</v>
      </c>
      <c r="E1605" t="s">
        <v>20</v>
      </c>
      <c r="F1605" t="s">
        <v>17</v>
      </c>
      <c r="G1605" t="s">
        <v>18</v>
      </c>
      <c r="H1605">
        <v>273.60000000000002</v>
      </c>
      <c r="I1605">
        <v>255</v>
      </c>
      <c r="J1605">
        <v>95.2</v>
      </c>
      <c r="K1605">
        <v>63.5</v>
      </c>
      <c r="L1605">
        <v>27</v>
      </c>
      <c r="M1605">
        <v>11.5</v>
      </c>
      <c r="N1605">
        <v>3.68958150779546E-2</v>
      </c>
      <c r="O1605">
        <v>0.120012721721464</v>
      </c>
    </row>
    <row r="1606" spans="1:15" x14ac:dyDescent="0.3">
      <c r="A1606">
        <v>6656</v>
      </c>
      <c r="B1606">
        <v>3419</v>
      </c>
      <c r="C1606">
        <v>310</v>
      </c>
      <c r="D1606" t="s">
        <v>19</v>
      </c>
      <c r="E1606" t="s">
        <v>20</v>
      </c>
      <c r="F1606" t="s">
        <v>17</v>
      </c>
      <c r="G1606" t="s">
        <v>18</v>
      </c>
      <c r="H1606">
        <v>273.60000000000002</v>
      </c>
      <c r="I1606">
        <v>255</v>
      </c>
      <c r="J1606">
        <v>95.2</v>
      </c>
      <c r="K1606">
        <v>63.5</v>
      </c>
      <c r="L1606">
        <v>27</v>
      </c>
      <c r="M1606">
        <v>11.5</v>
      </c>
      <c r="N1606">
        <v>2.4722035077672799E-2</v>
      </c>
      <c r="O1606">
        <v>0.102693800662193</v>
      </c>
    </row>
    <row r="1607" spans="1:15" x14ac:dyDescent="0.3">
      <c r="A1607">
        <v>6657</v>
      </c>
      <c r="B1607">
        <v>3419</v>
      </c>
      <c r="C1607">
        <v>310</v>
      </c>
      <c r="D1607" t="s">
        <v>19</v>
      </c>
      <c r="E1607" t="s">
        <v>20</v>
      </c>
      <c r="F1607" t="s">
        <v>17</v>
      </c>
      <c r="G1607" t="s">
        <v>18</v>
      </c>
      <c r="H1607">
        <v>273.60000000000002</v>
      </c>
      <c r="I1607">
        <v>255</v>
      </c>
      <c r="J1607">
        <v>95.2</v>
      </c>
      <c r="K1607">
        <v>63.5</v>
      </c>
      <c r="L1607">
        <v>27</v>
      </c>
      <c r="M1607">
        <v>11.5</v>
      </c>
      <c r="N1607">
        <v>5.54982885817734E-2</v>
      </c>
      <c r="O1607">
        <v>0.13035638070622599</v>
      </c>
    </row>
    <row r="1608" spans="1:15" x14ac:dyDescent="0.3">
      <c r="A1608">
        <v>6658</v>
      </c>
      <c r="B1608">
        <v>3419</v>
      </c>
      <c r="C1608">
        <v>310</v>
      </c>
      <c r="D1608" t="s">
        <v>19</v>
      </c>
      <c r="E1608" t="s">
        <v>20</v>
      </c>
      <c r="F1608" t="s">
        <v>17</v>
      </c>
      <c r="G1608" t="s">
        <v>18</v>
      </c>
      <c r="H1608">
        <v>273.60000000000002</v>
      </c>
      <c r="I1608">
        <v>255</v>
      </c>
      <c r="J1608">
        <v>95.2</v>
      </c>
      <c r="K1608">
        <v>63.5</v>
      </c>
      <c r="L1608">
        <v>27</v>
      </c>
      <c r="M1608">
        <v>11.5</v>
      </c>
      <c r="N1608">
        <v>4.43824216978266E-2</v>
      </c>
      <c r="O1608">
        <v>0.107546790287739</v>
      </c>
    </row>
    <row r="1609" spans="1:15" x14ac:dyDescent="0.3">
      <c r="A1609">
        <v>6659</v>
      </c>
      <c r="B1609">
        <v>3419</v>
      </c>
      <c r="C1609">
        <v>310</v>
      </c>
      <c r="D1609" t="s">
        <v>19</v>
      </c>
      <c r="E1609" t="s">
        <v>20</v>
      </c>
      <c r="F1609" t="s">
        <v>17</v>
      </c>
      <c r="G1609" t="s">
        <v>18</v>
      </c>
      <c r="H1609">
        <v>273.60000000000002</v>
      </c>
      <c r="I1609">
        <v>255</v>
      </c>
      <c r="J1609">
        <v>95.2</v>
      </c>
      <c r="K1609">
        <v>63.5</v>
      </c>
      <c r="L1609">
        <v>27</v>
      </c>
      <c r="M1609">
        <v>11.5</v>
      </c>
      <c r="N1609">
        <v>2.4680371673770199E-2</v>
      </c>
      <c r="O1609">
        <v>0.100874973789002</v>
      </c>
    </row>
    <row r="1610" spans="1:15" x14ac:dyDescent="0.3">
      <c r="A1610">
        <v>6661</v>
      </c>
      <c r="B1610">
        <v>342</v>
      </c>
      <c r="C1610">
        <v>443</v>
      </c>
      <c r="D1610" t="s">
        <v>19</v>
      </c>
      <c r="E1610" t="s">
        <v>20</v>
      </c>
      <c r="F1610" t="s">
        <v>21</v>
      </c>
      <c r="G1610" t="s">
        <v>22</v>
      </c>
      <c r="H1610">
        <v>272.5</v>
      </c>
      <c r="I1610">
        <v>239.5</v>
      </c>
      <c r="J1610">
        <v>96</v>
      </c>
      <c r="K1610">
        <v>64.5</v>
      </c>
      <c r="L1610">
        <v>20.399999999999999</v>
      </c>
      <c r="M1610">
        <v>10</v>
      </c>
      <c r="N1610">
        <v>0.23510605576455201</v>
      </c>
      <c r="O1610">
        <v>6.4143329787031494E-2</v>
      </c>
    </row>
    <row r="1611" spans="1:15" x14ac:dyDescent="0.3">
      <c r="A1611">
        <v>6662</v>
      </c>
      <c r="B1611">
        <v>342</v>
      </c>
      <c r="C1611">
        <v>443</v>
      </c>
      <c r="D1611" t="s">
        <v>19</v>
      </c>
      <c r="E1611" t="s">
        <v>20</v>
      </c>
      <c r="F1611" t="s">
        <v>21</v>
      </c>
      <c r="G1611" t="s">
        <v>22</v>
      </c>
      <c r="H1611">
        <v>272.5</v>
      </c>
      <c r="I1611">
        <v>239.5</v>
      </c>
      <c r="J1611">
        <v>96</v>
      </c>
      <c r="K1611">
        <v>64.5</v>
      </c>
      <c r="L1611">
        <v>20.399999999999999</v>
      </c>
      <c r="M1611">
        <v>10</v>
      </c>
      <c r="N1611">
        <v>0.25960306630570501</v>
      </c>
      <c r="O1611">
        <v>7.1462373208174806E-2</v>
      </c>
    </row>
    <row r="1612" spans="1:15" x14ac:dyDescent="0.3">
      <c r="A1612">
        <v>6672</v>
      </c>
      <c r="B1612">
        <v>3424</v>
      </c>
      <c r="C1612">
        <v>450</v>
      </c>
      <c r="D1612" t="s">
        <v>19</v>
      </c>
      <c r="E1612" t="s">
        <v>20</v>
      </c>
      <c r="F1612" t="s">
        <v>21</v>
      </c>
      <c r="G1612" t="s">
        <v>18</v>
      </c>
      <c r="H1612">
        <v>277.39999999999998</v>
      </c>
      <c r="I1612">
        <v>240</v>
      </c>
      <c r="J1612">
        <v>88.5</v>
      </c>
      <c r="K1612">
        <v>65.5</v>
      </c>
      <c r="L1612">
        <v>30.2</v>
      </c>
      <c r="M1612">
        <v>5</v>
      </c>
      <c r="N1612">
        <v>0.106139303705518</v>
      </c>
      <c r="O1612">
        <v>0.19341975519313401</v>
      </c>
    </row>
    <row r="1613" spans="1:15" x14ac:dyDescent="0.3">
      <c r="A1613">
        <v>6673</v>
      </c>
      <c r="B1613">
        <v>3424</v>
      </c>
      <c r="C1613">
        <v>450</v>
      </c>
      <c r="D1613" t="s">
        <v>19</v>
      </c>
      <c r="E1613" t="s">
        <v>20</v>
      </c>
      <c r="F1613" t="s">
        <v>21</v>
      </c>
      <c r="G1613" t="s">
        <v>18</v>
      </c>
      <c r="H1613">
        <v>277.39999999999998</v>
      </c>
      <c r="I1613">
        <v>240</v>
      </c>
      <c r="J1613">
        <v>88.5</v>
      </c>
      <c r="K1613">
        <v>65.5</v>
      </c>
      <c r="L1613">
        <v>30.2</v>
      </c>
      <c r="M1613">
        <v>5</v>
      </c>
      <c r="N1613">
        <v>0.12117081111639499</v>
      </c>
      <c r="O1613">
        <v>0.19275126571624801</v>
      </c>
    </row>
    <row r="1614" spans="1:15" x14ac:dyDescent="0.3">
      <c r="A1614">
        <v>6679</v>
      </c>
      <c r="B1614">
        <v>3428</v>
      </c>
      <c r="C1614">
        <v>251</v>
      </c>
      <c r="D1614" t="s">
        <v>23</v>
      </c>
      <c r="E1614" t="s">
        <v>20</v>
      </c>
      <c r="F1614" t="s">
        <v>17</v>
      </c>
      <c r="G1614" t="s">
        <v>26</v>
      </c>
      <c r="H1614">
        <v>277.2</v>
      </c>
      <c r="I1614">
        <v>261</v>
      </c>
      <c r="J1614">
        <v>99.3</v>
      </c>
      <c r="K1614">
        <v>69.5</v>
      </c>
      <c r="L1614">
        <v>23.6</v>
      </c>
      <c r="M1614">
        <v>13</v>
      </c>
      <c r="N1614">
        <v>0.204730067875734</v>
      </c>
      <c r="O1614">
        <v>0.45560326183990402</v>
      </c>
    </row>
    <row r="1615" spans="1:15" x14ac:dyDescent="0.3">
      <c r="A1615">
        <v>6680</v>
      </c>
      <c r="B1615">
        <v>3428</v>
      </c>
      <c r="C1615">
        <v>251</v>
      </c>
      <c r="D1615" t="s">
        <v>23</v>
      </c>
      <c r="E1615" t="s">
        <v>20</v>
      </c>
      <c r="F1615" t="s">
        <v>17</v>
      </c>
      <c r="G1615" t="s">
        <v>26</v>
      </c>
      <c r="H1615">
        <v>277.2</v>
      </c>
      <c r="I1615">
        <v>261</v>
      </c>
      <c r="J1615">
        <v>99.3</v>
      </c>
      <c r="K1615">
        <v>69.5</v>
      </c>
      <c r="L1615">
        <v>23.6</v>
      </c>
      <c r="M1615">
        <v>13</v>
      </c>
      <c r="N1615">
        <v>0.19659066453484</v>
      </c>
      <c r="O1615">
        <v>0.47854875480273201</v>
      </c>
    </row>
    <row r="1616" spans="1:15" x14ac:dyDescent="0.3">
      <c r="A1616">
        <v>6697</v>
      </c>
      <c r="B1616">
        <v>3434</v>
      </c>
      <c r="C1616">
        <v>66</v>
      </c>
      <c r="D1616" t="s">
        <v>23</v>
      </c>
      <c r="E1616" t="s">
        <v>20</v>
      </c>
      <c r="F1616" t="s">
        <v>17</v>
      </c>
      <c r="G1616" t="s">
        <v>24</v>
      </c>
      <c r="H1616">
        <v>276.2</v>
      </c>
      <c r="I1616">
        <v>258</v>
      </c>
      <c r="J1616">
        <v>95.8</v>
      </c>
      <c r="K1616">
        <v>63.5</v>
      </c>
      <c r="L1616">
        <v>26.4</v>
      </c>
      <c r="M1616">
        <v>7</v>
      </c>
      <c r="N1616">
        <v>0.17697543008494199</v>
      </c>
      <c r="O1616">
        <v>0.238661106377313</v>
      </c>
    </row>
    <row r="1617" spans="1:15" x14ac:dyDescent="0.3">
      <c r="A1617">
        <v>6699</v>
      </c>
      <c r="B1617">
        <v>3435</v>
      </c>
      <c r="C1617">
        <v>62</v>
      </c>
      <c r="D1617" t="s">
        <v>19</v>
      </c>
      <c r="E1617" t="s">
        <v>20</v>
      </c>
      <c r="F1617" t="s">
        <v>17</v>
      </c>
      <c r="G1617" t="s">
        <v>24</v>
      </c>
      <c r="H1617">
        <v>274.5</v>
      </c>
      <c r="I1617">
        <v>256.5</v>
      </c>
      <c r="J1617">
        <v>98.4</v>
      </c>
      <c r="K1617">
        <v>71.5</v>
      </c>
      <c r="L1617">
        <v>29.3</v>
      </c>
      <c r="M1617">
        <v>6</v>
      </c>
      <c r="N1617">
        <v>0.26476544398698998</v>
      </c>
      <c r="O1617">
        <v>0.130178341226975</v>
      </c>
    </row>
    <row r="1618" spans="1:15" x14ac:dyDescent="0.3">
      <c r="A1618">
        <v>6700</v>
      </c>
      <c r="B1618">
        <v>3435</v>
      </c>
      <c r="C1618">
        <v>62</v>
      </c>
      <c r="D1618" t="s">
        <v>19</v>
      </c>
      <c r="E1618" t="s">
        <v>20</v>
      </c>
      <c r="F1618" t="s">
        <v>17</v>
      </c>
      <c r="G1618" t="s">
        <v>24</v>
      </c>
      <c r="H1618">
        <v>274.5</v>
      </c>
      <c r="I1618">
        <v>256.5</v>
      </c>
      <c r="J1618">
        <v>98.4</v>
      </c>
      <c r="K1618">
        <v>71.5</v>
      </c>
      <c r="L1618">
        <v>29.3</v>
      </c>
      <c r="M1618">
        <v>6</v>
      </c>
      <c r="N1618">
        <v>0.25973353999626603</v>
      </c>
      <c r="O1618">
        <v>0.119821266061651</v>
      </c>
    </row>
    <row r="1619" spans="1:15" x14ac:dyDescent="0.3">
      <c r="A1619">
        <v>6701</v>
      </c>
      <c r="B1619">
        <v>3437</v>
      </c>
      <c r="C1619">
        <v>149</v>
      </c>
      <c r="D1619" t="s">
        <v>19</v>
      </c>
      <c r="E1619" t="s">
        <v>20</v>
      </c>
      <c r="F1619" t="s">
        <v>17</v>
      </c>
      <c r="G1619" t="s">
        <v>18</v>
      </c>
      <c r="H1619">
        <v>275.8</v>
      </c>
      <c r="I1619">
        <v>245.5</v>
      </c>
      <c r="J1619">
        <v>93.1</v>
      </c>
      <c r="K1619">
        <v>67</v>
      </c>
      <c r="L1619">
        <v>28.1</v>
      </c>
      <c r="M1619">
        <v>7</v>
      </c>
      <c r="N1619">
        <v>0.17457525799281101</v>
      </c>
      <c r="O1619">
        <v>0.10038670171203599</v>
      </c>
    </row>
    <row r="1620" spans="1:15" x14ac:dyDescent="0.3">
      <c r="A1620">
        <v>6702</v>
      </c>
      <c r="B1620">
        <v>3437</v>
      </c>
      <c r="C1620">
        <v>149</v>
      </c>
      <c r="D1620" t="s">
        <v>19</v>
      </c>
      <c r="E1620" t="s">
        <v>20</v>
      </c>
      <c r="F1620" t="s">
        <v>17</v>
      </c>
      <c r="G1620" t="s">
        <v>18</v>
      </c>
      <c r="H1620">
        <v>275.8</v>
      </c>
      <c r="I1620">
        <v>245.5</v>
      </c>
      <c r="J1620">
        <v>93.1</v>
      </c>
      <c r="K1620">
        <v>67</v>
      </c>
      <c r="L1620">
        <v>28.1</v>
      </c>
      <c r="M1620">
        <v>7</v>
      </c>
      <c r="N1620">
        <v>0.14022690602056601</v>
      </c>
      <c r="O1620">
        <v>8.8358574367889797E-2</v>
      </c>
    </row>
    <row r="1621" spans="1:15" x14ac:dyDescent="0.3">
      <c r="A1621">
        <v>6703</v>
      </c>
      <c r="B1621">
        <v>3437</v>
      </c>
      <c r="C1621">
        <v>149</v>
      </c>
      <c r="D1621" t="s">
        <v>19</v>
      </c>
      <c r="E1621" t="s">
        <v>20</v>
      </c>
      <c r="F1621" t="s">
        <v>17</v>
      </c>
      <c r="G1621" t="s">
        <v>18</v>
      </c>
      <c r="H1621">
        <v>275.8</v>
      </c>
      <c r="I1621">
        <v>245.5</v>
      </c>
      <c r="J1621">
        <v>93.1</v>
      </c>
      <c r="K1621">
        <v>67</v>
      </c>
      <c r="L1621">
        <v>28.1</v>
      </c>
      <c r="M1621">
        <v>7</v>
      </c>
      <c r="N1621">
        <v>0.16750668932938301</v>
      </c>
      <c r="O1621">
        <v>8.7436306655348198E-2</v>
      </c>
    </row>
    <row r="1622" spans="1:15" x14ac:dyDescent="0.3">
      <c r="A1622">
        <v>6704</v>
      </c>
      <c r="B1622">
        <v>3437</v>
      </c>
      <c r="C1622">
        <v>149</v>
      </c>
      <c r="D1622" t="s">
        <v>19</v>
      </c>
      <c r="E1622" t="s">
        <v>20</v>
      </c>
      <c r="F1622" t="s">
        <v>17</v>
      </c>
      <c r="G1622" t="s">
        <v>18</v>
      </c>
      <c r="H1622">
        <v>275.8</v>
      </c>
      <c r="I1622">
        <v>245.5</v>
      </c>
      <c r="J1622">
        <v>93.1</v>
      </c>
      <c r="K1622">
        <v>67</v>
      </c>
      <c r="L1622">
        <v>28.1</v>
      </c>
      <c r="M1622">
        <v>7</v>
      </c>
      <c r="N1622">
        <v>0.169594683964501</v>
      </c>
      <c r="O1622">
        <v>8.4205542943712602E-2</v>
      </c>
    </row>
    <row r="1623" spans="1:15" x14ac:dyDescent="0.3">
      <c r="A1623">
        <v>6722</v>
      </c>
      <c r="B1623">
        <v>3443</v>
      </c>
      <c r="C1623">
        <v>122</v>
      </c>
      <c r="D1623" t="s">
        <v>23</v>
      </c>
      <c r="E1623" t="s">
        <v>20</v>
      </c>
      <c r="F1623" t="s">
        <v>17</v>
      </c>
      <c r="G1623" t="s">
        <v>25</v>
      </c>
      <c r="H1623">
        <v>276.60000000000002</v>
      </c>
      <c r="I1623">
        <v>246.5</v>
      </c>
      <c r="J1623">
        <v>96.7</v>
      </c>
      <c r="K1623">
        <v>65.5</v>
      </c>
      <c r="L1623">
        <v>30.9</v>
      </c>
      <c r="M1623">
        <v>8.5</v>
      </c>
      <c r="N1623">
        <v>6.0239470128246E-2</v>
      </c>
      <c r="O1623">
        <v>0.28502031663083599</v>
      </c>
    </row>
    <row r="1624" spans="1:15" x14ac:dyDescent="0.3">
      <c r="A1624">
        <v>6726</v>
      </c>
      <c r="B1624">
        <v>3445</v>
      </c>
      <c r="C1624">
        <v>320</v>
      </c>
      <c r="D1624" t="s">
        <v>19</v>
      </c>
      <c r="E1624" t="s">
        <v>20</v>
      </c>
      <c r="F1624" t="s">
        <v>21</v>
      </c>
      <c r="G1624" t="s">
        <v>25</v>
      </c>
      <c r="H1624">
        <v>279</v>
      </c>
      <c r="I1624">
        <v>253.5</v>
      </c>
      <c r="J1624">
        <v>97.1</v>
      </c>
      <c r="K1624">
        <v>64</v>
      </c>
      <c r="L1624">
        <v>24</v>
      </c>
      <c r="M1624">
        <v>8</v>
      </c>
      <c r="N1624">
        <v>0.14860744404020099</v>
      </c>
      <c r="O1624">
        <v>3.4536329320263202E-2</v>
      </c>
    </row>
    <row r="1625" spans="1:15" x14ac:dyDescent="0.3">
      <c r="A1625">
        <v>6746</v>
      </c>
      <c r="B1625">
        <v>3451</v>
      </c>
      <c r="C1625">
        <v>269</v>
      </c>
      <c r="D1625" t="s">
        <v>19</v>
      </c>
      <c r="E1625" t="s">
        <v>20</v>
      </c>
      <c r="F1625" t="s">
        <v>21</v>
      </c>
      <c r="G1625" t="s">
        <v>18</v>
      </c>
      <c r="H1625">
        <v>273.8</v>
      </c>
      <c r="I1625">
        <v>243</v>
      </c>
      <c r="J1625">
        <v>91.5</v>
      </c>
      <c r="K1625">
        <v>66</v>
      </c>
      <c r="L1625">
        <v>24.8</v>
      </c>
      <c r="M1625">
        <v>8.5</v>
      </c>
      <c r="N1625">
        <v>0.104325057836942</v>
      </c>
      <c r="O1625">
        <v>0.128024218381175</v>
      </c>
    </row>
    <row r="1626" spans="1:15" x14ac:dyDescent="0.3">
      <c r="A1626">
        <v>6757</v>
      </c>
      <c r="B1626">
        <v>3455</v>
      </c>
      <c r="C1626">
        <v>310</v>
      </c>
      <c r="D1626" t="s">
        <v>19</v>
      </c>
      <c r="E1626" t="s">
        <v>20</v>
      </c>
      <c r="F1626" t="s">
        <v>17</v>
      </c>
      <c r="G1626" t="s">
        <v>18</v>
      </c>
      <c r="H1626">
        <v>273.60000000000002</v>
      </c>
      <c r="I1626">
        <v>255</v>
      </c>
      <c r="J1626">
        <v>95.2</v>
      </c>
      <c r="K1626">
        <v>63.5</v>
      </c>
      <c r="L1626">
        <v>27</v>
      </c>
      <c r="M1626">
        <v>11.5</v>
      </c>
      <c r="N1626">
        <v>4.1585399526663298E-2</v>
      </c>
      <c r="O1626">
        <v>0.103474893154561</v>
      </c>
    </row>
    <row r="1627" spans="1:15" x14ac:dyDescent="0.3">
      <c r="A1627">
        <v>6758</v>
      </c>
      <c r="B1627">
        <v>3455</v>
      </c>
      <c r="C1627">
        <v>310</v>
      </c>
      <c r="D1627" t="s">
        <v>19</v>
      </c>
      <c r="E1627" t="s">
        <v>20</v>
      </c>
      <c r="F1627" t="s">
        <v>17</v>
      </c>
      <c r="G1627" t="s">
        <v>18</v>
      </c>
      <c r="H1627">
        <v>273.60000000000002</v>
      </c>
      <c r="I1627">
        <v>255</v>
      </c>
      <c r="J1627">
        <v>95.2</v>
      </c>
      <c r="K1627">
        <v>63.5</v>
      </c>
      <c r="L1627">
        <v>27</v>
      </c>
      <c r="M1627">
        <v>11.5</v>
      </c>
      <c r="N1627">
        <v>3.6733482110436998E-2</v>
      </c>
      <c r="O1627">
        <v>0.11831826820118201</v>
      </c>
    </row>
    <row r="1628" spans="1:15" x14ac:dyDescent="0.3">
      <c r="A1628">
        <v>6759</v>
      </c>
      <c r="B1628">
        <v>3455</v>
      </c>
      <c r="C1628">
        <v>310</v>
      </c>
      <c r="D1628" t="s">
        <v>19</v>
      </c>
      <c r="E1628" t="s">
        <v>20</v>
      </c>
      <c r="F1628" t="s">
        <v>17</v>
      </c>
      <c r="G1628" t="s">
        <v>18</v>
      </c>
      <c r="H1628">
        <v>273.60000000000002</v>
      </c>
      <c r="I1628">
        <v>255</v>
      </c>
      <c r="J1628">
        <v>95.2</v>
      </c>
      <c r="K1628">
        <v>63.5</v>
      </c>
      <c r="L1628">
        <v>27</v>
      </c>
      <c r="M1628">
        <v>11.5</v>
      </c>
      <c r="N1628">
        <v>3.9511640648252702E-2</v>
      </c>
      <c r="O1628">
        <v>0.10871686791327</v>
      </c>
    </row>
    <row r="1629" spans="1:15" x14ac:dyDescent="0.3">
      <c r="A1629">
        <v>6760</v>
      </c>
      <c r="B1629">
        <v>3455</v>
      </c>
      <c r="C1629">
        <v>310</v>
      </c>
      <c r="D1629" t="s">
        <v>19</v>
      </c>
      <c r="E1629" t="s">
        <v>20</v>
      </c>
      <c r="F1629" t="s">
        <v>17</v>
      </c>
      <c r="G1629" t="s">
        <v>18</v>
      </c>
      <c r="H1629">
        <v>273.60000000000002</v>
      </c>
      <c r="I1629">
        <v>255</v>
      </c>
      <c r="J1629">
        <v>95.2</v>
      </c>
      <c r="K1629">
        <v>63.5</v>
      </c>
      <c r="L1629">
        <v>27</v>
      </c>
      <c r="M1629">
        <v>11.5</v>
      </c>
      <c r="N1629">
        <v>2.9959434425834201E-2</v>
      </c>
      <c r="O1629">
        <v>0.121668164769726</v>
      </c>
    </row>
    <row r="1630" spans="1:15" x14ac:dyDescent="0.3">
      <c r="A1630">
        <v>6761</v>
      </c>
      <c r="B1630">
        <v>3456</v>
      </c>
      <c r="C1630">
        <v>20</v>
      </c>
      <c r="D1630" t="s">
        <v>23</v>
      </c>
      <c r="E1630" t="s">
        <v>16</v>
      </c>
      <c r="F1630" t="s">
        <v>17</v>
      </c>
      <c r="G1630" t="s">
        <v>18</v>
      </c>
      <c r="H1630">
        <v>282.7</v>
      </c>
      <c r="I1630">
        <v>260</v>
      </c>
      <c r="J1630">
        <v>103.8</v>
      </c>
      <c r="K1630">
        <v>68</v>
      </c>
      <c r="L1630">
        <v>26.4</v>
      </c>
      <c r="M1630">
        <v>11.5</v>
      </c>
      <c r="N1630">
        <v>8.4083201964027798E-2</v>
      </c>
      <c r="O1630">
        <v>0.25370107806796399</v>
      </c>
    </row>
    <row r="1631" spans="1:15" x14ac:dyDescent="0.3">
      <c r="A1631">
        <v>6762</v>
      </c>
      <c r="B1631">
        <v>3456</v>
      </c>
      <c r="C1631">
        <v>20</v>
      </c>
      <c r="D1631" t="s">
        <v>23</v>
      </c>
      <c r="E1631" t="s">
        <v>16</v>
      </c>
      <c r="F1631" t="s">
        <v>17</v>
      </c>
      <c r="G1631" t="s">
        <v>18</v>
      </c>
      <c r="H1631">
        <v>282.7</v>
      </c>
      <c r="I1631">
        <v>260</v>
      </c>
      <c r="J1631">
        <v>103.8</v>
      </c>
      <c r="K1631">
        <v>68</v>
      </c>
      <c r="L1631">
        <v>26.4</v>
      </c>
      <c r="M1631">
        <v>11.5</v>
      </c>
      <c r="N1631">
        <v>7.5315712393661499E-2</v>
      </c>
      <c r="O1631">
        <v>0.249611519632495</v>
      </c>
    </row>
    <row r="1632" spans="1:15" x14ac:dyDescent="0.3">
      <c r="A1632">
        <v>6780</v>
      </c>
      <c r="B1632">
        <v>3463</v>
      </c>
      <c r="C1632">
        <v>497</v>
      </c>
      <c r="D1632" t="s">
        <v>23</v>
      </c>
      <c r="E1632" t="s">
        <v>20</v>
      </c>
      <c r="F1632" t="s">
        <v>21</v>
      </c>
      <c r="G1632" t="s">
        <v>18</v>
      </c>
      <c r="H1632">
        <v>269.7</v>
      </c>
      <c r="I1632">
        <v>245</v>
      </c>
      <c r="J1632">
        <v>94</v>
      </c>
      <c r="K1632">
        <v>67</v>
      </c>
      <c r="L1632">
        <v>24.2</v>
      </c>
      <c r="M1632">
        <v>9</v>
      </c>
      <c r="N1632">
        <v>0.204170420444965</v>
      </c>
      <c r="O1632">
        <v>0.39213871051391103</v>
      </c>
    </row>
    <row r="1633" spans="1:15" x14ac:dyDescent="0.3">
      <c r="A1633">
        <v>6781</v>
      </c>
      <c r="B1633">
        <v>3463</v>
      </c>
      <c r="C1633">
        <v>497</v>
      </c>
      <c r="D1633" t="s">
        <v>23</v>
      </c>
      <c r="E1633" t="s">
        <v>20</v>
      </c>
      <c r="F1633" t="s">
        <v>21</v>
      </c>
      <c r="G1633" t="s">
        <v>18</v>
      </c>
      <c r="H1633">
        <v>269.7</v>
      </c>
      <c r="I1633">
        <v>245</v>
      </c>
      <c r="J1633">
        <v>94</v>
      </c>
      <c r="K1633">
        <v>67</v>
      </c>
      <c r="L1633">
        <v>24.2</v>
      </c>
      <c r="M1633">
        <v>9</v>
      </c>
      <c r="N1633">
        <v>0.215991861897843</v>
      </c>
      <c r="O1633">
        <v>0.360876362722856</v>
      </c>
    </row>
    <row r="1634" spans="1:15" x14ac:dyDescent="0.3">
      <c r="A1634">
        <v>6782</v>
      </c>
      <c r="B1634">
        <v>3463</v>
      </c>
      <c r="C1634">
        <v>497</v>
      </c>
      <c r="D1634" t="s">
        <v>23</v>
      </c>
      <c r="E1634" t="s">
        <v>20</v>
      </c>
      <c r="F1634" t="s">
        <v>21</v>
      </c>
      <c r="G1634" t="s">
        <v>18</v>
      </c>
      <c r="H1634">
        <v>269.7</v>
      </c>
      <c r="I1634">
        <v>245</v>
      </c>
      <c r="J1634">
        <v>94</v>
      </c>
      <c r="K1634">
        <v>67</v>
      </c>
      <c r="L1634">
        <v>24.2</v>
      </c>
      <c r="M1634">
        <v>9</v>
      </c>
      <c r="N1634">
        <v>0.219789325508538</v>
      </c>
      <c r="O1634">
        <v>0.36178081792926697</v>
      </c>
    </row>
    <row r="1635" spans="1:15" x14ac:dyDescent="0.3">
      <c r="A1635">
        <v>6783</v>
      </c>
      <c r="B1635">
        <v>3463</v>
      </c>
      <c r="C1635">
        <v>497</v>
      </c>
      <c r="D1635" t="s">
        <v>23</v>
      </c>
      <c r="E1635" t="s">
        <v>20</v>
      </c>
      <c r="F1635" t="s">
        <v>21</v>
      </c>
      <c r="G1635" t="s">
        <v>18</v>
      </c>
      <c r="H1635">
        <v>269.7</v>
      </c>
      <c r="I1635">
        <v>245</v>
      </c>
      <c r="J1635">
        <v>94</v>
      </c>
      <c r="K1635">
        <v>67</v>
      </c>
      <c r="L1635">
        <v>24.2</v>
      </c>
      <c r="M1635">
        <v>9</v>
      </c>
      <c r="N1635">
        <v>0.23211719035244299</v>
      </c>
      <c r="O1635">
        <v>0.395993770247692</v>
      </c>
    </row>
    <row r="1636" spans="1:15" x14ac:dyDescent="0.3">
      <c r="A1636">
        <v>6785</v>
      </c>
      <c r="B1636">
        <v>3465</v>
      </c>
      <c r="C1636">
        <v>366</v>
      </c>
      <c r="D1636" t="s">
        <v>19</v>
      </c>
      <c r="E1636" t="s">
        <v>20</v>
      </c>
      <c r="F1636" t="s">
        <v>21</v>
      </c>
      <c r="G1636" t="s">
        <v>18</v>
      </c>
      <c r="H1636">
        <v>275.89999999999998</v>
      </c>
      <c r="I1636">
        <v>255</v>
      </c>
      <c r="J1636">
        <v>94.9</v>
      </c>
      <c r="K1636">
        <v>64</v>
      </c>
      <c r="L1636">
        <v>26.8</v>
      </c>
      <c r="M1636">
        <v>17</v>
      </c>
      <c r="N1636">
        <v>0.17859531608037099</v>
      </c>
      <c r="O1636">
        <v>0.14118206486790599</v>
      </c>
    </row>
    <row r="1637" spans="1:15" x14ac:dyDescent="0.3">
      <c r="A1637">
        <v>6786</v>
      </c>
      <c r="B1637">
        <v>3465</v>
      </c>
      <c r="C1637">
        <v>366</v>
      </c>
      <c r="D1637" t="s">
        <v>19</v>
      </c>
      <c r="E1637" t="s">
        <v>20</v>
      </c>
      <c r="F1637" t="s">
        <v>21</v>
      </c>
      <c r="G1637" t="s">
        <v>18</v>
      </c>
      <c r="H1637">
        <v>275.89999999999998</v>
      </c>
      <c r="I1637">
        <v>255</v>
      </c>
      <c r="J1637">
        <v>94.9</v>
      </c>
      <c r="K1637">
        <v>64</v>
      </c>
      <c r="L1637">
        <v>26.8</v>
      </c>
      <c r="M1637">
        <v>17</v>
      </c>
      <c r="N1637">
        <v>0.17244099582036801</v>
      </c>
      <c r="O1637">
        <v>0.13976263378245901</v>
      </c>
    </row>
    <row r="1638" spans="1:15" x14ac:dyDescent="0.3">
      <c r="A1638">
        <v>6787</v>
      </c>
      <c r="B1638">
        <v>3465</v>
      </c>
      <c r="C1638">
        <v>366</v>
      </c>
      <c r="D1638" t="s">
        <v>19</v>
      </c>
      <c r="E1638" t="s">
        <v>20</v>
      </c>
      <c r="F1638" t="s">
        <v>21</v>
      </c>
      <c r="G1638" t="s">
        <v>18</v>
      </c>
      <c r="H1638">
        <v>275.89999999999998</v>
      </c>
      <c r="I1638">
        <v>255</v>
      </c>
      <c r="J1638">
        <v>94.9</v>
      </c>
      <c r="K1638">
        <v>64</v>
      </c>
      <c r="L1638">
        <v>26.8</v>
      </c>
      <c r="M1638">
        <v>17</v>
      </c>
      <c r="N1638">
        <v>0.182741274491109</v>
      </c>
      <c r="O1638">
        <v>0.141094582577559</v>
      </c>
    </row>
    <row r="1639" spans="1:15" x14ac:dyDescent="0.3">
      <c r="A1639">
        <v>6788</v>
      </c>
      <c r="B1639">
        <v>3465</v>
      </c>
      <c r="C1639">
        <v>366</v>
      </c>
      <c r="D1639" t="s">
        <v>19</v>
      </c>
      <c r="E1639" t="s">
        <v>20</v>
      </c>
      <c r="F1639" t="s">
        <v>21</v>
      </c>
      <c r="G1639" t="s">
        <v>18</v>
      </c>
      <c r="H1639">
        <v>275.89999999999998</v>
      </c>
      <c r="I1639">
        <v>255</v>
      </c>
      <c r="J1639">
        <v>94.9</v>
      </c>
      <c r="K1639">
        <v>64</v>
      </c>
      <c r="L1639">
        <v>26.8</v>
      </c>
      <c r="M1639">
        <v>17</v>
      </c>
      <c r="N1639">
        <v>0.18413619972871501</v>
      </c>
      <c r="O1639">
        <v>0.13717269869591001</v>
      </c>
    </row>
    <row r="1640" spans="1:15" x14ac:dyDescent="0.3">
      <c r="A1640">
        <v>6789</v>
      </c>
      <c r="B1640">
        <v>3465</v>
      </c>
      <c r="C1640">
        <v>366</v>
      </c>
      <c r="D1640" t="s">
        <v>19</v>
      </c>
      <c r="E1640" t="s">
        <v>20</v>
      </c>
      <c r="F1640" t="s">
        <v>21</v>
      </c>
      <c r="G1640" t="s">
        <v>18</v>
      </c>
      <c r="H1640">
        <v>275.89999999999998</v>
      </c>
      <c r="I1640">
        <v>255</v>
      </c>
      <c r="J1640">
        <v>94.9</v>
      </c>
      <c r="K1640">
        <v>64</v>
      </c>
      <c r="L1640">
        <v>26.8</v>
      </c>
      <c r="M1640">
        <v>17</v>
      </c>
      <c r="N1640">
        <v>0.16067290829095501</v>
      </c>
      <c r="O1640">
        <v>0.143186760552237</v>
      </c>
    </row>
    <row r="1641" spans="1:15" x14ac:dyDescent="0.3">
      <c r="A1641">
        <v>6791</v>
      </c>
      <c r="B1641">
        <v>3467</v>
      </c>
      <c r="C1641">
        <v>460</v>
      </c>
      <c r="D1641" t="s">
        <v>15</v>
      </c>
      <c r="E1641" t="s">
        <v>20</v>
      </c>
      <c r="F1641" t="s">
        <v>17</v>
      </c>
      <c r="G1641" t="s">
        <v>22</v>
      </c>
      <c r="H1641">
        <v>271</v>
      </c>
      <c r="I1641">
        <v>243.5</v>
      </c>
      <c r="J1641">
        <v>95.3</v>
      </c>
      <c r="K1641">
        <v>64</v>
      </c>
      <c r="L1641">
        <v>23.6</v>
      </c>
      <c r="M1641">
        <v>8.5</v>
      </c>
      <c r="N1641">
        <v>0.25120863534080701</v>
      </c>
      <c r="O1641">
        <v>1.02613011036058E-2</v>
      </c>
    </row>
    <row r="1642" spans="1:15" x14ac:dyDescent="0.3">
      <c r="A1642">
        <v>6792</v>
      </c>
      <c r="B1642">
        <v>3467</v>
      </c>
      <c r="C1642">
        <v>460</v>
      </c>
      <c r="D1642" t="s">
        <v>15</v>
      </c>
      <c r="E1642" t="s">
        <v>20</v>
      </c>
      <c r="F1642" t="s">
        <v>17</v>
      </c>
      <c r="G1642" t="s">
        <v>22</v>
      </c>
      <c r="H1642">
        <v>271</v>
      </c>
      <c r="I1642">
        <v>243.5</v>
      </c>
      <c r="J1642">
        <v>95.3</v>
      </c>
      <c r="K1642">
        <v>64</v>
      </c>
      <c r="L1642">
        <v>23.6</v>
      </c>
      <c r="M1642">
        <v>8.5</v>
      </c>
      <c r="N1642">
        <v>0.248145247633664</v>
      </c>
      <c r="O1642">
        <v>1.02420322016118E-2</v>
      </c>
    </row>
    <row r="1643" spans="1:15" x14ac:dyDescent="0.3">
      <c r="A1643">
        <v>6808</v>
      </c>
      <c r="B1643">
        <v>3472</v>
      </c>
      <c r="C1643">
        <v>102</v>
      </c>
      <c r="D1643" t="s">
        <v>19</v>
      </c>
      <c r="E1643" t="s">
        <v>20</v>
      </c>
      <c r="F1643" t="s">
        <v>17</v>
      </c>
      <c r="G1643" t="s">
        <v>22</v>
      </c>
      <c r="H1643">
        <v>273.60000000000002</v>
      </c>
      <c r="I1643">
        <v>246</v>
      </c>
      <c r="J1643">
        <v>93.6</v>
      </c>
      <c r="K1643">
        <v>64.5</v>
      </c>
      <c r="L1643">
        <v>25.6</v>
      </c>
      <c r="M1643">
        <v>1.5</v>
      </c>
      <c r="N1643">
        <v>0.16577928896258401</v>
      </c>
      <c r="O1643">
        <v>0.19823131643759001</v>
      </c>
    </row>
    <row r="1644" spans="1:15" x14ac:dyDescent="0.3">
      <c r="A1644">
        <v>6809</v>
      </c>
      <c r="B1644">
        <v>3472</v>
      </c>
      <c r="C1644">
        <v>102</v>
      </c>
      <c r="D1644" t="s">
        <v>19</v>
      </c>
      <c r="E1644" t="s">
        <v>20</v>
      </c>
      <c r="F1644" t="s">
        <v>17</v>
      </c>
      <c r="G1644" t="s">
        <v>22</v>
      </c>
      <c r="H1644">
        <v>273.60000000000002</v>
      </c>
      <c r="I1644">
        <v>246</v>
      </c>
      <c r="J1644">
        <v>93.6</v>
      </c>
      <c r="K1644">
        <v>64.5</v>
      </c>
      <c r="L1644">
        <v>25.6</v>
      </c>
      <c r="M1644">
        <v>1.5</v>
      </c>
      <c r="N1644">
        <v>0.17701745656510401</v>
      </c>
      <c r="O1644">
        <v>0.19843172888382099</v>
      </c>
    </row>
    <row r="1645" spans="1:15" x14ac:dyDescent="0.3">
      <c r="A1645">
        <v>6810</v>
      </c>
      <c r="B1645">
        <v>3473</v>
      </c>
      <c r="C1645">
        <v>12</v>
      </c>
      <c r="D1645" t="s">
        <v>19</v>
      </c>
      <c r="E1645" t="s">
        <v>16</v>
      </c>
      <c r="F1645" t="s">
        <v>21</v>
      </c>
      <c r="G1645" t="s">
        <v>22</v>
      </c>
      <c r="H1645">
        <v>280.39999999999998</v>
      </c>
      <c r="I1645">
        <v>260</v>
      </c>
      <c r="J1645">
        <v>102.4</v>
      </c>
      <c r="K1645">
        <v>69.5</v>
      </c>
      <c r="L1645">
        <v>28.2</v>
      </c>
      <c r="M1645">
        <v>9</v>
      </c>
      <c r="N1645">
        <v>0.16518120718909701</v>
      </c>
      <c r="O1645">
        <v>0.112428496637517</v>
      </c>
    </row>
    <row r="1646" spans="1:15" x14ac:dyDescent="0.3">
      <c r="A1646">
        <v>6811</v>
      </c>
      <c r="B1646">
        <v>3473</v>
      </c>
      <c r="C1646">
        <v>12</v>
      </c>
      <c r="D1646" t="s">
        <v>19</v>
      </c>
      <c r="E1646" t="s">
        <v>16</v>
      </c>
      <c r="F1646" t="s">
        <v>21</v>
      </c>
      <c r="G1646" t="s">
        <v>22</v>
      </c>
      <c r="H1646">
        <v>280.39999999999998</v>
      </c>
      <c r="I1646">
        <v>260</v>
      </c>
      <c r="J1646">
        <v>102.4</v>
      </c>
      <c r="K1646">
        <v>69.5</v>
      </c>
      <c r="L1646">
        <v>28.2</v>
      </c>
      <c r="M1646">
        <v>9</v>
      </c>
      <c r="N1646">
        <v>0.16977263527078201</v>
      </c>
      <c r="O1646">
        <v>0.12917344816428</v>
      </c>
    </row>
    <row r="1647" spans="1:15" x14ac:dyDescent="0.3">
      <c r="A1647">
        <v>6820</v>
      </c>
      <c r="B1647">
        <v>3479</v>
      </c>
      <c r="C1647">
        <v>267</v>
      </c>
      <c r="D1647" t="s">
        <v>23</v>
      </c>
      <c r="E1647" t="s">
        <v>20</v>
      </c>
      <c r="F1647" t="s">
        <v>21</v>
      </c>
      <c r="G1647" t="s">
        <v>24</v>
      </c>
      <c r="H1647">
        <v>275.39999999999998</v>
      </c>
      <c r="I1647">
        <v>244.5</v>
      </c>
      <c r="J1647">
        <v>95.4</v>
      </c>
      <c r="K1647">
        <v>67</v>
      </c>
      <c r="L1647">
        <v>22.2</v>
      </c>
      <c r="M1647">
        <v>9.5</v>
      </c>
      <c r="N1647">
        <v>0.27504355435560202</v>
      </c>
      <c r="O1647">
        <v>0.22340733875177399</v>
      </c>
    </row>
    <row r="1648" spans="1:15" x14ac:dyDescent="0.3">
      <c r="A1648">
        <v>6821</v>
      </c>
      <c r="B1648">
        <v>3479</v>
      </c>
      <c r="C1648">
        <v>267</v>
      </c>
      <c r="D1648" t="s">
        <v>23</v>
      </c>
      <c r="E1648" t="s">
        <v>20</v>
      </c>
      <c r="F1648" t="s">
        <v>21</v>
      </c>
      <c r="G1648" t="s">
        <v>24</v>
      </c>
      <c r="H1648">
        <v>275.39999999999998</v>
      </c>
      <c r="I1648">
        <v>244.5</v>
      </c>
      <c r="J1648">
        <v>95.4</v>
      </c>
      <c r="K1648">
        <v>67</v>
      </c>
      <c r="L1648">
        <v>22.2</v>
      </c>
      <c r="M1648">
        <v>9.5</v>
      </c>
      <c r="N1648">
        <v>0.249391416437442</v>
      </c>
      <c r="O1648">
        <v>0.23570096676792601</v>
      </c>
    </row>
    <row r="1649" spans="1:15" x14ac:dyDescent="0.3">
      <c r="A1649">
        <v>6822</v>
      </c>
      <c r="B1649">
        <v>3479</v>
      </c>
      <c r="C1649">
        <v>267</v>
      </c>
      <c r="D1649" t="s">
        <v>23</v>
      </c>
      <c r="E1649" t="s">
        <v>20</v>
      </c>
      <c r="F1649" t="s">
        <v>21</v>
      </c>
      <c r="G1649" t="s">
        <v>24</v>
      </c>
      <c r="H1649">
        <v>275.39999999999998</v>
      </c>
      <c r="I1649">
        <v>244.5</v>
      </c>
      <c r="J1649">
        <v>95.4</v>
      </c>
      <c r="K1649">
        <v>67</v>
      </c>
      <c r="L1649">
        <v>22.2</v>
      </c>
      <c r="M1649">
        <v>9.5</v>
      </c>
      <c r="N1649">
        <v>0.26228559713430399</v>
      </c>
      <c r="O1649">
        <v>0.217353163525424</v>
      </c>
    </row>
    <row r="1650" spans="1:15" x14ac:dyDescent="0.3">
      <c r="A1650">
        <v>6824</v>
      </c>
      <c r="B1650">
        <v>3479</v>
      </c>
      <c r="C1650">
        <v>267</v>
      </c>
      <c r="D1650" t="s">
        <v>23</v>
      </c>
      <c r="E1650" t="s">
        <v>20</v>
      </c>
      <c r="F1650" t="s">
        <v>21</v>
      </c>
      <c r="G1650" t="s">
        <v>24</v>
      </c>
      <c r="H1650">
        <v>275.39999999999998</v>
      </c>
      <c r="I1650">
        <v>244.5</v>
      </c>
      <c r="J1650">
        <v>95.4</v>
      </c>
      <c r="K1650">
        <v>67</v>
      </c>
      <c r="L1650">
        <v>22.2</v>
      </c>
      <c r="M1650">
        <v>9.5</v>
      </c>
      <c r="N1650">
        <v>0.23686160220560101</v>
      </c>
      <c r="O1650">
        <v>0.21621577392500499</v>
      </c>
    </row>
    <row r="1651" spans="1:15" x14ac:dyDescent="0.3">
      <c r="A1651">
        <v>6840</v>
      </c>
      <c r="B1651">
        <v>3486</v>
      </c>
      <c r="C1651">
        <v>71</v>
      </c>
      <c r="D1651" t="s">
        <v>23</v>
      </c>
      <c r="E1651" t="s">
        <v>20</v>
      </c>
      <c r="F1651" t="s">
        <v>17</v>
      </c>
      <c r="G1651" t="s">
        <v>22</v>
      </c>
      <c r="H1651">
        <v>281</v>
      </c>
      <c r="I1651">
        <v>265.5</v>
      </c>
      <c r="J1651">
        <v>100.2</v>
      </c>
      <c r="K1651">
        <v>66.5</v>
      </c>
      <c r="L1651">
        <v>25.2</v>
      </c>
      <c r="M1651">
        <v>8</v>
      </c>
      <c r="N1651">
        <v>0.17453960209172301</v>
      </c>
      <c r="O1651">
        <v>0.162877194530475</v>
      </c>
    </row>
    <row r="1652" spans="1:15" x14ac:dyDescent="0.3">
      <c r="A1652">
        <v>6847</v>
      </c>
      <c r="B1652">
        <v>3489</v>
      </c>
      <c r="C1652">
        <v>341</v>
      </c>
      <c r="D1652" t="s">
        <v>19</v>
      </c>
      <c r="E1652" t="s">
        <v>20</v>
      </c>
      <c r="F1652" t="s">
        <v>17</v>
      </c>
      <c r="G1652" t="s">
        <v>18</v>
      </c>
      <c r="H1652">
        <v>273</v>
      </c>
      <c r="I1652">
        <v>246.5</v>
      </c>
      <c r="J1652">
        <v>95.4</v>
      </c>
      <c r="K1652">
        <v>66.5</v>
      </c>
      <c r="L1652">
        <v>26.4</v>
      </c>
      <c r="M1652">
        <v>11</v>
      </c>
      <c r="N1652">
        <v>0.28876144448533497</v>
      </c>
      <c r="O1652">
        <v>6.8725436631956002E-2</v>
      </c>
    </row>
    <row r="1653" spans="1:15" x14ac:dyDescent="0.3">
      <c r="A1653">
        <v>6848</v>
      </c>
      <c r="B1653">
        <v>349</v>
      </c>
      <c r="C1653">
        <v>387</v>
      </c>
      <c r="D1653" t="s">
        <v>19</v>
      </c>
      <c r="E1653" t="s">
        <v>16</v>
      </c>
      <c r="F1653" t="s">
        <v>17</v>
      </c>
      <c r="G1653" t="s">
        <v>18</v>
      </c>
      <c r="H1653">
        <v>275.2</v>
      </c>
      <c r="I1653">
        <v>249.5</v>
      </c>
      <c r="J1653">
        <v>96.8</v>
      </c>
      <c r="K1653">
        <v>66</v>
      </c>
      <c r="L1653">
        <v>25.3</v>
      </c>
      <c r="M1653">
        <v>8.5</v>
      </c>
      <c r="N1653">
        <v>7.7261810637713105E-2</v>
      </c>
      <c r="O1653">
        <v>6.2560974166960798E-2</v>
      </c>
    </row>
    <row r="1654" spans="1:15" x14ac:dyDescent="0.3">
      <c r="A1654">
        <v>6859</v>
      </c>
      <c r="B1654">
        <v>3494</v>
      </c>
      <c r="C1654">
        <v>118</v>
      </c>
      <c r="D1654" t="s">
        <v>19</v>
      </c>
      <c r="E1654" t="s">
        <v>20</v>
      </c>
      <c r="F1654" t="s">
        <v>21</v>
      </c>
      <c r="G1654" t="s">
        <v>25</v>
      </c>
      <c r="H1654">
        <v>276.39999999999998</v>
      </c>
      <c r="I1654">
        <v>245.5</v>
      </c>
      <c r="J1654">
        <v>96.4</v>
      </c>
      <c r="K1654">
        <v>67.5</v>
      </c>
      <c r="L1654">
        <v>24.9</v>
      </c>
      <c r="M1654">
        <v>4</v>
      </c>
      <c r="N1654">
        <v>0.14429965544628501</v>
      </c>
      <c r="O1654">
        <v>0.22804773045781601</v>
      </c>
    </row>
    <row r="1655" spans="1:15" x14ac:dyDescent="0.3">
      <c r="A1655">
        <v>6866</v>
      </c>
      <c r="B1655">
        <v>3499</v>
      </c>
      <c r="C1655">
        <v>68</v>
      </c>
      <c r="D1655" t="s">
        <v>19</v>
      </c>
      <c r="E1655" t="s">
        <v>20</v>
      </c>
      <c r="F1655" t="s">
        <v>17</v>
      </c>
      <c r="G1655" t="s">
        <v>24</v>
      </c>
      <c r="H1655">
        <v>275.60000000000002</v>
      </c>
      <c r="I1655">
        <v>254.5</v>
      </c>
      <c r="J1655">
        <v>95.5</v>
      </c>
      <c r="K1655">
        <v>65.5</v>
      </c>
      <c r="L1655">
        <v>29.1</v>
      </c>
      <c r="M1655">
        <v>10</v>
      </c>
      <c r="N1655">
        <v>0.20479031626817201</v>
      </c>
      <c r="O1655">
        <v>0.181389116604843</v>
      </c>
    </row>
    <row r="1656" spans="1:15" x14ac:dyDescent="0.3">
      <c r="A1656">
        <v>6867</v>
      </c>
      <c r="B1656">
        <v>3499</v>
      </c>
      <c r="C1656">
        <v>68</v>
      </c>
      <c r="D1656" t="s">
        <v>19</v>
      </c>
      <c r="E1656" t="s">
        <v>20</v>
      </c>
      <c r="F1656" t="s">
        <v>17</v>
      </c>
      <c r="G1656" t="s">
        <v>24</v>
      </c>
      <c r="H1656">
        <v>275.60000000000002</v>
      </c>
      <c r="I1656">
        <v>254.5</v>
      </c>
      <c r="J1656">
        <v>95.5</v>
      </c>
      <c r="K1656">
        <v>65.5</v>
      </c>
      <c r="L1656">
        <v>29.1</v>
      </c>
      <c r="M1656">
        <v>10</v>
      </c>
      <c r="N1656">
        <v>0.205053405675172</v>
      </c>
      <c r="O1656">
        <v>0.18905923765194499</v>
      </c>
    </row>
    <row r="1657" spans="1:15" x14ac:dyDescent="0.3">
      <c r="A1657">
        <v>6891</v>
      </c>
      <c r="B1657">
        <v>3510</v>
      </c>
      <c r="C1657">
        <v>340</v>
      </c>
      <c r="D1657" t="s">
        <v>23</v>
      </c>
      <c r="E1657" t="s">
        <v>20</v>
      </c>
      <c r="F1657" t="s">
        <v>17</v>
      </c>
      <c r="G1657" t="s">
        <v>25</v>
      </c>
      <c r="H1657">
        <v>274.60000000000002</v>
      </c>
      <c r="I1657">
        <v>261.5</v>
      </c>
      <c r="J1657">
        <v>96.7</v>
      </c>
      <c r="K1657">
        <v>62</v>
      </c>
      <c r="L1657">
        <v>28.9</v>
      </c>
      <c r="M1657">
        <v>10.5</v>
      </c>
      <c r="N1657">
        <v>5.45836774610702E-2</v>
      </c>
      <c r="O1657">
        <v>0.39438790219210101</v>
      </c>
    </row>
    <row r="1658" spans="1:15" x14ac:dyDescent="0.3">
      <c r="A1658">
        <v>6892</v>
      </c>
      <c r="B1658">
        <v>3510</v>
      </c>
      <c r="C1658">
        <v>340</v>
      </c>
      <c r="D1658" t="s">
        <v>23</v>
      </c>
      <c r="E1658" t="s">
        <v>20</v>
      </c>
      <c r="F1658" t="s">
        <v>17</v>
      </c>
      <c r="G1658" t="s">
        <v>25</v>
      </c>
      <c r="H1658">
        <v>274.60000000000002</v>
      </c>
      <c r="I1658">
        <v>261.5</v>
      </c>
      <c r="J1658">
        <v>96.7</v>
      </c>
      <c r="K1658">
        <v>62</v>
      </c>
      <c r="L1658">
        <v>28.9</v>
      </c>
      <c r="M1658">
        <v>10.5</v>
      </c>
      <c r="N1658">
        <v>4.9316973645179701E-2</v>
      </c>
      <c r="O1658">
        <v>0.37152273724395402</v>
      </c>
    </row>
    <row r="1659" spans="1:15" x14ac:dyDescent="0.3">
      <c r="A1659">
        <v>6893</v>
      </c>
      <c r="B1659">
        <v>3510</v>
      </c>
      <c r="C1659">
        <v>340</v>
      </c>
      <c r="D1659" t="s">
        <v>23</v>
      </c>
      <c r="E1659" t="s">
        <v>20</v>
      </c>
      <c r="F1659" t="s">
        <v>17</v>
      </c>
      <c r="G1659" t="s">
        <v>25</v>
      </c>
      <c r="H1659">
        <v>274.60000000000002</v>
      </c>
      <c r="I1659">
        <v>261.5</v>
      </c>
      <c r="J1659">
        <v>96.7</v>
      </c>
      <c r="K1659">
        <v>62</v>
      </c>
      <c r="L1659">
        <v>28.9</v>
      </c>
      <c r="M1659">
        <v>10.5</v>
      </c>
      <c r="N1659">
        <v>4.16818142051655E-2</v>
      </c>
      <c r="O1659">
        <v>0.37144173033880601</v>
      </c>
    </row>
    <row r="1660" spans="1:15" x14ac:dyDescent="0.3">
      <c r="A1660">
        <v>6894</v>
      </c>
      <c r="B1660">
        <v>3510</v>
      </c>
      <c r="C1660">
        <v>340</v>
      </c>
      <c r="D1660" t="s">
        <v>23</v>
      </c>
      <c r="E1660" t="s">
        <v>20</v>
      </c>
      <c r="F1660" t="s">
        <v>17</v>
      </c>
      <c r="G1660" t="s">
        <v>25</v>
      </c>
      <c r="H1660">
        <v>274.60000000000002</v>
      </c>
      <c r="I1660">
        <v>261.5</v>
      </c>
      <c r="J1660">
        <v>96.7</v>
      </c>
      <c r="K1660">
        <v>62</v>
      </c>
      <c r="L1660">
        <v>28.9</v>
      </c>
      <c r="M1660">
        <v>10.5</v>
      </c>
      <c r="N1660">
        <v>5.3705508934592201E-2</v>
      </c>
      <c r="O1660">
        <v>0.38272630012342701</v>
      </c>
    </row>
    <row r="1661" spans="1:15" x14ac:dyDescent="0.3">
      <c r="A1661">
        <v>6895</v>
      </c>
      <c r="B1661">
        <v>3510</v>
      </c>
      <c r="C1661">
        <v>340</v>
      </c>
      <c r="D1661" t="s">
        <v>23</v>
      </c>
      <c r="E1661" t="s">
        <v>20</v>
      </c>
      <c r="F1661" t="s">
        <v>17</v>
      </c>
      <c r="G1661" t="s">
        <v>25</v>
      </c>
      <c r="H1661">
        <v>274.60000000000002</v>
      </c>
      <c r="I1661">
        <v>261.5</v>
      </c>
      <c r="J1661">
        <v>96.7</v>
      </c>
      <c r="K1661">
        <v>62</v>
      </c>
      <c r="L1661">
        <v>28.9</v>
      </c>
      <c r="M1661">
        <v>10.5</v>
      </c>
      <c r="N1661">
        <v>5.74982495256278E-2</v>
      </c>
      <c r="O1661">
        <v>0.38860587542699898</v>
      </c>
    </row>
    <row r="1662" spans="1:15" x14ac:dyDescent="0.3">
      <c r="A1662">
        <v>6896</v>
      </c>
      <c r="B1662">
        <v>3510</v>
      </c>
      <c r="C1662">
        <v>340</v>
      </c>
      <c r="D1662" t="s">
        <v>23</v>
      </c>
      <c r="E1662" t="s">
        <v>20</v>
      </c>
      <c r="F1662" t="s">
        <v>17</v>
      </c>
      <c r="G1662" t="s">
        <v>25</v>
      </c>
      <c r="H1662">
        <v>274.60000000000002</v>
      </c>
      <c r="I1662">
        <v>261.5</v>
      </c>
      <c r="J1662">
        <v>96.7</v>
      </c>
      <c r="K1662">
        <v>62</v>
      </c>
      <c r="L1662">
        <v>28.9</v>
      </c>
      <c r="M1662">
        <v>10.5</v>
      </c>
      <c r="N1662">
        <v>5.4354850839775801E-2</v>
      </c>
      <c r="O1662">
        <v>0.39219531958388898</v>
      </c>
    </row>
    <row r="1663" spans="1:15" x14ac:dyDescent="0.3">
      <c r="A1663">
        <v>6897</v>
      </c>
      <c r="B1663">
        <v>3511</v>
      </c>
      <c r="C1663">
        <v>99</v>
      </c>
      <c r="D1663" t="s">
        <v>19</v>
      </c>
      <c r="E1663" t="s">
        <v>20</v>
      </c>
      <c r="F1663" t="s">
        <v>17</v>
      </c>
      <c r="G1663" t="s">
        <v>22</v>
      </c>
      <c r="H1663">
        <v>277</v>
      </c>
      <c r="I1663">
        <v>257</v>
      </c>
      <c r="J1663">
        <v>99.7</v>
      </c>
      <c r="K1663">
        <v>69</v>
      </c>
      <c r="L1663">
        <v>26.4</v>
      </c>
      <c r="M1663">
        <v>7.5</v>
      </c>
      <c r="N1663">
        <v>0.112559967657171</v>
      </c>
      <c r="O1663">
        <v>2.6740509061988701E-2</v>
      </c>
    </row>
    <row r="1664" spans="1:15" x14ac:dyDescent="0.3">
      <c r="A1664">
        <v>6905</v>
      </c>
      <c r="B1664">
        <v>3513</v>
      </c>
      <c r="C1664">
        <v>18</v>
      </c>
      <c r="D1664" t="s">
        <v>19</v>
      </c>
      <c r="E1664" t="s">
        <v>20</v>
      </c>
      <c r="F1664" t="s">
        <v>17</v>
      </c>
      <c r="G1664" t="s">
        <v>22</v>
      </c>
      <c r="H1664">
        <v>271.39999999999998</v>
      </c>
      <c r="I1664">
        <v>244</v>
      </c>
      <c r="J1664">
        <v>97.3</v>
      </c>
      <c r="K1664">
        <v>64</v>
      </c>
      <c r="L1664">
        <v>23.3</v>
      </c>
      <c r="M1664">
        <v>6.5</v>
      </c>
      <c r="N1664">
        <v>0.237277882209011</v>
      </c>
      <c r="O1664">
        <v>2.8817053002333998E-3</v>
      </c>
    </row>
    <row r="1665" spans="1:15" x14ac:dyDescent="0.3">
      <c r="A1665">
        <v>6911</v>
      </c>
      <c r="B1665">
        <v>3515</v>
      </c>
      <c r="C1665">
        <v>322</v>
      </c>
      <c r="D1665" t="s">
        <v>23</v>
      </c>
      <c r="E1665" t="s">
        <v>20</v>
      </c>
      <c r="F1665" t="s">
        <v>17</v>
      </c>
      <c r="G1665" t="s">
        <v>22</v>
      </c>
      <c r="H1665">
        <v>276.7</v>
      </c>
      <c r="I1665">
        <v>250</v>
      </c>
      <c r="J1665">
        <v>99.1</v>
      </c>
      <c r="K1665">
        <v>67.5</v>
      </c>
      <c r="L1665">
        <v>26</v>
      </c>
      <c r="M1665">
        <v>5.5</v>
      </c>
      <c r="N1665">
        <v>0.15979643249516701</v>
      </c>
      <c r="O1665">
        <v>0.32275595830512099</v>
      </c>
    </row>
    <row r="1666" spans="1:15" x14ac:dyDescent="0.3">
      <c r="A1666">
        <v>6912</v>
      </c>
      <c r="B1666">
        <v>3515</v>
      </c>
      <c r="C1666">
        <v>322</v>
      </c>
      <c r="D1666" t="s">
        <v>23</v>
      </c>
      <c r="E1666" t="s">
        <v>20</v>
      </c>
      <c r="F1666" t="s">
        <v>17</v>
      </c>
      <c r="G1666" t="s">
        <v>22</v>
      </c>
      <c r="H1666">
        <v>276.7</v>
      </c>
      <c r="I1666">
        <v>250</v>
      </c>
      <c r="J1666">
        <v>99.1</v>
      </c>
      <c r="K1666">
        <v>67.5</v>
      </c>
      <c r="L1666">
        <v>26</v>
      </c>
      <c r="M1666">
        <v>5.5</v>
      </c>
      <c r="N1666">
        <v>0.160182072156698</v>
      </c>
      <c r="O1666">
        <v>0.31920555262626299</v>
      </c>
    </row>
    <row r="1667" spans="1:15" x14ac:dyDescent="0.3">
      <c r="A1667">
        <v>6913</v>
      </c>
      <c r="B1667">
        <v>3515</v>
      </c>
      <c r="C1667">
        <v>322</v>
      </c>
      <c r="D1667" t="s">
        <v>23</v>
      </c>
      <c r="E1667" t="s">
        <v>20</v>
      </c>
      <c r="F1667" t="s">
        <v>17</v>
      </c>
      <c r="G1667" t="s">
        <v>22</v>
      </c>
      <c r="H1667">
        <v>276.7</v>
      </c>
      <c r="I1667">
        <v>250</v>
      </c>
      <c r="J1667">
        <v>99.1</v>
      </c>
      <c r="K1667">
        <v>67.5</v>
      </c>
      <c r="L1667">
        <v>26</v>
      </c>
      <c r="M1667">
        <v>5.5</v>
      </c>
      <c r="N1667">
        <v>0.16843031777873901</v>
      </c>
      <c r="O1667">
        <v>0.35422370857894497</v>
      </c>
    </row>
    <row r="1668" spans="1:15" x14ac:dyDescent="0.3">
      <c r="A1668">
        <v>6976</v>
      </c>
      <c r="B1668">
        <v>3539</v>
      </c>
      <c r="C1668">
        <v>184</v>
      </c>
      <c r="D1668" t="s">
        <v>23</v>
      </c>
      <c r="E1668" t="s">
        <v>16</v>
      </c>
      <c r="F1668" t="s">
        <v>17</v>
      </c>
      <c r="G1668" t="s">
        <v>18</v>
      </c>
      <c r="H1668">
        <v>277</v>
      </c>
      <c r="I1668">
        <v>265</v>
      </c>
      <c r="J1668">
        <v>101.5</v>
      </c>
      <c r="K1668">
        <v>70</v>
      </c>
      <c r="L1668">
        <v>30.4</v>
      </c>
      <c r="M1668">
        <v>9</v>
      </c>
      <c r="N1668">
        <v>3.4375593247616701E-2</v>
      </c>
      <c r="O1668">
        <v>0.26757209701052898</v>
      </c>
    </row>
    <row r="1669" spans="1:15" x14ac:dyDescent="0.3">
      <c r="A1669">
        <v>6977</v>
      </c>
      <c r="B1669">
        <v>3539</v>
      </c>
      <c r="C1669">
        <v>184</v>
      </c>
      <c r="D1669" t="s">
        <v>23</v>
      </c>
      <c r="E1669" t="s">
        <v>16</v>
      </c>
      <c r="F1669" t="s">
        <v>17</v>
      </c>
      <c r="G1669" t="s">
        <v>18</v>
      </c>
      <c r="H1669">
        <v>277</v>
      </c>
      <c r="I1669">
        <v>265</v>
      </c>
      <c r="J1669">
        <v>101.5</v>
      </c>
      <c r="K1669">
        <v>70</v>
      </c>
      <c r="L1669">
        <v>30.4</v>
      </c>
      <c r="M1669">
        <v>9</v>
      </c>
      <c r="N1669">
        <v>4.8375438642461903E-2</v>
      </c>
      <c r="O1669">
        <v>0.28305465293019799</v>
      </c>
    </row>
    <row r="1670" spans="1:15" x14ac:dyDescent="0.3">
      <c r="A1670">
        <v>6979</v>
      </c>
      <c r="B1670">
        <v>3540</v>
      </c>
      <c r="C1670">
        <v>368</v>
      </c>
      <c r="D1670" t="s">
        <v>19</v>
      </c>
      <c r="E1670" t="s">
        <v>16</v>
      </c>
      <c r="F1670" t="s">
        <v>21</v>
      </c>
      <c r="G1670" t="s">
        <v>24</v>
      </c>
      <c r="H1670">
        <v>273.3</v>
      </c>
      <c r="I1670">
        <v>249</v>
      </c>
      <c r="J1670">
        <v>98.9</v>
      </c>
      <c r="K1670">
        <v>68.5</v>
      </c>
      <c r="L1670">
        <v>23.8</v>
      </c>
      <c r="M1670">
        <v>9</v>
      </c>
      <c r="N1670">
        <v>0.13968314750781699</v>
      </c>
      <c r="O1670">
        <v>4.9790888650006797E-2</v>
      </c>
    </row>
    <row r="1671" spans="1:15" x14ac:dyDescent="0.3">
      <c r="A1671">
        <v>6980</v>
      </c>
      <c r="B1671">
        <v>3540</v>
      </c>
      <c r="C1671">
        <v>368</v>
      </c>
      <c r="D1671" t="s">
        <v>19</v>
      </c>
      <c r="E1671" t="s">
        <v>16</v>
      </c>
      <c r="F1671" t="s">
        <v>21</v>
      </c>
      <c r="G1671" t="s">
        <v>24</v>
      </c>
      <c r="H1671">
        <v>273.3</v>
      </c>
      <c r="I1671">
        <v>249</v>
      </c>
      <c r="J1671">
        <v>98.9</v>
      </c>
      <c r="K1671">
        <v>68.5</v>
      </c>
      <c r="L1671">
        <v>23.8</v>
      </c>
      <c r="M1671">
        <v>9</v>
      </c>
      <c r="N1671">
        <v>0.13428717169346399</v>
      </c>
      <c r="O1671">
        <v>2.8141393810505799E-2</v>
      </c>
    </row>
    <row r="1672" spans="1:15" x14ac:dyDescent="0.3">
      <c r="A1672">
        <v>6981</v>
      </c>
      <c r="B1672">
        <v>3540</v>
      </c>
      <c r="C1672">
        <v>368</v>
      </c>
      <c r="D1672" t="s">
        <v>19</v>
      </c>
      <c r="E1672" t="s">
        <v>16</v>
      </c>
      <c r="F1672" t="s">
        <v>21</v>
      </c>
      <c r="G1672" t="s">
        <v>24</v>
      </c>
      <c r="H1672">
        <v>273.3</v>
      </c>
      <c r="I1672">
        <v>249</v>
      </c>
      <c r="J1672">
        <v>98.9</v>
      </c>
      <c r="K1672">
        <v>68.5</v>
      </c>
      <c r="L1672">
        <v>23.8</v>
      </c>
      <c r="M1672">
        <v>9</v>
      </c>
      <c r="N1672">
        <v>0.123863952491298</v>
      </c>
      <c r="O1672">
        <v>3.9958202285484502E-2</v>
      </c>
    </row>
    <row r="1673" spans="1:15" x14ac:dyDescent="0.3">
      <c r="A1673">
        <v>6991</v>
      </c>
      <c r="B1673">
        <v>3544</v>
      </c>
      <c r="C1673">
        <v>32</v>
      </c>
      <c r="D1673" t="s">
        <v>19</v>
      </c>
      <c r="E1673" t="s">
        <v>20</v>
      </c>
      <c r="F1673" t="s">
        <v>21</v>
      </c>
      <c r="G1673" t="s">
        <v>24</v>
      </c>
      <c r="H1673">
        <v>274.8</v>
      </c>
      <c r="I1673">
        <v>261</v>
      </c>
      <c r="J1673">
        <v>101</v>
      </c>
      <c r="K1673">
        <v>66</v>
      </c>
      <c r="L1673">
        <v>24.4</v>
      </c>
      <c r="M1673">
        <v>8.5</v>
      </c>
      <c r="N1673">
        <v>0.132462326992457</v>
      </c>
      <c r="O1673">
        <v>0.14377813838831099</v>
      </c>
    </row>
    <row r="1674" spans="1:15" x14ac:dyDescent="0.3">
      <c r="A1674">
        <v>6997</v>
      </c>
      <c r="B1674">
        <v>3547</v>
      </c>
      <c r="C1674">
        <v>350</v>
      </c>
      <c r="D1674" t="s">
        <v>23</v>
      </c>
      <c r="E1674" t="s">
        <v>16</v>
      </c>
      <c r="F1674" t="s">
        <v>21</v>
      </c>
      <c r="G1674" t="s">
        <v>18</v>
      </c>
      <c r="H1674">
        <v>271.60000000000002</v>
      </c>
      <c r="I1674">
        <v>240.5</v>
      </c>
      <c r="J1674">
        <v>93.3</v>
      </c>
      <c r="K1674">
        <v>65</v>
      </c>
      <c r="L1674">
        <v>23.4</v>
      </c>
      <c r="M1674">
        <v>7.5</v>
      </c>
      <c r="N1674">
        <v>0.24987519694132099</v>
      </c>
      <c r="O1674">
        <v>0.41053757772743799</v>
      </c>
    </row>
    <row r="1675" spans="1:15" x14ac:dyDescent="0.3">
      <c r="A1675">
        <v>6998</v>
      </c>
      <c r="B1675">
        <v>3548</v>
      </c>
      <c r="C1675">
        <v>203</v>
      </c>
      <c r="D1675" t="s">
        <v>19</v>
      </c>
      <c r="E1675" t="s">
        <v>20</v>
      </c>
      <c r="F1675" t="s">
        <v>21</v>
      </c>
      <c r="G1675" t="s">
        <v>26</v>
      </c>
      <c r="H1675">
        <v>277.60000000000002</v>
      </c>
      <c r="I1675">
        <v>247.5</v>
      </c>
      <c r="J1675">
        <v>94</v>
      </c>
      <c r="K1675">
        <v>65</v>
      </c>
      <c r="L1675">
        <v>24.9</v>
      </c>
      <c r="M1675">
        <v>9.5</v>
      </c>
      <c r="N1675">
        <v>0.28915383433189801</v>
      </c>
      <c r="O1675">
        <v>6.1510658053076803E-2</v>
      </c>
    </row>
    <row r="1676" spans="1:15" x14ac:dyDescent="0.3">
      <c r="A1676">
        <v>6999</v>
      </c>
      <c r="B1676">
        <v>3548</v>
      </c>
      <c r="C1676">
        <v>203</v>
      </c>
      <c r="D1676" t="s">
        <v>19</v>
      </c>
      <c r="E1676" t="s">
        <v>20</v>
      </c>
      <c r="F1676" t="s">
        <v>21</v>
      </c>
      <c r="G1676" t="s">
        <v>26</v>
      </c>
      <c r="H1676">
        <v>277.60000000000002</v>
      </c>
      <c r="I1676">
        <v>247.5</v>
      </c>
      <c r="J1676">
        <v>94</v>
      </c>
      <c r="K1676">
        <v>65</v>
      </c>
      <c r="L1676">
        <v>24.9</v>
      </c>
      <c r="M1676">
        <v>9.5</v>
      </c>
      <c r="N1676">
        <v>0.26251591947914299</v>
      </c>
      <c r="O1676">
        <v>7.3590053248494394E-2</v>
      </c>
    </row>
    <row r="1677" spans="1:15" x14ac:dyDescent="0.3">
      <c r="A1677">
        <v>7000</v>
      </c>
      <c r="B1677">
        <v>3548</v>
      </c>
      <c r="C1677">
        <v>203</v>
      </c>
      <c r="D1677" t="s">
        <v>19</v>
      </c>
      <c r="E1677" t="s">
        <v>20</v>
      </c>
      <c r="F1677" t="s">
        <v>21</v>
      </c>
      <c r="G1677" t="s">
        <v>26</v>
      </c>
      <c r="H1677">
        <v>277.60000000000002</v>
      </c>
      <c r="I1677">
        <v>247.5</v>
      </c>
      <c r="J1677">
        <v>94</v>
      </c>
      <c r="K1677">
        <v>65</v>
      </c>
      <c r="L1677">
        <v>24.9</v>
      </c>
      <c r="M1677">
        <v>9.5</v>
      </c>
      <c r="N1677">
        <v>0.25450573868572002</v>
      </c>
      <c r="O1677">
        <v>6.0311004763456001E-2</v>
      </c>
    </row>
    <row r="1678" spans="1:15" x14ac:dyDescent="0.3">
      <c r="A1678">
        <v>7015</v>
      </c>
      <c r="B1678">
        <v>3552</v>
      </c>
      <c r="C1678">
        <v>355</v>
      </c>
      <c r="D1678" t="s">
        <v>23</v>
      </c>
      <c r="E1678" t="s">
        <v>20</v>
      </c>
      <c r="F1678" t="s">
        <v>17</v>
      </c>
      <c r="G1678" t="s">
        <v>18</v>
      </c>
      <c r="H1678">
        <v>277.7</v>
      </c>
      <c r="I1678">
        <v>250</v>
      </c>
      <c r="J1678">
        <v>99.3</v>
      </c>
      <c r="K1678">
        <v>65</v>
      </c>
      <c r="L1678">
        <v>25.4</v>
      </c>
      <c r="M1678">
        <v>11.5</v>
      </c>
      <c r="N1678">
        <v>0.145735145308689</v>
      </c>
      <c r="O1678">
        <v>0.316829842483631</v>
      </c>
    </row>
    <row r="1679" spans="1:15" x14ac:dyDescent="0.3">
      <c r="A1679">
        <v>7016</v>
      </c>
      <c r="B1679">
        <v>3552</v>
      </c>
      <c r="C1679">
        <v>355</v>
      </c>
      <c r="D1679" t="s">
        <v>23</v>
      </c>
      <c r="E1679" t="s">
        <v>20</v>
      </c>
      <c r="F1679" t="s">
        <v>17</v>
      </c>
      <c r="G1679" t="s">
        <v>18</v>
      </c>
      <c r="H1679">
        <v>277.7</v>
      </c>
      <c r="I1679">
        <v>250</v>
      </c>
      <c r="J1679">
        <v>99.3</v>
      </c>
      <c r="K1679">
        <v>65</v>
      </c>
      <c r="L1679">
        <v>25.4</v>
      </c>
      <c r="M1679">
        <v>11.5</v>
      </c>
      <c r="N1679">
        <v>0.13623096238681401</v>
      </c>
      <c r="O1679">
        <v>0.29202198644387201</v>
      </c>
    </row>
    <row r="1680" spans="1:15" x14ac:dyDescent="0.3">
      <c r="A1680">
        <v>7017</v>
      </c>
      <c r="B1680">
        <v>3552</v>
      </c>
      <c r="C1680">
        <v>355</v>
      </c>
      <c r="D1680" t="s">
        <v>23</v>
      </c>
      <c r="E1680" t="s">
        <v>20</v>
      </c>
      <c r="F1680" t="s">
        <v>17</v>
      </c>
      <c r="G1680" t="s">
        <v>18</v>
      </c>
      <c r="H1680">
        <v>277.7</v>
      </c>
      <c r="I1680">
        <v>250</v>
      </c>
      <c r="J1680">
        <v>99.3</v>
      </c>
      <c r="K1680">
        <v>65</v>
      </c>
      <c r="L1680">
        <v>25.4</v>
      </c>
      <c r="M1680">
        <v>11.5</v>
      </c>
      <c r="N1680">
        <v>0.13012701362172499</v>
      </c>
      <c r="O1680">
        <v>0.32511381753225999</v>
      </c>
    </row>
    <row r="1681" spans="1:15" x14ac:dyDescent="0.3">
      <c r="A1681">
        <v>7018</v>
      </c>
      <c r="B1681">
        <v>3552</v>
      </c>
      <c r="C1681">
        <v>355</v>
      </c>
      <c r="D1681" t="s">
        <v>23</v>
      </c>
      <c r="E1681" t="s">
        <v>20</v>
      </c>
      <c r="F1681" t="s">
        <v>17</v>
      </c>
      <c r="G1681" t="s">
        <v>18</v>
      </c>
      <c r="H1681">
        <v>277.7</v>
      </c>
      <c r="I1681">
        <v>250</v>
      </c>
      <c r="J1681">
        <v>99.3</v>
      </c>
      <c r="K1681">
        <v>65</v>
      </c>
      <c r="L1681">
        <v>25.4</v>
      </c>
      <c r="M1681">
        <v>11.5</v>
      </c>
      <c r="N1681">
        <v>0.13306585864513801</v>
      </c>
      <c r="O1681">
        <v>0.31264762591623502</v>
      </c>
    </row>
    <row r="1682" spans="1:15" x14ac:dyDescent="0.3">
      <c r="A1682">
        <v>7025</v>
      </c>
      <c r="B1682">
        <v>3556</v>
      </c>
      <c r="C1682">
        <v>255</v>
      </c>
      <c r="D1682" t="s">
        <v>19</v>
      </c>
      <c r="E1682" t="s">
        <v>16</v>
      </c>
      <c r="F1682" t="s">
        <v>17</v>
      </c>
      <c r="G1682" t="s">
        <v>26</v>
      </c>
      <c r="H1682">
        <v>278.2</v>
      </c>
      <c r="I1682">
        <v>254.5</v>
      </c>
      <c r="J1682">
        <v>94.5</v>
      </c>
      <c r="K1682">
        <v>67</v>
      </c>
      <c r="L1682">
        <v>27.9</v>
      </c>
      <c r="M1682">
        <v>11.5</v>
      </c>
      <c r="N1682">
        <v>0.26991844390697201</v>
      </c>
      <c r="O1682">
        <v>0.121814199554737</v>
      </c>
    </row>
    <row r="1683" spans="1:15" x14ac:dyDescent="0.3">
      <c r="A1683">
        <v>7026</v>
      </c>
      <c r="B1683">
        <v>3556</v>
      </c>
      <c r="C1683">
        <v>255</v>
      </c>
      <c r="D1683" t="s">
        <v>19</v>
      </c>
      <c r="E1683" t="s">
        <v>16</v>
      </c>
      <c r="F1683" t="s">
        <v>17</v>
      </c>
      <c r="G1683" t="s">
        <v>26</v>
      </c>
      <c r="H1683">
        <v>278.2</v>
      </c>
      <c r="I1683">
        <v>254.5</v>
      </c>
      <c r="J1683">
        <v>94.5</v>
      </c>
      <c r="K1683">
        <v>67</v>
      </c>
      <c r="L1683">
        <v>27.9</v>
      </c>
      <c r="M1683">
        <v>11.5</v>
      </c>
      <c r="N1683">
        <v>0.270607005993794</v>
      </c>
      <c r="O1683">
        <v>0.111988210363288</v>
      </c>
    </row>
    <row r="1684" spans="1:15" x14ac:dyDescent="0.3">
      <c r="A1684">
        <v>7027</v>
      </c>
      <c r="B1684">
        <v>3556</v>
      </c>
      <c r="C1684">
        <v>255</v>
      </c>
      <c r="D1684" t="s">
        <v>19</v>
      </c>
      <c r="E1684" t="s">
        <v>16</v>
      </c>
      <c r="F1684" t="s">
        <v>17</v>
      </c>
      <c r="G1684" t="s">
        <v>26</v>
      </c>
      <c r="H1684">
        <v>278.2</v>
      </c>
      <c r="I1684">
        <v>254.5</v>
      </c>
      <c r="J1684">
        <v>94.5</v>
      </c>
      <c r="K1684">
        <v>67</v>
      </c>
      <c r="L1684">
        <v>27.9</v>
      </c>
      <c r="M1684">
        <v>11.5</v>
      </c>
      <c r="N1684">
        <v>0.26993510516360902</v>
      </c>
      <c r="O1684">
        <v>0.111260950891481</v>
      </c>
    </row>
    <row r="1685" spans="1:15" x14ac:dyDescent="0.3">
      <c r="A1685">
        <v>7028</v>
      </c>
      <c r="B1685">
        <v>3556</v>
      </c>
      <c r="C1685">
        <v>255</v>
      </c>
      <c r="D1685" t="s">
        <v>19</v>
      </c>
      <c r="E1685" t="s">
        <v>16</v>
      </c>
      <c r="F1685" t="s">
        <v>17</v>
      </c>
      <c r="G1685" t="s">
        <v>26</v>
      </c>
      <c r="H1685">
        <v>278.2</v>
      </c>
      <c r="I1685">
        <v>254.5</v>
      </c>
      <c r="J1685">
        <v>94.5</v>
      </c>
      <c r="K1685">
        <v>67</v>
      </c>
      <c r="L1685">
        <v>27.9</v>
      </c>
      <c r="M1685">
        <v>11.5</v>
      </c>
      <c r="N1685">
        <v>0.26411789723595702</v>
      </c>
      <c r="O1685">
        <v>0.116033393452757</v>
      </c>
    </row>
    <row r="1686" spans="1:15" x14ac:dyDescent="0.3">
      <c r="A1686">
        <v>7031</v>
      </c>
      <c r="B1686">
        <v>3557</v>
      </c>
      <c r="C1686">
        <v>80</v>
      </c>
      <c r="D1686" t="s">
        <v>23</v>
      </c>
      <c r="E1686" t="s">
        <v>20</v>
      </c>
      <c r="F1686" t="s">
        <v>21</v>
      </c>
      <c r="G1686" t="s">
        <v>22</v>
      </c>
      <c r="H1686">
        <v>279</v>
      </c>
      <c r="I1686">
        <v>254</v>
      </c>
      <c r="J1686">
        <v>97.1</v>
      </c>
      <c r="K1686">
        <v>67</v>
      </c>
      <c r="L1686">
        <v>24.6</v>
      </c>
      <c r="M1686">
        <v>7</v>
      </c>
      <c r="N1686">
        <v>0.21799644389161801</v>
      </c>
      <c r="O1686">
        <v>0.34766989395488401</v>
      </c>
    </row>
    <row r="1687" spans="1:15" x14ac:dyDescent="0.3">
      <c r="A1687">
        <v>7032</v>
      </c>
      <c r="B1687">
        <v>3557</v>
      </c>
      <c r="C1687">
        <v>80</v>
      </c>
      <c r="D1687" t="s">
        <v>23</v>
      </c>
      <c r="E1687" t="s">
        <v>20</v>
      </c>
      <c r="F1687" t="s">
        <v>21</v>
      </c>
      <c r="G1687" t="s">
        <v>22</v>
      </c>
      <c r="H1687">
        <v>279</v>
      </c>
      <c r="I1687">
        <v>254</v>
      </c>
      <c r="J1687">
        <v>97.1</v>
      </c>
      <c r="K1687">
        <v>67</v>
      </c>
      <c r="L1687">
        <v>24.6</v>
      </c>
      <c r="M1687">
        <v>7</v>
      </c>
      <c r="N1687">
        <v>0.230876920292683</v>
      </c>
      <c r="O1687">
        <v>0.35933201691632499</v>
      </c>
    </row>
    <row r="1688" spans="1:15" x14ac:dyDescent="0.3">
      <c r="A1688">
        <v>7033</v>
      </c>
      <c r="B1688">
        <v>3557</v>
      </c>
      <c r="C1688">
        <v>80</v>
      </c>
      <c r="D1688" t="s">
        <v>23</v>
      </c>
      <c r="E1688" t="s">
        <v>20</v>
      </c>
      <c r="F1688" t="s">
        <v>21</v>
      </c>
      <c r="G1688" t="s">
        <v>22</v>
      </c>
      <c r="H1688">
        <v>279</v>
      </c>
      <c r="I1688">
        <v>254</v>
      </c>
      <c r="J1688">
        <v>97.1</v>
      </c>
      <c r="K1688">
        <v>67</v>
      </c>
      <c r="L1688">
        <v>24.6</v>
      </c>
      <c r="M1688">
        <v>7</v>
      </c>
      <c r="N1688">
        <v>0.20289934033179499</v>
      </c>
      <c r="O1688">
        <v>0.34664519509847502</v>
      </c>
    </row>
    <row r="1689" spans="1:15" x14ac:dyDescent="0.3">
      <c r="A1689">
        <v>7034</v>
      </c>
      <c r="B1689">
        <v>3557</v>
      </c>
      <c r="C1689">
        <v>80</v>
      </c>
      <c r="D1689" t="s">
        <v>23</v>
      </c>
      <c r="E1689" t="s">
        <v>20</v>
      </c>
      <c r="F1689" t="s">
        <v>21</v>
      </c>
      <c r="G1689" t="s">
        <v>22</v>
      </c>
      <c r="H1689">
        <v>279</v>
      </c>
      <c r="I1689">
        <v>254</v>
      </c>
      <c r="J1689">
        <v>97.1</v>
      </c>
      <c r="K1689">
        <v>67</v>
      </c>
      <c r="L1689">
        <v>24.6</v>
      </c>
      <c r="M1689">
        <v>7</v>
      </c>
      <c r="N1689">
        <v>0.21684541129717599</v>
      </c>
      <c r="O1689">
        <v>0.35752673978206201</v>
      </c>
    </row>
    <row r="1690" spans="1:15" x14ac:dyDescent="0.3">
      <c r="A1690">
        <v>7035</v>
      </c>
      <c r="B1690">
        <v>3558</v>
      </c>
      <c r="C1690">
        <v>267</v>
      </c>
      <c r="D1690" t="s">
        <v>23</v>
      </c>
      <c r="E1690" t="s">
        <v>20</v>
      </c>
      <c r="F1690" t="s">
        <v>17</v>
      </c>
      <c r="G1690" t="s">
        <v>18</v>
      </c>
      <c r="H1690">
        <v>275.39999999999998</v>
      </c>
      <c r="I1690">
        <v>244.5</v>
      </c>
      <c r="J1690">
        <v>95.4</v>
      </c>
      <c r="K1690">
        <v>67</v>
      </c>
      <c r="L1690">
        <v>22.2</v>
      </c>
      <c r="M1690">
        <v>9.5</v>
      </c>
      <c r="N1690">
        <v>0.24998692491309199</v>
      </c>
      <c r="O1690">
        <v>0.22278756059417501</v>
      </c>
    </row>
    <row r="1691" spans="1:15" x14ac:dyDescent="0.3">
      <c r="A1691">
        <v>7036</v>
      </c>
      <c r="B1691">
        <v>3558</v>
      </c>
      <c r="C1691">
        <v>267</v>
      </c>
      <c r="D1691" t="s">
        <v>23</v>
      </c>
      <c r="E1691" t="s">
        <v>20</v>
      </c>
      <c r="F1691" t="s">
        <v>17</v>
      </c>
      <c r="G1691" t="s">
        <v>18</v>
      </c>
      <c r="H1691">
        <v>275.39999999999998</v>
      </c>
      <c r="I1691">
        <v>244.5</v>
      </c>
      <c r="J1691">
        <v>95.4</v>
      </c>
      <c r="K1691">
        <v>67</v>
      </c>
      <c r="L1691">
        <v>22.2</v>
      </c>
      <c r="M1691">
        <v>9.5</v>
      </c>
      <c r="N1691">
        <v>0.24791707149409201</v>
      </c>
      <c r="O1691">
        <v>0.215871457328315</v>
      </c>
    </row>
    <row r="1692" spans="1:15" x14ac:dyDescent="0.3">
      <c r="A1692">
        <v>7057</v>
      </c>
      <c r="B1692">
        <v>3564</v>
      </c>
      <c r="C1692">
        <v>388</v>
      </c>
      <c r="D1692" t="s">
        <v>19</v>
      </c>
      <c r="E1692" t="s">
        <v>16</v>
      </c>
      <c r="F1692" t="s">
        <v>21</v>
      </c>
      <c r="G1692" t="s">
        <v>26</v>
      </c>
      <c r="H1692">
        <v>277.10000000000002</v>
      </c>
      <c r="I1692">
        <v>244.5</v>
      </c>
      <c r="J1692">
        <v>91.9</v>
      </c>
      <c r="K1692">
        <v>62.5</v>
      </c>
      <c r="L1692">
        <v>25.9</v>
      </c>
      <c r="M1692">
        <v>7</v>
      </c>
      <c r="N1692">
        <v>9.9633656972933499E-2</v>
      </c>
      <c r="O1692">
        <v>8.04255893695629E-2</v>
      </c>
    </row>
    <row r="1693" spans="1:15" x14ac:dyDescent="0.3">
      <c r="A1693">
        <v>7058</v>
      </c>
      <c r="B1693">
        <v>3564</v>
      </c>
      <c r="C1693">
        <v>388</v>
      </c>
      <c r="D1693" t="s">
        <v>19</v>
      </c>
      <c r="E1693" t="s">
        <v>16</v>
      </c>
      <c r="F1693" t="s">
        <v>21</v>
      </c>
      <c r="G1693" t="s">
        <v>26</v>
      </c>
      <c r="H1693">
        <v>277.10000000000002</v>
      </c>
      <c r="I1693">
        <v>244.5</v>
      </c>
      <c r="J1693">
        <v>91.9</v>
      </c>
      <c r="K1693">
        <v>62.5</v>
      </c>
      <c r="L1693">
        <v>25.9</v>
      </c>
      <c r="M1693">
        <v>7</v>
      </c>
      <c r="N1693">
        <v>9.6730954437169295E-2</v>
      </c>
      <c r="O1693">
        <v>7.84670282366106E-2</v>
      </c>
    </row>
    <row r="1694" spans="1:15" x14ac:dyDescent="0.3">
      <c r="A1694">
        <v>7059</v>
      </c>
      <c r="B1694">
        <v>3564</v>
      </c>
      <c r="C1694">
        <v>388</v>
      </c>
      <c r="D1694" t="s">
        <v>19</v>
      </c>
      <c r="E1694" t="s">
        <v>16</v>
      </c>
      <c r="F1694" t="s">
        <v>21</v>
      </c>
      <c r="G1694" t="s">
        <v>26</v>
      </c>
      <c r="H1694">
        <v>277.10000000000002</v>
      </c>
      <c r="I1694">
        <v>244.5</v>
      </c>
      <c r="J1694">
        <v>91.9</v>
      </c>
      <c r="K1694">
        <v>62.5</v>
      </c>
      <c r="L1694">
        <v>25.9</v>
      </c>
      <c r="M1694">
        <v>7</v>
      </c>
      <c r="N1694">
        <v>9.2380240808099104E-2</v>
      </c>
      <c r="O1694">
        <v>6.3591591308096995E-2</v>
      </c>
    </row>
    <row r="1695" spans="1:15" x14ac:dyDescent="0.3">
      <c r="A1695">
        <v>7060</v>
      </c>
      <c r="B1695">
        <v>3564</v>
      </c>
      <c r="C1695">
        <v>388</v>
      </c>
      <c r="D1695" t="s">
        <v>19</v>
      </c>
      <c r="E1695" t="s">
        <v>16</v>
      </c>
      <c r="F1695" t="s">
        <v>21</v>
      </c>
      <c r="G1695" t="s">
        <v>26</v>
      </c>
      <c r="H1695">
        <v>277.10000000000002</v>
      </c>
      <c r="I1695">
        <v>244.5</v>
      </c>
      <c r="J1695">
        <v>91.9</v>
      </c>
      <c r="K1695">
        <v>62.5</v>
      </c>
      <c r="L1695">
        <v>25.9</v>
      </c>
      <c r="M1695">
        <v>7</v>
      </c>
      <c r="N1695">
        <v>0.109693626447614</v>
      </c>
      <c r="O1695">
        <v>7.98234446686822E-2</v>
      </c>
    </row>
    <row r="1696" spans="1:15" x14ac:dyDescent="0.3">
      <c r="A1696">
        <v>7061</v>
      </c>
      <c r="B1696">
        <v>3565</v>
      </c>
      <c r="C1696">
        <v>310</v>
      </c>
      <c r="D1696" t="s">
        <v>19</v>
      </c>
      <c r="E1696" t="s">
        <v>20</v>
      </c>
      <c r="F1696" t="s">
        <v>17</v>
      </c>
      <c r="G1696" t="s">
        <v>26</v>
      </c>
      <c r="H1696">
        <v>273.60000000000002</v>
      </c>
      <c r="I1696">
        <v>255</v>
      </c>
      <c r="J1696">
        <v>95.2</v>
      </c>
      <c r="K1696">
        <v>63.5</v>
      </c>
      <c r="L1696">
        <v>27</v>
      </c>
      <c r="M1696">
        <v>11.5</v>
      </c>
      <c r="N1696">
        <v>4.4254064380347902E-2</v>
      </c>
      <c r="O1696">
        <v>0.12655111019081899</v>
      </c>
    </row>
    <row r="1697" spans="1:15" x14ac:dyDescent="0.3">
      <c r="A1697">
        <v>7062</v>
      </c>
      <c r="B1697">
        <v>3565</v>
      </c>
      <c r="C1697">
        <v>310</v>
      </c>
      <c r="D1697" t="s">
        <v>19</v>
      </c>
      <c r="E1697" t="s">
        <v>20</v>
      </c>
      <c r="F1697" t="s">
        <v>17</v>
      </c>
      <c r="G1697" t="s">
        <v>26</v>
      </c>
      <c r="H1697">
        <v>273.60000000000002</v>
      </c>
      <c r="I1697">
        <v>255</v>
      </c>
      <c r="J1697">
        <v>95.2</v>
      </c>
      <c r="K1697">
        <v>63.5</v>
      </c>
      <c r="L1697">
        <v>27</v>
      </c>
      <c r="M1697">
        <v>11.5</v>
      </c>
      <c r="N1697">
        <v>3.7935707908841397E-2</v>
      </c>
      <c r="O1697">
        <v>0.122534471239164</v>
      </c>
    </row>
    <row r="1698" spans="1:15" x14ac:dyDescent="0.3">
      <c r="A1698">
        <v>7070</v>
      </c>
      <c r="B1698">
        <v>3569</v>
      </c>
      <c r="C1698">
        <v>176</v>
      </c>
      <c r="D1698" t="s">
        <v>23</v>
      </c>
      <c r="E1698" t="s">
        <v>20</v>
      </c>
      <c r="F1698" t="s">
        <v>21</v>
      </c>
      <c r="G1698" t="s">
        <v>18</v>
      </c>
      <c r="H1698">
        <v>274.5</v>
      </c>
      <c r="I1698">
        <v>261.5</v>
      </c>
      <c r="J1698">
        <v>100.7</v>
      </c>
      <c r="K1698">
        <v>67</v>
      </c>
      <c r="L1698">
        <v>26.6</v>
      </c>
      <c r="M1698">
        <v>10</v>
      </c>
      <c r="N1698">
        <v>0.12558003779031199</v>
      </c>
      <c r="O1698">
        <v>0.40242150885421402</v>
      </c>
    </row>
    <row r="1699" spans="1:15" x14ac:dyDescent="0.3">
      <c r="A1699">
        <v>7071</v>
      </c>
      <c r="B1699">
        <v>3569</v>
      </c>
      <c r="C1699">
        <v>176</v>
      </c>
      <c r="D1699" t="s">
        <v>23</v>
      </c>
      <c r="E1699" t="s">
        <v>20</v>
      </c>
      <c r="F1699" t="s">
        <v>21</v>
      </c>
      <c r="G1699" t="s">
        <v>18</v>
      </c>
      <c r="H1699">
        <v>274.5</v>
      </c>
      <c r="I1699">
        <v>261.5</v>
      </c>
      <c r="J1699">
        <v>100.7</v>
      </c>
      <c r="K1699">
        <v>67</v>
      </c>
      <c r="L1699">
        <v>26.6</v>
      </c>
      <c r="M1699">
        <v>10</v>
      </c>
      <c r="N1699">
        <v>0.144357502611417</v>
      </c>
      <c r="O1699">
        <v>0.39834133522604398</v>
      </c>
    </row>
    <row r="1700" spans="1:15" x14ac:dyDescent="0.3">
      <c r="A1700">
        <v>7072</v>
      </c>
      <c r="B1700">
        <v>3569</v>
      </c>
      <c r="C1700">
        <v>176</v>
      </c>
      <c r="D1700" t="s">
        <v>23</v>
      </c>
      <c r="E1700" t="s">
        <v>20</v>
      </c>
      <c r="F1700" t="s">
        <v>21</v>
      </c>
      <c r="G1700" t="s">
        <v>18</v>
      </c>
      <c r="H1700">
        <v>274.5</v>
      </c>
      <c r="I1700">
        <v>261.5</v>
      </c>
      <c r="J1700">
        <v>100.7</v>
      </c>
      <c r="K1700">
        <v>67</v>
      </c>
      <c r="L1700">
        <v>26.6</v>
      </c>
      <c r="M1700">
        <v>10</v>
      </c>
      <c r="N1700">
        <v>0.153682301831671</v>
      </c>
      <c r="O1700">
        <v>0.42946326501933701</v>
      </c>
    </row>
    <row r="1701" spans="1:15" x14ac:dyDescent="0.3">
      <c r="A1701">
        <v>7073</v>
      </c>
      <c r="B1701">
        <v>3569</v>
      </c>
      <c r="C1701">
        <v>176</v>
      </c>
      <c r="D1701" t="s">
        <v>23</v>
      </c>
      <c r="E1701" t="s">
        <v>20</v>
      </c>
      <c r="F1701" t="s">
        <v>21</v>
      </c>
      <c r="G1701" t="s">
        <v>18</v>
      </c>
      <c r="H1701">
        <v>274.5</v>
      </c>
      <c r="I1701">
        <v>261.5</v>
      </c>
      <c r="J1701">
        <v>100.7</v>
      </c>
      <c r="K1701">
        <v>67</v>
      </c>
      <c r="L1701">
        <v>26.6</v>
      </c>
      <c r="M1701">
        <v>10</v>
      </c>
      <c r="N1701">
        <v>0.12752714506552101</v>
      </c>
      <c r="O1701">
        <v>0.399554213534416</v>
      </c>
    </row>
    <row r="1702" spans="1:15" x14ac:dyDescent="0.3">
      <c r="A1702">
        <v>7078</v>
      </c>
      <c r="B1702">
        <v>3570</v>
      </c>
      <c r="C1702">
        <v>62</v>
      </c>
      <c r="D1702" t="s">
        <v>19</v>
      </c>
      <c r="E1702" t="s">
        <v>20</v>
      </c>
      <c r="F1702" t="s">
        <v>17</v>
      </c>
      <c r="G1702" t="s">
        <v>24</v>
      </c>
      <c r="H1702">
        <v>274.5</v>
      </c>
      <c r="I1702">
        <v>256.5</v>
      </c>
      <c r="J1702">
        <v>98.4</v>
      </c>
      <c r="K1702">
        <v>71.5</v>
      </c>
      <c r="L1702">
        <v>29.3</v>
      </c>
      <c r="M1702">
        <v>6</v>
      </c>
      <c r="N1702">
        <v>0.27468695015905398</v>
      </c>
      <c r="O1702">
        <v>0.119898167251584</v>
      </c>
    </row>
    <row r="1703" spans="1:15" x14ac:dyDescent="0.3">
      <c r="A1703">
        <v>7100</v>
      </c>
      <c r="B1703">
        <v>3578</v>
      </c>
      <c r="C1703">
        <v>89</v>
      </c>
      <c r="D1703" t="s">
        <v>19</v>
      </c>
      <c r="E1703" t="s">
        <v>20</v>
      </c>
      <c r="F1703" t="s">
        <v>17</v>
      </c>
      <c r="G1703" t="s">
        <v>26</v>
      </c>
      <c r="H1703">
        <v>275.89999999999998</v>
      </c>
      <c r="I1703">
        <v>245.5</v>
      </c>
      <c r="J1703">
        <v>92.8</v>
      </c>
      <c r="K1703">
        <v>66.5</v>
      </c>
      <c r="L1703">
        <v>26.7</v>
      </c>
      <c r="M1703">
        <v>12.5</v>
      </c>
      <c r="N1703">
        <v>7.5887618955844102E-2</v>
      </c>
      <c r="O1703">
        <v>0.11332477412454101</v>
      </c>
    </row>
    <row r="1704" spans="1:15" x14ac:dyDescent="0.3">
      <c r="A1704">
        <v>7101</v>
      </c>
      <c r="B1704">
        <v>3578</v>
      </c>
      <c r="C1704">
        <v>89</v>
      </c>
      <c r="D1704" t="s">
        <v>19</v>
      </c>
      <c r="E1704" t="s">
        <v>20</v>
      </c>
      <c r="F1704" t="s">
        <v>17</v>
      </c>
      <c r="G1704" t="s">
        <v>26</v>
      </c>
      <c r="H1704">
        <v>275.89999999999998</v>
      </c>
      <c r="I1704">
        <v>245.5</v>
      </c>
      <c r="J1704">
        <v>92.8</v>
      </c>
      <c r="K1704">
        <v>66.5</v>
      </c>
      <c r="L1704">
        <v>26.7</v>
      </c>
      <c r="M1704">
        <v>12.5</v>
      </c>
      <c r="N1704">
        <v>8.4844912716986201E-2</v>
      </c>
      <c r="O1704">
        <v>0.119213243174498</v>
      </c>
    </row>
    <row r="1705" spans="1:15" x14ac:dyDescent="0.3">
      <c r="A1705">
        <v>7134</v>
      </c>
      <c r="B1705">
        <v>3588</v>
      </c>
      <c r="C1705">
        <v>274</v>
      </c>
      <c r="D1705" t="s">
        <v>19</v>
      </c>
      <c r="E1705" t="s">
        <v>20</v>
      </c>
      <c r="F1705" t="s">
        <v>17</v>
      </c>
      <c r="G1705" t="s">
        <v>25</v>
      </c>
      <c r="H1705">
        <v>270.8</v>
      </c>
      <c r="I1705">
        <v>241</v>
      </c>
      <c r="J1705">
        <v>93</v>
      </c>
      <c r="K1705">
        <v>61.5</v>
      </c>
      <c r="L1705">
        <v>24.5</v>
      </c>
      <c r="M1705">
        <v>11.5</v>
      </c>
      <c r="N1705">
        <v>0.110812875362141</v>
      </c>
      <c r="O1705">
        <v>0.19958393265430499</v>
      </c>
    </row>
    <row r="1706" spans="1:15" x14ac:dyDescent="0.3">
      <c r="A1706">
        <v>7138</v>
      </c>
      <c r="B1706">
        <v>359</v>
      </c>
      <c r="C1706">
        <v>325</v>
      </c>
      <c r="D1706" t="s">
        <v>19</v>
      </c>
      <c r="E1706" t="s">
        <v>16</v>
      </c>
      <c r="F1706" t="s">
        <v>21</v>
      </c>
      <c r="G1706" t="s">
        <v>26</v>
      </c>
      <c r="H1706">
        <v>274</v>
      </c>
      <c r="I1706">
        <v>243.5</v>
      </c>
      <c r="J1706">
        <v>94.8</v>
      </c>
      <c r="K1706">
        <v>65.5</v>
      </c>
      <c r="L1706">
        <v>26.1</v>
      </c>
      <c r="M1706">
        <v>13</v>
      </c>
      <c r="N1706">
        <v>0.24408232786530901</v>
      </c>
      <c r="O1706">
        <v>0.107873942824559</v>
      </c>
    </row>
    <row r="1707" spans="1:15" x14ac:dyDescent="0.3">
      <c r="A1707">
        <v>7139</v>
      </c>
      <c r="B1707">
        <v>359</v>
      </c>
      <c r="C1707">
        <v>325</v>
      </c>
      <c r="D1707" t="s">
        <v>19</v>
      </c>
      <c r="E1707" t="s">
        <v>16</v>
      </c>
      <c r="F1707" t="s">
        <v>21</v>
      </c>
      <c r="G1707" t="s">
        <v>26</v>
      </c>
      <c r="H1707">
        <v>274</v>
      </c>
      <c r="I1707">
        <v>243.5</v>
      </c>
      <c r="J1707">
        <v>94.8</v>
      </c>
      <c r="K1707">
        <v>65.5</v>
      </c>
      <c r="L1707">
        <v>26.1</v>
      </c>
      <c r="M1707">
        <v>13</v>
      </c>
      <c r="N1707">
        <v>0.255576391610291</v>
      </c>
      <c r="O1707">
        <v>9.4462357289887694E-2</v>
      </c>
    </row>
    <row r="1708" spans="1:15" x14ac:dyDescent="0.3">
      <c r="A1708">
        <v>7140</v>
      </c>
      <c r="B1708">
        <v>359</v>
      </c>
      <c r="C1708">
        <v>325</v>
      </c>
      <c r="D1708" t="s">
        <v>19</v>
      </c>
      <c r="E1708" t="s">
        <v>16</v>
      </c>
      <c r="F1708" t="s">
        <v>21</v>
      </c>
      <c r="G1708" t="s">
        <v>26</v>
      </c>
      <c r="H1708">
        <v>274</v>
      </c>
      <c r="I1708">
        <v>243.5</v>
      </c>
      <c r="J1708">
        <v>94.8</v>
      </c>
      <c r="K1708">
        <v>65.5</v>
      </c>
      <c r="L1708">
        <v>26.1</v>
      </c>
      <c r="M1708">
        <v>13</v>
      </c>
      <c r="N1708">
        <v>0.25459508785068002</v>
      </c>
      <c r="O1708">
        <v>9.9138405141836999E-2</v>
      </c>
    </row>
    <row r="1709" spans="1:15" x14ac:dyDescent="0.3">
      <c r="A1709">
        <v>7141</v>
      </c>
      <c r="B1709">
        <v>359</v>
      </c>
      <c r="C1709">
        <v>325</v>
      </c>
      <c r="D1709" t="s">
        <v>19</v>
      </c>
      <c r="E1709" t="s">
        <v>16</v>
      </c>
      <c r="F1709" t="s">
        <v>21</v>
      </c>
      <c r="G1709" t="s">
        <v>26</v>
      </c>
      <c r="H1709">
        <v>274</v>
      </c>
      <c r="I1709">
        <v>243.5</v>
      </c>
      <c r="J1709">
        <v>94.8</v>
      </c>
      <c r="K1709">
        <v>65.5</v>
      </c>
      <c r="L1709">
        <v>26.1</v>
      </c>
      <c r="M1709">
        <v>13</v>
      </c>
      <c r="N1709">
        <v>0.23976706807033701</v>
      </c>
      <c r="O1709">
        <v>9.2040448926011695E-2</v>
      </c>
    </row>
    <row r="1710" spans="1:15" x14ac:dyDescent="0.3">
      <c r="A1710">
        <v>7149</v>
      </c>
      <c r="B1710">
        <v>3594</v>
      </c>
      <c r="C1710">
        <v>279</v>
      </c>
      <c r="D1710" t="s">
        <v>23</v>
      </c>
      <c r="E1710" t="s">
        <v>16</v>
      </c>
      <c r="F1710" t="s">
        <v>21</v>
      </c>
      <c r="G1710" t="s">
        <v>24</v>
      </c>
      <c r="H1710">
        <v>273.8</v>
      </c>
      <c r="I1710">
        <v>248.5</v>
      </c>
      <c r="J1710">
        <v>97.9</v>
      </c>
      <c r="K1710">
        <v>65.5</v>
      </c>
      <c r="L1710">
        <v>24.9</v>
      </c>
      <c r="M1710">
        <v>4</v>
      </c>
      <c r="N1710">
        <v>0.22351976852078101</v>
      </c>
      <c r="O1710">
        <v>0.38124478091123698</v>
      </c>
    </row>
    <row r="1711" spans="1:15" x14ac:dyDescent="0.3">
      <c r="A1711">
        <v>7153</v>
      </c>
      <c r="B1711">
        <v>3596</v>
      </c>
      <c r="C1711">
        <v>298</v>
      </c>
      <c r="D1711" t="s">
        <v>19</v>
      </c>
      <c r="E1711" t="s">
        <v>20</v>
      </c>
      <c r="F1711" t="s">
        <v>17</v>
      </c>
      <c r="G1711" t="s">
        <v>18</v>
      </c>
      <c r="H1711">
        <v>275.60000000000002</v>
      </c>
      <c r="I1711">
        <v>251</v>
      </c>
      <c r="J1711">
        <v>95.1</v>
      </c>
      <c r="K1711">
        <v>66.5</v>
      </c>
      <c r="L1711">
        <v>25.3</v>
      </c>
      <c r="M1711">
        <v>10.5</v>
      </c>
      <c r="N1711">
        <v>0.30977937870096001</v>
      </c>
      <c r="O1711">
        <v>6.4971360914839696E-2</v>
      </c>
    </row>
    <row r="1712" spans="1:15" x14ac:dyDescent="0.3">
      <c r="A1712">
        <v>7162</v>
      </c>
      <c r="B1712">
        <v>3599</v>
      </c>
      <c r="C1712">
        <v>261</v>
      </c>
      <c r="D1712" t="s">
        <v>23</v>
      </c>
      <c r="E1712" t="s">
        <v>20</v>
      </c>
      <c r="F1712" t="s">
        <v>21</v>
      </c>
      <c r="G1712" t="s">
        <v>26</v>
      </c>
      <c r="H1712">
        <v>276.60000000000002</v>
      </c>
      <c r="I1712">
        <v>246</v>
      </c>
      <c r="J1712">
        <v>96.1</v>
      </c>
      <c r="K1712">
        <v>65.5</v>
      </c>
      <c r="L1712">
        <v>29.4</v>
      </c>
      <c r="M1712">
        <v>12</v>
      </c>
      <c r="N1712">
        <v>1.45869944506107E-2</v>
      </c>
      <c r="O1712">
        <v>0.35206206399714501</v>
      </c>
    </row>
    <row r="1713" spans="1:15" x14ac:dyDescent="0.3">
      <c r="A1713">
        <v>7163</v>
      </c>
      <c r="B1713">
        <v>3599</v>
      </c>
      <c r="C1713">
        <v>261</v>
      </c>
      <c r="D1713" t="s">
        <v>23</v>
      </c>
      <c r="E1713" t="s">
        <v>20</v>
      </c>
      <c r="F1713" t="s">
        <v>21</v>
      </c>
      <c r="G1713" t="s">
        <v>26</v>
      </c>
      <c r="H1713">
        <v>276.60000000000002</v>
      </c>
      <c r="I1713">
        <v>246</v>
      </c>
      <c r="J1713">
        <v>96.1</v>
      </c>
      <c r="K1713">
        <v>65.5</v>
      </c>
      <c r="L1713">
        <v>29.4</v>
      </c>
      <c r="M1713">
        <v>12</v>
      </c>
      <c r="N1713">
        <v>3.5894400871831302E-2</v>
      </c>
      <c r="O1713">
        <v>0.364863190237388</v>
      </c>
    </row>
    <row r="1714" spans="1:15" x14ac:dyDescent="0.3">
      <c r="A1714">
        <v>7164</v>
      </c>
      <c r="B1714">
        <v>3599</v>
      </c>
      <c r="C1714">
        <v>261</v>
      </c>
      <c r="D1714" t="s">
        <v>23</v>
      </c>
      <c r="E1714" t="s">
        <v>20</v>
      </c>
      <c r="F1714" t="s">
        <v>21</v>
      </c>
      <c r="G1714" t="s">
        <v>26</v>
      </c>
      <c r="H1714">
        <v>276.60000000000002</v>
      </c>
      <c r="I1714">
        <v>246</v>
      </c>
      <c r="J1714">
        <v>96.1</v>
      </c>
      <c r="K1714">
        <v>65.5</v>
      </c>
      <c r="L1714">
        <v>29.4</v>
      </c>
      <c r="M1714">
        <v>12</v>
      </c>
      <c r="N1714">
        <v>4.2928794817245201E-2</v>
      </c>
      <c r="O1714">
        <v>0.33248136330299199</v>
      </c>
    </row>
    <row r="1715" spans="1:15" x14ac:dyDescent="0.3">
      <c r="A1715">
        <v>7165</v>
      </c>
      <c r="B1715">
        <v>3599</v>
      </c>
      <c r="C1715">
        <v>261</v>
      </c>
      <c r="D1715" t="s">
        <v>23</v>
      </c>
      <c r="E1715" t="s">
        <v>20</v>
      </c>
      <c r="F1715" t="s">
        <v>21</v>
      </c>
      <c r="G1715" t="s">
        <v>26</v>
      </c>
      <c r="H1715">
        <v>276.60000000000002</v>
      </c>
      <c r="I1715">
        <v>246</v>
      </c>
      <c r="J1715">
        <v>96.1</v>
      </c>
      <c r="K1715">
        <v>65.5</v>
      </c>
      <c r="L1715">
        <v>29.4</v>
      </c>
      <c r="M1715">
        <v>12</v>
      </c>
      <c r="N1715">
        <v>3.3661825076421098E-2</v>
      </c>
      <c r="O1715">
        <v>0.36506260681485903</v>
      </c>
    </row>
    <row r="1716" spans="1:15" x14ac:dyDescent="0.3">
      <c r="A1716">
        <v>7166</v>
      </c>
      <c r="B1716">
        <v>3599</v>
      </c>
      <c r="C1716">
        <v>261</v>
      </c>
      <c r="D1716" t="s">
        <v>23</v>
      </c>
      <c r="E1716" t="s">
        <v>20</v>
      </c>
      <c r="F1716" t="s">
        <v>21</v>
      </c>
      <c r="G1716" t="s">
        <v>26</v>
      </c>
      <c r="H1716">
        <v>276.60000000000002</v>
      </c>
      <c r="I1716">
        <v>246</v>
      </c>
      <c r="J1716">
        <v>96.1</v>
      </c>
      <c r="K1716">
        <v>65.5</v>
      </c>
      <c r="L1716">
        <v>29.4</v>
      </c>
      <c r="M1716">
        <v>12</v>
      </c>
      <c r="N1716">
        <v>4.2418012355557297E-2</v>
      </c>
      <c r="O1716">
        <v>0.35350692903632702</v>
      </c>
    </row>
    <row r="1717" spans="1:15" x14ac:dyDescent="0.3">
      <c r="A1717">
        <v>7167</v>
      </c>
      <c r="B1717">
        <v>36</v>
      </c>
      <c r="C1717">
        <v>31</v>
      </c>
      <c r="D1717" t="s">
        <v>23</v>
      </c>
      <c r="E1717" t="s">
        <v>16</v>
      </c>
      <c r="F1717" t="s">
        <v>21</v>
      </c>
      <c r="G1717" t="s">
        <v>25</v>
      </c>
      <c r="H1717">
        <v>274</v>
      </c>
      <c r="I1717">
        <v>250</v>
      </c>
      <c r="J1717">
        <v>99.4</v>
      </c>
      <c r="K1717">
        <v>68.5</v>
      </c>
      <c r="L1717">
        <v>23.2</v>
      </c>
      <c r="M1717">
        <v>10</v>
      </c>
      <c r="N1717">
        <v>0.21357733324158101</v>
      </c>
      <c r="O1717">
        <v>0.15361494162415301</v>
      </c>
    </row>
    <row r="1718" spans="1:15" x14ac:dyDescent="0.3">
      <c r="A1718">
        <v>7168</v>
      </c>
      <c r="B1718">
        <v>36</v>
      </c>
      <c r="C1718">
        <v>31</v>
      </c>
      <c r="D1718" t="s">
        <v>23</v>
      </c>
      <c r="E1718" t="s">
        <v>16</v>
      </c>
      <c r="F1718" t="s">
        <v>21</v>
      </c>
      <c r="G1718" t="s">
        <v>25</v>
      </c>
      <c r="H1718">
        <v>274</v>
      </c>
      <c r="I1718">
        <v>250</v>
      </c>
      <c r="J1718">
        <v>99.4</v>
      </c>
      <c r="K1718">
        <v>68.5</v>
      </c>
      <c r="L1718">
        <v>23.2</v>
      </c>
      <c r="M1718">
        <v>10</v>
      </c>
      <c r="N1718">
        <v>0.18439349742764499</v>
      </c>
      <c r="O1718">
        <v>0.18773017533435299</v>
      </c>
    </row>
    <row r="1719" spans="1:15" x14ac:dyDescent="0.3">
      <c r="A1719">
        <v>7169</v>
      </c>
      <c r="B1719">
        <v>36</v>
      </c>
      <c r="C1719">
        <v>31</v>
      </c>
      <c r="D1719" t="s">
        <v>23</v>
      </c>
      <c r="E1719" t="s">
        <v>16</v>
      </c>
      <c r="F1719" t="s">
        <v>21</v>
      </c>
      <c r="G1719" t="s">
        <v>25</v>
      </c>
      <c r="H1719">
        <v>274</v>
      </c>
      <c r="I1719">
        <v>250</v>
      </c>
      <c r="J1719">
        <v>99.4</v>
      </c>
      <c r="K1719">
        <v>68.5</v>
      </c>
      <c r="L1719">
        <v>23.2</v>
      </c>
      <c r="M1719">
        <v>10</v>
      </c>
      <c r="N1719">
        <v>0.189398867647082</v>
      </c>
      <c r="O1719">
        <v>0.16076636879462899</v>
      </c>
    </row>
    <row r="1720" spans="1:15" x14ac:dyDescent="0.3">
      <c r="A1720">
        <v>7201</v>
      </c>
      <c r="B1720">
        <v>3607</v>
      </c>
      <c r="C1720">
        <v>332</v>
      </c>
      <c r="D1720" t="s">
        <v>15</v>
      </c>
      <c r="E1720" t="s">
        <v>16</v>
      </c>
      <c r="F1720" t="s">
        <v>21</v>
      </c>
      <c r="G1720" t="s">
        <v>22</v>
      </c>
      <c r="H1720">
        <v>276.8</v>
      </c>
      <c r="I1720">
        <v>249.5</v>
      </c>
      <c r="J1720">
        <v>91.1</v>
      </c>
      <c r="K1720">
        <v>65.5</v>
      </c>
      <c r="L1720">
        <v>24.7</v>
      </c>
      <c r="M1720">
        <v>8.5</v>
      </c>
      <c r="N1720">
        <v>0.12695302190791999</v>
      </c>
      <c r="O1720">
        <v>0.12080379073908901</v>
      </c>
    </row>
    <row r="1721" spans="1:15" x14ac:dyDescent="0.3">
      <c r="A1721">
        <v>7202</v>
      </c>
      <c r="B1721">
        <v>3607</v>
      </c>
      <c r="C1721">
        <v>332</v>
      </c>
      <c r="D1721" t="s">
        <v>15</v>
      </c>
      <c r="E1721" t="s">
        <v>16</v>
      </c>
      <c r="F1721" t="s">
        <v>21</v>
      </c>
      <c r="G1721" t="s">
        <v>22</v>
      </c>
      <c r="H1721">
        <v>276.8</v>
      </c>
      <c r="I1721">
        <v>249.5</v>
      </c>
      <c r="J1721">
        <v>91.1</v>
      </c>
      <c r="K1721">
        <v>65.5</v>
      </c>
      <c r="L1721">
        <v>24.7</v>
      </c>
      <c r="M1721">
        <v>8.5</v>
      </c>
      <c r="N1721">
        <v>0.108902744223468</v>
      </c>
      <c r="O1721">
        <v>0.103732744442527</v>
      </c>
    </row>
    <row r="1722" spans="1:15" x14ac:dyDescent="0.3">
      <c r="A1722">
        <v>7226</v>
      </c>
      <c r="B1722">
        <v>3616</v>
      </c>
      <c r="C1722">
        <v>176</v>
      </c>
      <c r="D1722" t="s">
        <v>23</v>
      </c>
      <c r="E1722" t="s">
        <v>20</v>
      </c>
      <c r="F1722" t="s">
        <v>21</v>
      </c>
      <c r="G1722" t="s">
        <v>24</v>
      </c>
      <c r="H1722">
        <v>274.5</v>
      </c>
      <c r="I1722">
        <v>261.5</v>
      </c>
      <c r="J1722">
        <v>100.7</v>
      </c>
      <c r="K1722">
        <v>67</v>
      </c>
      <c r="L1722">
        <v>26.6</v>
      </c>
      <c r="M1722">
        <v>10</v>
      </c>
      <c r="N1722">
        <v>0.12729964875823399</v>
      </c>
      <c r="O1722">
        <v>0.39788345272657499</v>
      </c>
    </row>
    <row r="1723" spans="1:15" x14ac:dyDescent="0.3">
      <c r="A1723">
        <v>7229</v>
      </c>
      <c r="B1723">
        <v>3618</v>
      </c>
      <c r="C1723">
        <v>269</v>
      </c>
      <c r="D1723" t="s">
        <v>19</v>
      </c>
      <c r="E1723" t="s">
        <v>20</v>
      </c>
      <c r="F1723" t="s">
        <v>17</v>
      </c>
      <c r="G1723" t="s">
        <v>25</v>
      </c>
      <c r="H1723">
        <v>273.8</v>
      </c>
      <c r="I1723">
        <v>243</v>
      </c>
      <c r="J1723">
        <v>91.5</v>
      </c>
      <c r="K1723">
        <v>66</v>
      </c>
      <c r="L1723">
        <v>24.8</v>
      </c>
      <c r="M1723">
        <v>8.5</v>
      </c>
      <c r="N1723">
        <v>8.6014582594046998E-2</v>
      </c>
      <c r="O1723">
        <v>0.13992831691969601</v>
      </c>
    </row>
    <row r="1724" spans="1:15" x14ac:dyDescent="0.3">
      <c r="A1724">
        <v>7241</v>
      </c>
      <c r="B1724">
        <v>3621</v>
      </c>
      <c r="C1724">
        <v>197</v>
      </c>
      <c r="D1724" t="s">
        <v>19</v>
      </c>
      <c r="E1724" t="s">
        <v>20</v>
      </c>
      <c r="F1724" t="s">
        <v>21</v>
      </c>
      <c r="G1724" t="s">
        <v>26</v>
      </c>
      <c r="H1724">
        <v>280.10000000000002</v>
      </c>
      <c r="I1724">
        <v>249.5</v>
      </c>
      <c r="J1724">
        <v>95.8</v>
      </c>
      <c r="K1724">
        <v>69.5</v>
      </c>
      <c r="L1724">
        <v>26.6</v>
      </c>
      <c r="M1724">
        <v>6.5</v>
      </c>
      <c r="N1724">
        <v>0.190640866925054</v>
      </c>
      <c r="O1724">
        <v>2.1178496527371499E-2</v>
      </c>
    </row>
    <row r="1725" spans="1:15" x14ac:dyDescent="0.3">
      <c r="A1725">
        <v>7242</v>
      </c>
      <c r="B1725">
        <v>3621</v>
      </c>
      <c r="C1725">
        <v>197</v>
      </c>
      <c r="D1725" t="s">
        <v>19</v>
      </c>
      <c r="E1725" t="s">
        <v>20</v>
      </c>
      <c r="F1725" t="s">
        <v>21</v>
      </c>
      <c r="G1725" t="s">
        <v>26</v>
      </c>
      <c r="H1725">
        <v>280.10000000000002</v>
      </c>
      <c r="I1725">
        <v>249.5</v>
      </c>
      <c r="J1725">
        <v>95.8</v>
      </c>
      <c r="K1725">
        <v>69.5</v>
      </c>
      <c r="L1725">
        <v>26.6</v>
      </c>
      <c r="M1725">
        <v>6.5</v>
      </c>
      <c r="N1725">
        <v>0.19626909101071699</v>
      </c>
      <c r="O1725">
        <v>5.3138323321455898E-2</v>
      </c>
    </row>
    <row r="1726" spans="1:15" x14ac:dyDescent="0.3">
      <c r="A1726">
        <v>7243</v>
      </c>
      <c r="B1726">
        <v>3621</v>
      </c>
      <c r="C1726">
        <v>197</v>
      </c>
      <c r="D1726" t="s">
        <v>19</v>
      </c>
      <c r="E1726" t="s">
        <v>20</v>
      </c>
      <c r="F1726" t="s">
        <v>21</v>
      </c>
      <c r="G1726" t="s">
        <v>26</v>
      </c>
      <c r="H1726">
        <v>280.10000000000002</v>
      </c>
      <c r="I1726">
        <v>249.5</v>
      </c>
      <c r="J1726">
        <v>95.8</v>
      </c>
      <c r="K1726">
        <v>69.5</v>
      </c>
      <c r="L1726">
        <v>26.6</v>
      </c>
      <c r="M1726">
        <v>6.5</v>
      </c>
      <c r="N1726">
        <v>0.17923885744537199</v>
      </c>
      <c r="O1726">
        <v>2.61493913766996E-2</v>
      </c>
    </row>
    <row r="1727" spans="1:15" x14ac:dyDescent="0.3">
      <c r="A1727">
        <v>7244</v>
      </c>
      <c r="B1727">
        <v>3621</v>
      </c>
      <c r="C1727">
        <v>197</v>
      </c>
      <c r="D1727" t="s">
        <v>19</v>
      </c>
      <c r="E1727" t="s">
        <v>20</v>
      </c>
      <c r="F1727" t="s">
        <v>21</v>
      </c>
      <c r="G1727" t="s">
        <v>26</v>
      </c>
      <c r="H1727">
        <v>280.10000000000002</v>
      </c>
      <c r="I1727">
        <v>249.5</v>
      </c>
      <c r="J1727">
        <v>95.8</v>
      </c>
      <c r="K1727">
        <v>69.5</v>
      </c>
      <c r="L1727">
        <v>26.6</v>
      </c>
      <c r="M1727">
        <v>6.5</v>
      </c>
      <c r="N1727">
        <v>0.19033929429723101</v>
      </c>
      <c r="O1727">
        <v>5.7797480460111399E-2</v>
      </c>
    </row>
    <row r="1728" spans="1:15" x14ac:dyDescent="0.3">
      <c r="A1728">
        <v>7245</v>
      </c>
      <c r="B1728">
        <v>3621</v>
      </c>
      <c r="C1728">
        <v>197</v>
      </c>
      <c r="D1728" t="s">
        <v>19</v>
      </c>
      <c r="E1728" t="s">
        <v>20</v>
      </c>
      <c r="F1728" t="s">
        <v>21</v>
      </c>
      <c r="G1728" t="s">
        <v>26</v>
      </c>
      <c r="H1728">
        <v>280.10000000000002</v>
      </c>
      <c r="I1728">
        <v>249.5</v>
      </c>
      <c r="J1728">
        <v>95.8</v>
      </c>
      <c r="K1728">
        <v>69.5</v>
      </c>
      <c r="L1728">
        <v>26.6</v>
      </c>
      <c r="M1728">
        <v>6.5</v>
      </c>
      <c r="N1728">
        <v>0.187356480618282</v>
      </c>
      <c r="O1728">
        <v>3.4771658020989499E-2</v>
      </c>
    </row>
    <row r="1729" spans="1:15" x14ac:dyDescent="0.3">
      <c r="A1729">
        <v>7246</v>
      </c>
      <c r="B1729">
        <v>3621</v>
      </c>
      <c r="C1729">
        <v>197</v>
      </c>
      <c r="D1729" t="s">
        <v>19</v>
      </c>
      <c r="E1729" t="s">
        <v>20</v>
      </c>
      <c r="F1729" t="s">
        <v>21</v>
      </c>
      <c r="G1729" t="s">
        <v>26</v>
      </c>
      <c r="H1729">
        <v>280.10000000000002</v>
      </c>
      <c r="I1729">
        <v>249.5</v>
      </c>
      <c r="J1729">
        <v>95.8</v>
      </c>
      <c r="K1729">
        <v>69.5</v>
      </c>
      <c r="L1729">
        <v>26.6</v>
      </c>
      <c r="M1729">
        <v>6.5</v>
      </c>
      <c r="N1729">
        <v>0.206429915439311</v>
      </c>
      <c r="O1729">
        <v>4.1981492503878601E-2</v>
      </c>
    </row>
    <row r="1730" spans="1:15" x14ac:dyDescent="0.3">
      <c r="A1730">
        <v>7283</v>
      </c>
      <c r="B1730">
        <v>3633</v>
      </c>
      <c r="C1730">
        <v>50</v>
      </c>
      <c r="D1730" t="s">
        <v>23</v>
      </c>
      <c r="E1730" t="s">
        <v>16</v>
      </c>
      <c r="F1730" t="s">
        <v>21</v>
      </c>
      <c r="G1730" t="s">
        <v>26</v>
      </c>
      <c r="H1730">
        <v>276.7</v>
      </c>
      <c r="I1730">
        <v>242</v>
      </c>
      <c r="J1730">
        <v>95.6</v>
      </c>
      <c r="K1730">
        <v>65</v>
      </c>
      <c r="L1730">
        <v>22.2</v>
      </c>
      <c r="M1730">
        <v>8</v>
      </c>
      <c r="N1730">
        <v>0.28304828915705998</v>
      </c>
      <c r="O1730">
        <v>0.289827429188946</v>
      </c>
    </row>
    <row r="1731" spans="1:15" x14ac:dyDescent="0.3">
      <c r="A1731">
        <v>7284</v>
      </c>
      <c r="B1731">
        <v>3633</v>
      </c>
      <c r="C1731">
        <v>50</v>
      </c>
      <c r="D1731" t="s">
        <v>23</v>
      </c>
      <c r="E1731" t="s">
        <v>16</v>
      </c>
      <c r="F1731" t="s">
        <v>21</v>
      </c>
      <c r="G1731" t="s">
        <v>26</v>
      </c>
      <c r="H1731">
        <v>276.7</v>
      </c>
      <c r="I1731">
        <v>242</v>
      </c>
      <c r="J1731">
        <v>95.6</v>
      </c>
      <c r="K1731">
        <v>65</v>
      </c>
      <c r="L1731">
        <v>22.2</v>
      </c>
      <c r="M1731">
        <v>8</v>
      </c>
      <c r="N1731">
        <v>0.26903943287605298</v>
      </c>
      <c r="O1731">
        <v>0.28789623404534498</v>
      </c>
    </row>
    <row r="1732" spans="1:15" x14ac:dyDescent="0.3">
      <c r="A1732">
        <v>7285</v>
      </c>
      <c r="B1732">
        <v>3633</v>
      </c>
      <c r="C1732">
        <v>50</v>
      </c>
      <c r="D1732" t="s">
        <v>23</v>
      </c>
      <c r="E1732" t="s">
        <v>16</v>
      </c>
      <c r="F1732" t="s">
        <v>21</v>
      </c>
      <c r="G1732" t="s">
        <v>26</v>
      </c>
      <c r="H1732">
        <v>276.7</v>
      </c>
      <c r="I1732">
        <v>242</v>
      </c>
      <c r="J1732">
        <v>95.6</v>
      </c>
      <c r="K1732">
        <v>65</v>
      </c>
      <c r="L1732">
        <v>22.2</v>
      </c>
      <c r="M1732">
        <v>8</v>
      </c>
      <c r="N1732">
        <v>0.25529763729884403</v>
      </c>
      <c r="O1732">
        <v>0.28967096570427098</v>
      </c>
    </row>
    <row r="1733" spans="1:15" x14ac:dyDescent="0.3">
      <c r="A1733">
        <v>7289</v>
      </c>
      <c r="B1733">
        <v>3635</v>
      </c>
      <c r="C1733">
        <v>335</v>
      </c>
      <c r="D1733" t="s">
        <v>19</v>
      </c>
      <c r="E1733" t="s">
        <v>20</v>
      </c>
      <c r="F1733" t="s">
        <v>21</v>
      </c>
      <c r="G1733" t="s">
        <v>18</v>
      </c>
      <c r="H1733">
        <v>278.5</v>
      </c>
      <c r="I1733">
        <v>240.5</v>
      </c>
      <c r="J1733">
        <v>94.4</v>
      </c>
      <c r="K1733">
        <v>69</v>
      </c>
      <c r="L1733">
        <v>25.8</v>
      </c>
      <c r="M1733">
        <v>8.5</v>
      </c>
      <c r="N1733">
        <v>3.9157035387012103E-2</v>
      </c>
      <c r="O1733">
        <v>1.8804311999295199E-2</v>
      </c>
    </row>
    <row r="1734" spans="1:15" x14ac:dyDescent="0.3">
      <c r="A1734">
        <v>7290</v>
      </c>
      <c r="B1734">
        <v>3635</v>
      </c>
      <c r="C1734">
        <v>335</v>
      </c>
      <c r="D1734" t="s">
        <v>19</v>
      </c>
      <c r="E1734" t="s">
        <v>20</v>
      </c>
      <c r="F1734" t="s">
        <v>21</v>
      </c>
      <c r="G1734" t="s">
        <v>18</v>
      </c>
      <c r="H1734">
        <v>278.5</v>
      </c>
      <c r="I1734">
        <v>240.5</v>
      </c>
      <c r="J1734">
        <v>94.4</v>
      </c>
      <c r="K1734">
        <v>69</v>
      </c>
      <c r="L1734">
        <v>25.8</v>
      </c>
      <c r="M1734">
        <v>8.5</v>
      </c>
      <c r="N1734">
        <v>2.1366808903172701E-2</v>
      </c>
      <c r="O1734">
        <v>5.2236622736867598E-2</v>
      </c>
    </row>
    <row r="1735" spans="1:15" x14ac:dyDescent="0.3">
      <c r="A1735">
        <v>7291</v>
      </c>
      <c r="B1735">
        <v>3635</v>
      </c>
      <c r="C1735">
        <v>335</v>
      </c>
      <c r="D1735" t="s">
        <v>19</v>
      </c>
      <c r="E1735" t="s">
        <v>20</v>
      </c>
      <c r="F1735" t="s">
        <v>21</v>
      </c>
      <c r="G1735" t="s">
        <v>18</v>
      </c>
      <c r="H1735">
        <v>278.5</v>
      </c>
      <c r="I1735">
        <v>240.5</v>
      </c>
      <c r="J1735">
        <v>94.4</v>
      </c>
      <c r="K1735">
        <v>69</v>
      </c>
      <c r="L1735">
        <v>25.8</v>
      </c>
      <c r="M1735">
        <v>8.5</v>
      </c>
      <c r="N1735">
        <v>2.4326404084514901E-2</v>
      </c>
      <c r="O1735">
        <v>4.9200962632788101E-2</v>
      </c>
    </row>
    <row r="1736" spans="1:15" x14ac:dyDescent="0.3">
      <c r="A1736">
        <v>7325</v>
      </c>
      <c r="B1736">
        <v>3645</v>
      </c>
      <c r="C1736">
        <v>440</v>
      </c>
      <c r="D1736" t="s">
        <v>15</v>
      </c>
      <c r="E1736" t="s">
        <v>16</v>
      </c>
      <c r="F1736" t="s">
        <v>21</v>
      </c>
      <c r="G1736" t="s">
        <v>22</v>
      </c>
      <c r="H1736">
        <v>276.89999999999998</v>
      </c>
      <c r="I1736">
        <v>254</v>
      </c>
      <c r="J1736">
        <v>95.2</v>
      </c>
      <c r="K1736">
        <v>65</v>
      </c>
      <c r="L1736">
        <v>29.8</v>
      </c>
      <c r="M1736">
        <v>10.5</v>
      </c>
      <c r="N1736">
        <v>1.94222147498045E-2</v>
      </c>
      <c r="O1736">
        <v>0.167854662425378</v>
      </c>
    </row>
    <row r="1737" spans="1:15" x14ac:dyDescent="0.3">
      <c r="A1737">
        <v>7326</v>
      </c>
      <c r="B1737">
        <v>3645</v>
      </c>
      <c r="C1737">
        <v>440</v>
      </c>
      <c r="D1737" t="s">
        <v>15</v>
      </c>
      <c r="E1737" t="s">
        <v>16</v>
      </c>
      <c r="F1737" t="s">
        <v>21</v>
      </c>
      <c r="G1737" t="s">
        <v>22</v>
      </c>
      <c r="H1737">
        <v>276.89999999999998</v>
      </c>
      <c r="I1737">
        <v>254</v>
      </c>
      <c r="J1737">
        <v>95.2</v>
      </c>
      <c r="K1737">
        <v>65</v>
      </c>
      <c r="L1737">
        <v>29.8</v>
      </c>
      <c r="M1737">
        <v>10.5</v>
      </c>
      <c r="N1737">
        <v>2.8360178895356001E-2</v>
      </c>
      <c r="O1737">
        <v>0.14783525168557801</v>
      </c>
    </row>
    <row r="1738" spans="1:15" x14ac:dyDescent="0.3">
      <c r="A1738">
        <v>7343</v>
      </c>
      <c r="B1738">
        <v>365</v>
      </c>
      <c r="C1738">
        <v>79</v>
      </c>
      <c r="D1738" t="s">
        <v>23</v>
      </c>
      <c r="E1738" t="s">
        <v>20</v>
      </c>
      <c r="F1738" t="s">
        <v>17</v>
      </c>
      <c r="G1738" t="s">
        <v>22</v>
      </c>
      <c r="H1738">
        <v>276.8</v>
      </c>
      <c r="I1738">
        <v>258.5</v>
      </c>
      <c r="J1738">
        <v>101.8</v>
      </c>
      <c r="K1738">
        <v>65</v>
      </c>
      <c r="L1738">
        <v>24.9</v>
      </c>
      <c r="M1738">
        <v>11.5</v>
      </c>
      <c r="N1738">
        <v>0.164797751721797</v>
      </c>
      <c r="O1738">
        <v>0.204273186640472</v>
      </c>
    </row>
    <row r="1739" spans="1:15" x14ac:dyDescent="0.3">
      <c r="A1739">
        <v>7344</v>
      </c>
      <c r="B1739">
        <v>365</v>
      </c>
      <c r="C1739">
        <v>79</v>
      </c>
      <c r="D1739" t="s">
        <v>23</v>
      </c>
      <c r="E1739" t="s">
        <v>20</v>
      </c>
      <c r="F1739" t="s">
        <v>17</v>
      </c>
      <c r="G1739" t="s">
        <v>22</v>
      </c>
      <c r="H1739">
        <v>276.8</v>
      </c>
      <c r="I1739">
        <v>258.5</v>
      </c>
      <c r="J1739">
        <v>101.8</v>
      </c>
      <c r="K1739">
        <v>65</v>
      </c>
      <c r="L1739">
        <v>24.9</v>
      </c>
      <c r="M1739">
        <v>11.5</v>
      </c>
      <c r="N1739">
        <v>0.14814858149201901</v>
      </c>
      <c r="O1739">
        <v>0.18969818243736</v>
      </c>
    </row>
    <row r="1740" spans="1:15" x14ac:dyDescent="0.3">
      <c r="A1740">
        <v>7345</v>
      </c>
      <c r="B1740">
        <v>365</v>
      </c>
      <c r="C1740">
        <v>79</v>
      </c>
      <c r="D1740" t="s">
        <v>23</v>
      </c>
      <c r="E1740" t="s">
        <v>20</v>
      </c>
      <c r="F1740" t="s">
        <v>17</v>
      </c>
      <c r="G1740" t="s">
        <v>22</v>
      </c>
      <c r="H1740">
        <v>276.8</v>
      </c>
      <c r="I1740">
        <v>258.5</v>
      </c>
      <c r="J1740">
        <v>101.8</v>
      </c>
      <c r="K1740">
        <v>65</v>
      </c>
      <c r="L1740">
        <v>24.9</v>
      </c>
      <c r="M1740">
        <v>11.5</v>
      </c>
      <c r="N1740">
        <v>0.167381396909936</v>
      </c>
      <c r="O1740">
        <v>0.20844346460938401</v>
      </c>
    </row>
    <row r="1741" spans="1:15" x14ac:dyDescent="0.3">
      <c r="A1741">
        <v>7348</v>
      </c>
      <c r="B1741">
        <v>3652</v>
      </c>
      <c r="C1741">
        <v>31</v>
      </c>
      <c r="D1741" t="s">
        <v>23</v>
      </c>
      <c r="E1741" t="s">
        <v>16</v>
      </c>
      <c r="F1741" t="s">
        <v>17</v>
      </c>
      <c r="G1741" t="s">
        <v>22</v>
      </c>
      <c r="H1741">
        <v>274</v>
      </c>
      <c r="I1741">
        <v>250</v>
      </c>
      <c r="J1741">
        <v>99.4</v>
      </c>
      <c r="K1741">
        <v>68.5</v>
      </c>
      <c r="L1741">
        <v>23.2</v>
      </c>
      <c r="M1741">
        <v>10</v>
      </c>
      <c r="N1741">
        <v>0.19179013269001</v>
      </c>
      <c r="O1741">
        <v>0.17185727740871201</v>
      </c>
    </row>
    <row r="1742" spans="1:15" x14ac:dyDescent="0.3">
      <c r="A1742">
        <v>7349</v>
      </c>
      <c r="B1742">
        <v>3652</v>
      </c>
      <c r="C1742">
        <v>31</v>
      </c>
      <c r="D1742" t="s">
        <v>23</v>
      </c>
      <c r="E1742" t="s">
        <v>16</v>
      </c>
      <c r="F1742" t="s">
        <v>17</v>
      </c>
      <c r="G1742" t="s">
        <v>22</v>
      </c>
      <c r="H1742">
        <v>274</v>
      </c>
      <c r="I1742">
        <v>250</v>
      </c>
      <c r="J1742">
        <v>99.4</v>
      </c>
      <c r="K1742">
        <v>68.5</v>
      </c>
      <c r="L1742">
        <v>23.2</v>
      </c>
      <c r="M1742">
        <v>10</v>
      </c>
      <c r="N1742">
        <v>0.19474861354246201</v>
      </c>
      <c r="O1742">
        <v>0.15785427111480399</v>
      </c>
    </row>
    <row r="1743" spans="1:15" x14ac:dyDescent="0.3">
      <c r="A1743">
        <v>7350</v>
      </c>
      <c r="B1743">
        <v>3652</v>
      </c>
      <c r="C1743">
        <v>31</v>
      </c>
      <c r="D1743" t="s">
        <v>23</v>
      </c>
      <c r="E1743" t="s">
        <v>16</v>
      </c>
      <c r="F1743" t="s">
        <v>17</v>
      </c>
      <c r="G1743" t="s">
        <v>22</v>
      </c>
      <c r="H1743">
        <v>274</v>
      </c>
      <c r="I1743">
        <v>250</v>
      </c>
      <c r="J1743">
        <v>99.4</v>
      </c>
      <c r="K1743">
        <v>68.5</v>
      </c>
      <c r="L1743">
        <v>23.2</v>
      </c>
      <c r="M1743">
        <v>10</v>
      </c>
      <c r="N1743">
        <v>0.187268225503363</v>
      </c>
      <c r="O1743">
        <v>0.14323831952612301</v>
      </c>
    </row>
    <row r="1744" spans="1:15" x14ac:dyDescent="0.3">
      <c r="A1744">
        <v>7367</v>
      </c>
      <c r="B1744">
        <v>3659</v>
      </c>
      <c r="C1744">
        <v>121</v>
      </c>
      <c r="D1744" t="s">
        <v>15</v>
      </c>
      <c r="E1744" t="s">
        <v>20</v>
      </c>
      <c r="F1744" t="s">
        <v>21</v>
      </c>
      <c r="G1744" t="s">
        <v>22</v>
      </c>
      <c r="H1744">
        <v>274.2</v>
      </c>
      <c r="I1744">
        <v>259</v>
      </c>
      <c r="J1744">
        <v>97.6</v>
      </c>
      <c r="K1744">
        <v>68</v>
      </c>
      <c r="L1744">
        <v>24.5</v>
      </c>
      <c r="M1744">
        <v>7</v>
      </c>
      <c r="N1744">
        <v>0.16459302127763401</v>
      </c>
      <c r="O1744">
        <v>6.5816203401446199E-2</v>
      </c>
    </row>
    <row r="1745" spans="1:15" x14ac:dyDescent="0.3">
      <c r="A1745">
        <v>7368</v>
      </c>
      <c r="B1745">
        <v>3659</v>
      </c>
      <c r="C1745">
        <v>121</v>
      </c>
      <c r="D1745" t="s">
        <v>15</v>
      </c>
      <c r="E1745" t="s">
        <v>20</v>
      </c>
      <c r="F1745" t="s">
        <v>21</v>
      </c>
      <c r="G1745" t="s">
        <v>22</v>
      </c>
      <c r="H1745">
        <v>274.2</v>
      </c>
      <c r="I1745">
        <v>259</v>
      </c>
      <c r="J1745">
        <v>97.6</v>
      </c>
      <c r="K1745">
        <v>68</v>
      </c>
      <c r="L1745">
        <v>24.5</v>
      </c>
      <c r="M1745">
        <v>7</v>
      </c>
      <c r="N1745">
        <v>0.15176598006886</v>
      </c>
      <c r="O1745">
        <v>5.31935252144633E-2</v>
      </c>
    </row>
    <row r="1746" spans="1:15" x14ac:dyDescent="0.3">
      <c r="A1746">
        <v>7369</v>
      </c>
      <c r="B1746">
        <v>3659</v>
      </c>
      <c r="C1746">
        <v>121</v>
      </c>
      <c r="D1746" t="s">
        <v>15</v>
      </c>
      <c r="E1746" t="s">
        <v>20</v>
      </c>
      <c r="F1746" t="s">
        <v>21</v>
      </c>
      <c r="G1746" t="s">
        <v>22</v>
      </c>
      <c r="H1746">
        <v>274.2</v>
      </c>
      <c r="I1746">
        <v>259</v>
      </c>
      <c r="J1746">
        <v>97.6</v>
      </c>
      <c r="K1746">
        <v>68</v>
      </c>
      <c r="L1746">
        <v>24.5</v>
      </c>
      <c r="M1746">
        <v>7</v>
      </c>
      <c r="N1746">
        <v>0.138680329907448</v>
      </c>
      <c r="O1746">
        <v>6.6767306020982894E-2</v>
      </c>
    </row>
    <row r="1747" spans="1:15" x14ac:dyDescent="0.3">
      <c r="A1747">
        <v>7373</v>
      </c>
      <c r="B1747">
        <v>3660</v>
      </c>
      <c r="C1747">
        <v>42</v>
      </c>
      <c r="D1747" t="s">
        <v>23</v>
      </c>
      <c r="E1747" t="s">
        <v>20</v>
      </c>
      <c r="F1747" t="s">
        <v>17</v>
      </c>
      <c r="G1747" t="s">
        <v>18</v>
      </c>
      <c r="H1747">
        <v>280.10000000000002</v>
      </c>
      <c r="I1747">
        <v>241.5</v>
      </c>
      <c r="J1747">
        <v>94.5</v>
      </c>
      <c r="K1747">
        <v>66</v>
      </c>
      <c r="L1747">
        <v>29.4</v>
      </c>
      <c r="M1747">
        <v>8.5</v>
      </c>
      <c r="N1747">
        <v>5.3641195546079601E-2</v>
      </c>
      <c r="O1747">
        <v>0.39157723787981602</v>
      </c>
    </row>
    <row r="1748" spans="1:15" x14ac:dyDescent="0.3">
      <c r="A1748">
        <v>7374</v>
      </c>
      <c r="B1748">
        <v>3661</v>
      </c>
      <c r="C1748">
        <v>345</v>
      </c>
      <c r="D1748" t="s">
        <v>19</v>
      </c>
      <c r="E1748" t="s">
        <v>20</v>
      </c>
      <c r="F1748" t="s">
        <v>17</v>
      </c>
      <c r="G1748" t="s">
        <v>24</v>
      </c>
      <c r="H1748">
        <v>277.60000000000002</v>
      </c>
      <c r="I1748">
        <v>252.5</v>
      </c>
      <c r="J1748">
        <v>98.4</v>
      </c>
      <c r="K1748">
        <v>67.5</v>
      </c>
      <c r="L1748">
        <v>25.8</v>
      </c>
      <c r="M1748">
        <v>13.5</v>
      </c>
      <c r="N1748">
        <v>0.13389440576912201</v>
      </c>
      <c r="O1748">
        <v>0.106992789512139</v>
      </c>
    </row>
    <row r="1749" spans="1:15" x14ac:dyDescent="0.3">
      <c r="A1749">
        <v>7378</v>
      </c>
      <c r="B1749">
        <v>3663</v>
      </c>
      <c r="C1749">
        <v>337</v>
      </c>
      <c r="D1749" t="s">
        <v>23</v>
      </c>
      <c r="E1749" t="s">
        <v>20</v>
      </c>
      <c r="F1749" t="s">
        <v>17</v>
      </c>
      <c r="G1749" t="s">
        <v>22</v>
      </c>
      <c r="H1749">
        <v>279.7</v>
      </c>
      <c r="I1749">
        <v>255</v>
      </c>
      <c r="J1749">
        <v>95.2</v>
      </c>
      <c r="K1749">
        <v>68</v>
      </c>
      <c r="L1749">
        <v>25.3</v>
      </c>
      <c r="M1749">
        <v>5.5</v>
      </c>
      <c r="N1749">
        <v>0.194172475819858</v>
      </c>
      <c r="O1749">
        <v>0.37018647438994401</v>
      </c>
    </row>
    <row r="1750" spans="1:15" x14ac:dyDescent="0.3">
      <c r="A1750">
        <v>7379</v>
      </c>
      <c r="B1750">
        <v>3663</v>
      </c>
      <c r="C1750">
        <v>337</v>
      </c>
      <c r="D1750" t="s">
        <v>23</v>
      </c>
      <c r="E1750" t="s">
        <v>20</v>
      </c>
      <c r="F1750" t="s">
        <v>17</v>
      </c>
      <c r="G1750" t="s">
        <v>22</v>
      </c>
      <c r="H1750">
        <v>279.7</v>
      </c>
      <c r="I1750">
        <v>255</v>
      </c>
      <c r="J1750">
        <v>95.2</v>
      </c>
      <c r="K1750">
        <v>68</v>
      </c>
      <c r="L1750">
        <v>25.3</v>
      </c>
      <c r="M1750">
        <v>5.5</v>
      </c>
      <c r="N1750">
        <v>0.203140213455135</v>
      </c>
      <c r="O1750">
        <v>0.35363844385437299</v>
      </c>
    </row>
    <row r="1751" spans="1:15" x14ac:dyDescent="0.3">
      <c r="A1751">
        <v>7380</v>
      </c>
      <c r="B1751">
        <v>3663</v>
      </c>
      <c r="C1751">
        <v>337</v>
      </c>
      <c r="D1751" t="s">
        <v>23</v>
      </c>
      <c r="E1751" t="s">
        <v>20</v>
      </c>
      <c r="F1751" t="s">
        <v>17</v>
      </c>
      <c r="G1751" t="s">
        <v>22</v>
      </c>
      <c r="H1751">
        <v>279.7</v>
      </c>
      <c r="I1751">
        <v>255</v>
      </c>
      <c r="J1751">
        <v>95.2</v>
      </c>
      <c r="K1751">
        <v>68</v>
      </c>
      <c r="L1751">
        <v>25.3</v>
      </c>
      <c r="M1751">
        <v>5.5</v>
      </c>
      <c r="N1751">
        <v>0.20752822340970201</v>
      </c>
      <c r="O1751">
        <v>0.37196263523888901</v>
      </c>
    </row>
    <row r="1752" spans="1:15" x14ac:dyDescent="0.3">
      <c r="A1752">
        <v>7391</v>
      </c>
      <c r="B1752">
        <v>3669</v>
      </c>
      <c r="C1752">
        <v>368</v>
      </c>
      <c r="D1752" t="s">
        <v>19</v>
      </c>
      <c r="E1752" t="s">
        <v>16</v>
      </c>
      <c r="F1752" t="s">
        <v>17</v>
      </c>
      <c r="G1752" t="s">
        <v>26</v>
      </c>
      <c r="H1752">
        <v>273.3</v>
      </c>
      <c r="I1752">
        <v>249</v>
      </c>
      <c r="J1752">
        <v>98.9</v>
      </c>
      <c r="K1752">
        <v>68.5</v>
      </c>
      <c r="L1752">
        <v>23.8</v>
      </c>
      <c r="M1752">
        <v>9</v>
      </c>
      <c r="N1752">
        <v>0.141002994649396</v>
      </c>
      <c r="O1752">
        <v>4.90729896205922E-2</v>
      </c>
    </row>
    <row r="1753" spans="1:15" x14ac:dyDescent="0.3">
      <c r="A1753">
        <v>7397</v>
      </c>
      <c r="B1753">
        <v>3670</v>
      </c>
      <c r="C1753">
        <v>247</v>
      </c>
      <c r="D1753" t="s">
        <v>15</v>
      </c>
      <c r="E1753" t="s">
        <v>20</v>
      </c>
      <c r="F1753" t="s">
        <v>21</v>
      </c>
      <c r="G1753" t="s">
        <v>22</v>
      </c>
      <c r="H1753">
        <v>275.3</v>
      </c>
      <c r="I1753">
        <v>259.5</v>
      </c>
      <c r="J1753">
        <v>96.7</v>
      </c>
      <c r="K1753">
        <v>69.5</v>
      </c>
      <c r="L1753">
        <v>26.1</v>
      </c>
      <c r="M1753">
        <v>10.5</v>
      </c>
      <c r="N1753">
        <v>3.4069918324638598E-2</v>
      </c>
      <c r="O1753">
        <v>0.157317147189901</v>
      </c>
    </row>
    <row r="1754" spans="1:15" x14ac:dyDescent="0.3">
      <c r="A1754">
        <v>7402</v>
      </c>
      <c r="B1754">
        <v>3672</v>
      </c>
      <c r="C1754">
        <v>42</v>
      </c>
      <c r="D1754" t="s">
        <v>23</v>
      </c>
      <c r="E1754" t="s">
        <v>20</v>
      </c>
      <c r="F1754" t="s">
        <v>17</v>
      </c>
      <c r="G1754" t="s">
        <v>22</v>
      </c>
      <c r="H1754">
        <v>280.10000000000002</v>
      </c>
      <c r="I1754">
        <v>241.5</v>
      </c>
      <c r="J1754">
        <v>94.5</v>
      </c>
      <c r="K1754">
        <v>66</v>
      </c>
      <c r="L1754">
        <v>29.4</v>
      </c>
      <c r="M1754">
        <v>8.5</v>
      </c>
      <c r="N1754">
        <v>6.1080580983708797E-2</v>
      </c>
      <c r="O1754">
        <v>0.379474267205196</v>
      </c>
    </row>
    <row r="1755" spans="1:15" x14ac:dyDescent="0.3">
      <c r="A1755">
        <v>7404</v>
      </c>
      <c r="B1755">
        <v>3672</v>
      </c>
      <c r="C1755">
        <v>42</v>
      </c>
      <c r="D1755" t="s">
        <v>23</v>
      </c>
      <c r="E1755" t="s">
        <v>20</v>
      </c>
      <c r="F1755" t="s">
        <v>17</v>
      </c>
      <c r="G1755" t="s">
        <v>22</v>
      </c>
      <c r="H1755">
        <v>280.10000000000002</v>
      </c>
      <c r="I1755">
        <v>241.5</v>
      </c>
      <c r="J1755">
        <v>94.5</v>
      </c>
      <c r="K1755">
        <v>66</v>
      </c>
      <c r="L1755">
        <v>29.4</v>
      </c>
      <c r="M1755">
        <v>8.5</v>
      </c>
      <c r="N1755">
        <v>4.6737922676400798E-2</v>
      </c>
      <c r="O1755">
        <v>0.37150719000377902</v>
      </c>
    </row>
    <row r="1756" spans="1:15" x14ac:dyDescent="0.3">
      <c r="A1756">
        <v>7420</v>
      </c>
      <c r="B1756">
        <v>3679</v>
      </c>
      <c r="C1756">
        <v>457</v>
      </c>
      <c r="D1756" t="s">
        <v>15</v>
      </c>
      <c r="E1756" t="s">
        <v>16</v>
      </c>
      <c r="F1756" t="s">
        <v>17</v>
      </c>
      <c r="G1756" t="s">
        <v>22</v>
      </c>
      <c r="H1756">
        <v>279.3</v>
      </c>
      <c r="I1756">
        <v>250</v>
      </c>
      <c r="J1756">
        <v>95</v>
      </c>
      <c r="K1756">
        <v>67</v>
      </c>
      <c r="L1756">
        <v>28.5</v>
      </c>
      <c r="M1756">
        <v>7.5</v>
      </c>
      <c r="N1756">
        <v>4.9937740873804697E-2</v>
      </c>
      <c r="O1756">
        <v>0.16881695367371699</v>
      </c>
    </row>
    <row r="1757" spans="1:15" x14ac:dyDescent="0.3">
      <c r="A1757">
        <v>7429</v>
      </c>
      <c r="B1757">
        <v>3682</v>
      </c>
      <c r="C1757">
        <v>454</v>
      </c>
      <c r="D1757" t="s">
        <v>23</v>
      </c>
      <c r="E1757" t="s">
        <v>16</v>
      </c>
      <c r="F1757" t="s">
        <v>21</v>
      </c>
      <c r="G1757" t="s">
        <v>18</v>
      </c>
      <c r="H1757">
        <v>272.8</v>
      </c>
      <c r="I1757">
        <v>242.5</v>
      </c>
      <c r="J1757">
        <v>92.2</v>
      </c>
      <c r="K1757">
        <v>67</v>
      </c>
      <c r="L1757">
        <v>26.4</v>
      </c>
      <c r="M1757">
        <v>6</v>
      </c>
      <c r="N1757">
        <v>0.19566550334132399</v>
      </c>
      <c r="O1757">
        <v>0.33360503709825101</v>
      </c>
    </row>
    <row r="1758" spans="1:15" x14ac:dyDescent="0.3">
      <c r="A1758">
        <v>7430</v>
      </c>
      <c r="B1758">
        <v>3684</v>
      </c>
      <c r="C1758">
        <v>341</v>
      </c>
      <c r="D1758" t="s">
        <v>19</v>
      </c>
      <c r="E1758" t="s">
        <v>20</v>
      </c>
      <c r="F1758" t="s">
        <v>17</v>
      </c>
      <c r="G1758" t="s">
        <v>24</v>
      </c>
      <c r="H1758">
        <v>273</v>
      </c>
      <c r="I1758">
        <v>246.5</v>
      </c>
      <c r="J1758">
        <v>95.4</v>
      </c>
      <c r="K1758">
        <v>66.5</v>
      </c>
      <c r="L1758">
        <v>26.4</v>
      </c>
      <c r="M1758">
        <v>11</v>
      </c>
      <c r="N1758">
        <v>0.29397325834093602</v>
      </c>
      <c r="O1758">
        <v>9.0139644635222699E-2</v>
      </c>
    </row>
    <row r="1759" spans="1:15" x14ac:dyDescent="0.3">
      <c r="A1759">
        <v>7431</v>
      </c>
      <c r="B1759">
        <v>3684</v>
      </c>
      <c r="C1759">
        <v>341</v>
      </c>
      <c r="D1759" t="s">
        <v>19</v>
      </c>
      <c r="E1759" t="s">
        <v>20</v>
      </c>
      <c r="F1759" t="s">
        <v>17</v>
      </c>
      <c r="G1759" t="s">
        <v>24</v>
      </c>
      <c r="H1759">
        <v>273</v>
      </c>
      <c r="I1759">
        <v>246.5</v>
      </c>
      <c r="J1759">
        <v>95.4</v>
      </c>
      <c r="K1759">
        <v>66.5</v>
      </c>
      <c r="L1759">
        <v>26.4</v>
      </c>
      <c r="M1759">
        <v>11</v>
      </c>
      <c r="N1759">
        <v>0.29282398402880699</v>
      </c>
      <c r="O1759">
        <v>9.0706232402512396E-2</v>
      </c>
    </row>
    <row r="1760" spans="1:15" x14ac:dyDescent="0.3">
      <c r="A1760">
        <v>7432</v>
      </c>
      <c r="B1760">
        <v>3685</v>
      </c>
      <c r="C1760">
        <v>497</v>
      </c>
      <c r="D1760" t="s">
        <v>23</v>
      </c>
      <c r="E1760" t="s">
        <v>20</v>
      </c>
      <c r="F1760" t="s">
        <v>21</v>
      </c>
      <c r="G1760" t="s">
        <v>24</v>
      </c>
      <c r="H1760">
        <v>269.7</v>
      </c>
      <c r="I1760">
        <v>245</v>
      </c>
      <c r="J1760">
        <v>94</v>
      </c>
      <c r="K1760">
        <v>67</v>
      </c>
      <c r="L1760">
        <v>24.2</v>
      </c>
      <c r="M1760">
        <v>9</v>
      </c>
      <c r="N1760">
        <v>0.21731606194112699</v>
      </c>
      <c r="O1760">
        <v>0.36959037303359299</v>
      </c>
    </row>
    <row r="1761" spans="1:15" x14ac:dyDescent="0.3">
      <c r="A1761">
        <v>7433</v>
      </c>
      <c r="B1761">
        <v>3685</v>
      </c>
      <c r="C1761">
        <v>497</v>
      </c>
      <c r="D1761" t="s">
        <v>23</v>
      </c>
      <c r="E1761" t="s">
        <v>20</v>
      </c>
      <c r="F1761" t="s">
        <v>21</v>
      </c>
      <c r="G1761" t="s">
        <v>24</v>
      </c>
      <c r="H1761">
        <v>269.7</v>
      </c>
      <c r="I1761">
        <v>245</v>
      </c>
      <c r="J1761">
        <v>94</v>
      </c>
      <c r="K1761">
        <v>67</v>
      </c>
      <c r="L1761">
        <v>24.2</v>
      </c>
      <c r="M1761">
        <v>9</v>
      </c>
      <c r="N1761">
        <v>0.23257479722864099</v>
      </c>
      <c r="O1761">
        <v>0.39767354448395698</v>
      </c>
    </row>
    <row r="1762" spans="1:15" x14ac:dyDescent="0.3">
      <c r="A1762">
        <v>7434</v>
      </c>
      <c r="B1762">
        <v>3685</v>
      </c>
      <c r="C1762">
        <v>497</v>
      </c>
      <c r="D1762" t="s">
        <v>23</v>
      </c>
      <c r="E1762" t="s">
        <v>20</v>
      </c>
      <c r="F1762" t="s">
        <v>21</v>
      </c>
      <c r="G1762" t="s">
        <v>24</v>
      </c>
      <c r="H1762">
        <v>269.7</v>
      </c>
      <c r="I1762">
        <v>245</v>
      </c>
      <c r="J1762">
        <v>94</v>
      </c>
      <c r="K1762">
        <v>67</v>
      </c>
      <c r="L1762">
        <v>24.2</v>
      </c>
      <c r="M1762">
        <v>9</v>
      </c>
      <c r="N1762">
        <v>0.20517186536077101</v>
      </c>
      <c r="O1762">
        <v>0.37360101951782299</v>
      </c>
    </row>
    <row r="1763" spans="1:15" x14ac:dyDescent="0.3">
      <c r="A1763">
        <v>7435</v>
      </c>
      <c r="B1763">
        <v>3685</v>
      </c>
      <c r="C1763">
        <v>497</v>
      </c>
      <c r="D1763" t="s">
        <v>23</v>
      </c>
      <c r="E1763" t="s">
        <v>20</v>
      </c>
      <c r="F1763" t="s">
        <v>21</v>
      </c>
      <c r="G1763" t="s">
        <v>24</v>
      </c>
      <c r="H1763">
        <v>269.7</v>
      </c>
      <c r="I1763">
        <v>245</v>
      </c>
      <c r="J1763">
        <v>94</v>
      </c>
      <c r="K1763">
        <v>67</v>
      </c>
      <c r="L1763">
        <v>24.2</v>
      </c>
      <c r="M1763">
        <v>9</v>
      </c>
      <c r="N1763">
        <v>0.215392542324535</v>
      </c>
      <c r="O1763">
        <v>0.37796818151279898</v>
      </c>
    </row>
    <row r="1764" spans="1:15" x14ac:dyDescent="0.3">
      <c r="A1764">
        <v>7444</v>
      </c>
      <c r="B1764">
        <v>3691</v>
      </c>
      <c r="C1764">
        <v>95</v>
      </c>
      <c r="D1764" t="s">
        <v>23</v>
      </c>
      <c r="E1764" t="s">
        <v>20</v>
      </c>
      <c r="F1764" t="s">
        <v>21</v>
      </c>
      <c r="G1764" t="s">
        <v>26</v>
      </c>
      <c r="H1764">
        <v>276.60000000000002</v>
      </c>
      <c r="I1764">
        <v>250.5</v>
      </c>
      <c r="J1764">
        <v>100</v>
      </c>
      <c r="K1764">
        <v>67</v>
      </c>
      <c r="L1764">
        <v>28.2</v>
      </c>
      <c r="M1764">
        <v>6.5</v>
      </c>
      <c r="N1764">
        <v>0.11357642726410901</v>
      </c>
      <c r="O1764">
        <v>0.345910172713564</v>
      </c>
    </row>
    <row r="1765" spans="1:15" x14ac:dyDescent="0.3">
      <c r="A1765">
        <v>7445</v>
      </c>
      <c r="B1765">
        <v>3691</v>
      </c>
      <c r="C1765">
        <v>95</v>
      </c>
      <c r="D1765" t="s">
        <v>23</v>
      </c>
      <c r="E1765" t="s">
        <v>20</v>
      </c>
      <c r="F1765" t="s">
        <v>21</v>
      </c>
      <c r="G1765" t="s">
        <v>26</v>
      </c>
      <c r="H1765">
        <v>276.60000000000002</v>
      </c>
      <c r="I1765">
        <v>250.5</v>
      </c>
      <c r="J1765">
        <v>100</v>
      </c>
      <c r="K1765">
        <v>67</v>
      </c>
      <c r="L1765">
        <v>28.2</v>
      </c>
      <c r="M1765">
        <v>6.5</v>
      </c>
      <c r="N1765">
        <v>0.11671994421790199</v>
      </c>
      <c r="O1765">
        <v>0.348637677685189</v>
      </c>
    </row>
    <row r="1766" spans="1:15" x14ac:dyDescent="0.3">
      <c r="A1766">
        <v>7446</v>
      </c>
      <c r="B1766">
        <v>3691</v>
      </c>
      <c r="C1766">
        <v>95</v>
      </c>
      <c r="D1766" t="s">
        <v>23</v>
      </c>
      <c r="E1766" t="s">
        <v>20</v>
      </c>
      <c r="F1766" t="s">
        <v>21</v>
      </c>
      <c r="G1766" t="s">
        <v>26</v>
      </c>
      <c r="H1766">
        <v>276.60000000000002</v>
      </c>
      <c r="I1766">
        <v>250.5</v>
      </c>
      <c r="J1766">
        <v>100</v>
      </c>
      <c r="K1766">
        <v>67</v>
      </c>
      <c r="L1766">
        <v>28.2</v>
      </c>
      <c r="M1766">
        <v>6.5</v>
      </c>
      <c r="N1766">
        <v>0.107910229558598</v>
      </c>
      <c r="O1766">
        <v>0.335603513352634</v>
      </c>
    </row>
    <row r="1767" spans="1:15" x14ac:dyDescent="0.3">
      <c r="A1767">
        <v>7449</v>
      </c>
      <c r="B1767">
        <v>3693</v>
      </c>
      <c r="C1767">
        <v>89</v>
      </c>
      <c r="D1767" t="s">
        <v>19</v>
      </c>
      <c r="E1767" t="s">
        <v>20</v>
      </c>
      <c r="F1767" t="s">
        <v>21</v>
      </c>
      <c r="G1767" t="s">
        <v>24</v>
      </c>
      <c r="H1767">
        <v>275.89999999999998</v>
      </c>
      <c r="I1767">
        <v>245.5</v>
      </c>
      <c r="J1767">
        <v>92.8</v>
      </c>
      <c r="K1767">
        <v>66.5</v>
      </c>
      <c r="L1767">
        <v>26.7</v>
      </c>
      <c r="M1767">
        <v>12.5</v>
      </c>
      <c r="N1767">
        <v>7.8058369184921803E-2</v>
      </c>
      <c r="O1767">
        <v>0.11583198981789</v>
      </c>
    </row>
    <row r="1768" spans="1:15" x14ac:dyDescent="0.3">
      <c r="A1768">
        <v>7450</v>
      </c>
      <c r="B1768">
        <v>3693</v>
      </c>
      <c r="C1768">
        <v>89</v>
      </c>
      <c r="D1768" t="s">
        <v>19</v>
      </c>
      <c r="E1768" t="s">
        <v>20</v>
      </c>
      <c r="F1768" t="s">
        <v>21</v>
      </c>
      <c r="G1768" t="s">
        <v>24</v>
      </c>
      <c r="H1768">
        <v>275.89999999999998</v>
      </c>
      <c r="I1768">
        <v>245.5</v>
      </c>
      <c r="J1768">
        <v>92.8</v>
      </c>
      <c r="K1768">
        <v>66.5</v>
      </c>
      <c r="L1768">
        <v>26.7</v>
      </c>
      <c r="M1768">
        <v>12.5</v>
      </c>
      <c r="N1768">
        <v>8.3498217189781995E-2</v>
      </c>
      <c r="O1768">
        <v>0.104065600693445</v>
      </c>
    </row>
    <row r="1769" spans="1:15" x14ac:dyDescent="0.3">
      <c r="A1769">
        <v>7459</v>
      </c>
      <c r="B1769">
        <v>370</v>
      </c>
      <c r="C1769">
        <v>350</v>
      </c>
      <c r="D1769" t="s">
        <v>23</v>
      </c>
      <c r="E1769" t="s">
        <v>16</v>
      </c>
      <c r="F1769" t="s">
        <v>21</v>
      </c>
      <c r="G1769" t="s">
        <v>24</v>
      </c>
      <c r="H1769">
        <v>271.60000000000002</v>
      </c>
      <c r="I1769">
        <v>240.5</v>
      </c>
      <c r="J1769">
        <v>93.3</v>
      </c>
      <c r="K1769">
        <v>65</v>
      </c>
      <c r="L1769">
        <v>23.4</v>
      </c>
      <c r="M1769">
        <v>7.5</v>
      </c>
      <c r="N1769">
        <v>0.26743407710193201</v>
      </c>
      <c r="O1769">
        <v>0.39693460504820199</v>
      </c>
    </row>
    <row r="1770" spans="1:15" x14ac:dyDescent="0.3">
      <c r="A1770">
        <v>7460</v>
      </c>
      <c r="B1770">
        <v>3700</v>
      </c>
      <c r="C1770">
        <v>269</v>
      </c>
      <c r="D1770" t="s">
        <v>19</v>
      </c>
      <c r="E1770" t="s">
        <v>20</v>
      </c>
      <c r="F1770" t="s">
        <v>21</v>
      </c>
      <c r="G1770" t="s">
        <v>22</v>
      </c>
      <c r="H1770">
        <v>273.8</v>
      </c>
      <c r="I1770">
        <v>243</v>
      </c>
      <c r="J1770">
        <v>91.5</v>
      </c>
      <c r="K1770">
        <v>66</v>
      </c>
      <c r="L1770">
        <v>24.8</v>
      </c>
      <c r="M1770">
        <v>8.5</v>
      </c>
      <c r="N1770">
        <v>9.6540242951452804E-2</v>
      </c>
      <c r="O1770">
        <v>0.14665988078888001</v>
      </c>
    </row>
    <row r="1771" spans="1:15" x14ac:dyDescent="0.3">
      <c r="A1771">
        <v>7461</v>
      </c>
      <c r="B1771">
        <v>3700</v>
      </c>
      <c r="C1771">
        <v>269</v>
      </c>
      <c r="D1771" t="s">
        <v>19</v>
      </c>
      <c r="E1771" t="s">
        <v>20</v>
      </c>
      <c r="F1771" t="s">
        <v>21</v>
      </c>
      <c r="G1771" t="s">
        <v>22</v>
      </c>
      <c r="H1771">
        <v>273.8</v>
      </c>
      <c r="I1771">
        <v>243</v>
      </c>
      <c r="J1771">
        <v>91.5</v>
      </c>
      <c r="K1771">
        <v>66</v>
      </c>
      <c r="L1771">
        <v>24.8</v>
      </c>
      <c r="M1771">
        <v>8.5</v>
      </c>
      <c r="N1771">
        <v>0.100789294961473</v>
      </c>
      <c r="O1771">
        <v>0.11265727239175299</v>
      </c>
    </row>
    <row r="1772" spans="1:15" x14ac:dyDescent="0.3">
      <c r="A1772">
        <v>7462</v>
      </c>
      <c r="B1772">
        <v>3700</v>
      </c>
      <c r="C1772">
        <v>269</v>
      </c>
      <c r="D1772" t="s">
        <v>19</v>
      </c>
      <c r="E1772" t="s">
        <v>20</v>
      </c>
      <c r="F1772" t="s">
        <v>21</v>
      </c>
      <c r="G1772" t="s">
        <v>22</v>
      </c>
      <c r="H1772">
        <v>273.8</v>
      </c>
      <c r="I1772">
        <v>243</v>
      </c>
      <c r="J1772">
        <v>91.5</v>
      </c>
      <c r="K1772">
        <v>66</v>
      </c>
      <c r="L1772">
        <v>24.8</v>
      </c>
      <c r="M1772">
        <v>8.5</v>
      </c>
      <c r="N1772">
        <v>9.2236360608525705E-2</v>
      </c>
      <c r="O1772">
        <v>0.142454929416096</v>
      </c>
    </row>
    <row r="1773" spans="1:15" x14ac:dyDescent="0.3">
      <c r="A1773">
        <v>7468</v>
      </c>
      <c r="B1773">
        <v>3703</v>
      </c>
      <c r="C1773">
        <v>246</v>
      </c>
      <c r="D1773" t="s">
        <v>23</v>
      </c>
      <c r="E1773" t="s">
        <v>16</v>
      </c>
      <c r="F1773" t="s">
        <v>17</v>
      </c>
      <c r="G1773" t="s">
        <v>25</v>
      </c>
      <c r="H1773">
        <v>278.2</v>
      </c>
      <c r="I1773">
        <v>257</v>
      </c>
      <c r="J1773">
        <v>97.9</v>
      </c>
      <c r="K1773">
        <v>67</v>
      </c>
      <c r="L1773">
        <v>24.3</v>
      </c>
      <c r="M1773">
        <v>12.5</v>
      </c>
      <c r="N1773">
        <v>0.15769702639647101</v>
      </c>
      <c r="O1773">
        <v>0.39636389794281801</v>
      </c>
    </row>
    <row r="1774" spans="1:15" x14ac:dyDescent="0.3">
      <c r="A1774">
        <v>7469</v>
      </c>
      <c r="B1774">
        <v>3703</v>
      </c>
      <c r="C1774">
        <v>246</v>
      </c>
      <c r="D1774" t="s">
        <v>23</v>
      </c>
      <c r="E1774" t="s">
        <v>16</v>
      </c>
      <c r="F1774" t="s">
        <v>17</v>
      </c>
      <c r="G1774" t="s">
        <v>25</v>
      </c>
      <c r="H1774">
        <v>278.2</v>
      </c>
      <c r="I1774">
        <v>257</v>
      </c>
      <c r="J1774">
        <v>97.9</v>
      </c>
      <c r="K1774">
        <v>67</v>
      </c>
      <c r="L1774">
        <v>24.3</v>
      </c>
      <c r="M1774">
        <v>12.5</v>
      </c>
      <c r="N1774">
        <v>0.161350811484295</v>
      </c>
      <c r="O1774">
        <v>0.39908491156055298</v>
      </c>
    </row>
    <row r="1775" spans="1:15" x14ac:dyDescent="0.3">
      <c r="A1775">
        <v>7470</v>
      </c>
      <c r="B1775">
        <v>3704</v>
      </c>
      <c r="C1775">
        <v>303</v>
      </c>
      <c r="D1775" t="s">
        <v>19</v>
      </c>
      <c r="E1775" t="s">
        <v>20</v>
      </c>
      <c r="F1775" t="s">
        <v>21</v>
      </c>
      <c r="G1775" t="s">
        <v>25</v>
      </c>
      <c r="H1775">
        <v>277.60000000000002</v>
      </c>
      <c r="I1775">
        <v>254.5</v>
      </c>
      <c r="J1775">
        <v>94.7</v>
      </c>
      <c r="K1775">
        <v>67</v>
      </c>
      <c r="L1775">
        <v>27.3</v>
      </c>
      <c r="M1775">
        <v>14</v>
      </c>
      <c r="N1775">
        <v>7.1144405517023904E-2</v>
      </c>
      <c r="O1775">
        <v>0.14975976523203</v>
      </c>
    </row>
    <row r="1776" spans="1:15" x14ac:dyDescent="0.3">
      <c r="A1776">
        <v>7477</v>
      </c>
      <c r="B1776">
        <v>3706</v>
      </c>
      <c r="C1776">
        <v>462</v>
      </c>
      <c r="D1776" t="s">
        <v>15</v>
      </c>
      <c r="E1776" t="s">
        <v>16</v>
      </c>
      <c r="F1776" t="s">
        <v>21</v>
      </c>
      <c r="G1776" t="s">
        <v>18</v>
      </c>
      <c r="H1776">
        <v>278.10000000000002</v>
      </c>
      <c r="I1776">
        <v>240.5</v>
      </c>
      <c r="J1776">
        <v>94.2</v>
      </c>
      <c r="K1776">
        <v>66</v>
      </c>
      <c r="L1776">
        <v>26.1</v>
      </c>
      <c r="M1776">
        <v>6.5</v>
      </c>
      <c r="N1776">
        <v>0.27020456364753398</v>
      </c>
      <c r="O1776">
        <v>3.9302379247658698E-2</v>
      </c>
    </row>
    <row r="1777" spans="1:15" x14ac:dyDescent="0.3">
      <c r="A1777">
        <v>7479</v>
      </c>
      <c r="B1777">
        <v>3706</v>
      </c>
      <c r="C1777">
        <v>462</v>
      </c>
      <c r="D1777" t="s">
        <v>15</v>
      </c>
      <c r="E1777" t="s">
        <v>16</v>
      </c>
      <c r="F1777" t="s">
        <v>21</v>
      </c>
      <c r="G1777" t="s">
        <v>18</v>
      </c>
      <c r="H1777">
        <v>278.10000000000002</v>
      </c>
      <c r="I1777">
        <v>240.5</v>
      </c>
      <c r="J1777">
        <v>94.2</v>
      </c>
      <c r="K1777">
        <v>66</v>
      </c>
      <c r="L1777">
        <v>26.1</v>
      </c>
      <c r="M1777">
        <v>6.5</v>
      </c>
      <c r="N1777">
        <v>0.26287927436507402</v>
      </c>
      <c r="O1777">
        <v>1.3224360362096E-2</v>
      </c>
    </row>
    <row r="1778" spans="1:15" x14ac:dyDescent="0.3">
      <c r="A1778">
        <v>7494</v>
      </c>
      <c r="B1778">
        <v>3711</v>
      </c>
      <c r="C1778">
        <v>337</v>
      </c>
      <c r="D1778" t="s">
        <v>23</v>
      </c>
      <c r="E1778" t="s">
        <v>20</v>
      </c>
      <c r="F1778" t="s">
        <v>17</v>
      </c>
      <c r="G1778" t="s">
        <v>24</v>
      </c>
      <c r="H1778">
        <v>279.7</v>
      </c>
      <c r="I1778">
        <v>255</v>
      </c>
      <c r="J1778">
        <v>95.2</v>
      </c>
      <c r="K1778">
        <v>68</v>
      </c>
      <c r="L1778">
        <v>25.3</v>
      </c>
      <c r="M1778">
        <v>5.5</v>
      </c>
      <c r="N1778">
        <v>0.19045870137263299</v>
      </c>
      <c r="O1778">
        <v>0.34931899080385898</v>
      </c>
    </row>
    <row r="1779" spans="1:15" x14ac:dyDescent="0.3">
      <c r="A1779">
        <v>7495</v>
      </c>
      <c r="B1779">
        <v>3711</v>
      </c>
      <c r="C1779">
        <v>337</v>
      </c>
      <c r="D1779" t="s">
        <v>23</v>
      </c>
      <c r="E1779" t="s">
        <v>20</v>
      </c>
      <c r="F1779" t="s">
        <v>17</v>
      </c>
      <c r="G1779" t="s">
        <v>24</v>
      </c>
      <c r="H1779">
        <v>279.7</v>
      </c>
      <c r="I1779">
        <v>255</v>
      </c>
      <c r="J1779">
        <v>95.2</v>
      </c>
      <c r="K1779">
        <v>68</v>
      </c>
      <c r="L1779">
        <v>25.3</v>
      </c>
      <c r="M1779">
        <v>5.5</v>
      </c>
      <c r="N1779">
        <v>0.19835814137678801</v>
      </c>
      <c r="O1779">
        <v>0.37394318274310501</v>
      </c>
    </row>
    <row r="1780" spans="1:15" x14ac:dyDescent="0.3">
      <c r="A1780">
        <v>7496</v>
      </c>
      <c r="B1780">
        <v>3711</v>
      </c>
      <c r="C1780">
        <v>337</v>
      </c>
      <c r="D1780" t="s">
        <v>23</v>
      </c>
      <c r="E1780" t="s">
        <v>20</v>
      </c>
      <c r="F1780" t="s">
        <v>17</v>
      </c>
      <c r="G1780" t="s">
        <v>24</v>
      </c>
      <c r="H1780">
        <v>279.7</v>
      </c>
      <c r="I1780">
        <v>255</v>
      </c>
      <c r="J1780">
        <v>95.2</v>
      </c>
      <c r="K1780">
        <v>68</v>
      </c>
      <c r="L1780">
        <v>25.3</v>
      </c>
      <c r="M1780">
        <v>5.5</v>
      </c>
      <c r="N1780">
        <v>0.22535287371482601</v>
      </c>
      <c r="O1780">
        <v>0.37577972926232001</v>
      </c>
    </row>
    <row r="1781" spans="1:15" x14ac:dyDescent="0.3">
      <c r="A1781">
        <v>7506</v>
      </c>
      <c r="B1781">
        <v>3717</v>
      </c>
      <c r="C1781">
        <v>176</v>
      </c>
      <c r="D1781" t="s">
        <v>23</v>
      </c>
      <c r="E1781" t="s">
        <v>20</v>
      </c>
      <c r="F1781" t="s">
        <v>17</v>
      </c>
      <c r="G1781" t="s">
        <v>26</v>
      </c>
      <c r="H1781">
        <v>274.5</v>
      </c>
      <c r="I1781">
        <v>261.5</v>
      </c>
      <c r="J1781">
        <v>100.7</v>
      </c>
      <c r="K1781">
        <v>67</v>
      </c>
      <c r="L1781">
        <v>26.6</v>
      </c>
      <c r="M1781">
        <v>10</v>
      </c>
      <c r="N1781">
        <v>0.113506027798501</v>
      </c>
      <c r="O1781">
        <v>0.383663377047821</v>
      </c>
    </row>
    <row r="1782" spans="1:15" x14ac:dyDescent="0.3">
      <c r="A1782">
        <v>7507</v>
      </c>
      <c r="B1782">
        <v>3717</v>
      </c>
      <c r="C1782">
        <v>176</v>
      </c>
      <c r="D1782" t="s">
        <v>23</v>
      </c>
      <c r="E1782" t="s">
        <v>20</v>
      </c>
      <c r="F1782" t="s">
        <v>17</v>
      </c>
      <c r="G1782" t="s">
        <v>26</v>
      </c>
      <c r="H1782">
        <v>274.5</v>
      </c>
      <c r="I1782">
        <v>261.5</v>
      </c>
      <c r="J1782">
        <v>100.7</v>
      </c>
      <c r="K1782">
        <v>67</v>
      </c>
      <c r="L1782">
        <v>26.6</v>
      </c>
      <c r="M1782">
        <v>10</v>
      </c>
      <c r="N1782">
        <v>0.13637489698432301</v>
      </c>
      <c r="O1782">
        <v>0.42066600443256602</v>
      </c>
    </row>
    <row r="1783" spans="1:15" x14ac:dyDescent="0.3">
      <c r="A1783">
        <v>7508</v>
      </c>
      <c r="B1783">
        <v>3717</v>
      </c>
      <c r="C1783">
        <v>176</v>
      </c>
      <c r="D1783" t="s">
        <v>23</v>
      </c>
      <c r="E1783" t="s">
        <v>20</v>
      </c>
      <c r="F1783" t="s">
        <v>17</v>
      </c>
      <c r="G1783" t="s">
        <v>26</v>
      </c>
      <c r="H1783">
        <v>274.5</v>
      </c>
      <c r="I1783">
        <v>261.5</v>
      </c>
      <c r="J1783">
        <v>100.7</v>
      </c>
      <c r="K1783">
        <v>67</v>
      </c>
      <c r="L1783">
        <v>26.6</v>
      </c>
      <c r="M1783">
        <v>10</v>
      </c>
      <c r="N1783">
        <v>0.14234920789029401</v>
      </c>
      <c r="O1783">
        <v>0.41092986323407299</v>
      </c>
    </row>
    <row r="1784" spans="1:15" x14ac:dyDescent="0.3">
      <c r="A1784">
        <v>7509</v>
      </c>
      <c r="B1784">
        <v>3717</v>
      </c>
      <c r="C1784">
        <v>176</v>
      </c>
      <c r="D1784" t="s">
        <v>23</v>
      </c>
      <c r="E1784" t="s">
        <v>20</v>
      </c>
      <c r="F1784" t="s">
        <v>17</v>
      </c>
      <c r="G1784" t="s">
        <v>26</v>
      </c>
      <c r="H1784">
        <v>274.5</v>
      </c>
      <c r="I1784">
        <v>261.5</v>
      </c>
      <c r="J1784">
        <v>100.7</v>
      </c>
      <c r="K1784">
        <v>67</v>
      </c>
      <c r="L1784">
        <v>26.6</v>
      </c>
      <c r="M1784">
        <v>10</v>
      </c>
      <c r="N1784">
        <v>0.120656926754863</v>
      </c>
      <c r="O1784">
        <v>0.39212973607453999</v>
      </c>
    </row>
    <row r="1785" spans="1:15" x14ac:dyDescent="0.3">
      <c r="A1785">
        <v>7519</v>
      </c>
      <c r="B1785">
        <v>3720</v>
      </c>
      <c r="C1785">
        <v>66</v>
      </c>
      <c r="D1785" t="s">
        <v>23</v>
      </c>
      <c r="E1785" t="s">
        <v>20</v>
      </c>
      <c r="F1785" t="s">
        <v>21</v>
      </c>
      <c r="G1785" t="s">
        <v>22</v>
      </c>
      <c r="H1785">
        <v>276.2</v>
      </c>
      <c r="I1785">
        <v>258</v>
      </c>
      <c r="J1785">
        <v>95.8</v>
      </c>
      <c r="K1785">
        <v>63.5</v>
      </c>
      <c r="L1785">
        <v>26.4</v>
      </c>
      <c r="M1785">
        <v>7</v>
      </c>
      <c r="N1785">
        <v>0.16030945883897599</v>
      </c>
      <c r="O1785">
        <v>0.26345507627845699</v>
      </c>
    </row>
    <row r="1786" spans="1:15" x14ac:dyDescent="0.3">
      <c r="A1786">
        <v>7520</v>
      </c>
      <c r="B1786">
        <v>3721</v>
      </c>
      <c r="C1786">
        <v>251</v>
      </c>
      <c r="D1786" t="s">
        <v>23</v>
      </c>
      <c r="E1786" t="s">
        <v>20</v>
      </c>
      <c r="F1786" t="s">
        <v>17</v>
      </c>
      <c r="G1786" t="s">
        <v>24</v>
      </c>
      <c r="H1786">
        <v>277.2</v>
      </c>
      <c r="I1786">
        <v>261</v>
      </c>
      <c r="J1786">
        <v>99.3</v>
      </c>
      <c r="K1786">
        <v>69.5</v>
      </c>
      <c r="L1786">
        <v>23.6</v>
      </c>
      <c r="M1786">
        <v>13</v>
      </c>
      <c r="N1786">
        <v>0.171210069019581</v>
      </c>
      <c r="O1786">
        <v>0.46695696008332399</v>
      </c>
    </row>
    <row r="1787" spans="1:15" x14ac:dyDescent="0.3">
      <c r="A1787">
        <v>7521</v>
      </c>
      <c r="B1787">
        <v>3721</v>
      </c>
      <c r="C1787">
        <v>251</v>
      </c>
      <c r="D1787" t="s">
        <v>23</v>
      </c>
      <c r="E1787" t="s">
        <v>20</v>
      </c>
      <c r="F1787" t="s">
        <v>17</v>
      </c>
      <c r="G1787" t="s">
        <v>24</v>
      </c>
      <c r="H1787">
        <v>277.2</v>
      </c>
      <c r="I1787">
        <v>261</v>
      </c>
      <c r="J1787">
        <v>99.3</v>
      </c>
      <c r="K1787">
        <v>69.5</v>
      </c>
      <c r="L1787">
        <v>23.6</v>
      </c>
      <c r="M1787">
        <v>13</v>
      </c>
      <c r="N1787">
        <v>0.20249319405816499</v>
      </c>
      <c r="O1787">
        <v>0.48786374095375901</v>
      </c>
    </row>
    <row r="1788" spans="1:15" x14ac:dyDescent="0.3">
      <c r="A1788">
        <v>7539</v>
      </c>
      <c r="B1788">
        <v>3728</v>
      </c>
      <c r="C1788">
        <v>203</v>
      </c>
      <c r="D1788" t="s">
        <v>19</v>
      </c>
      <c r="E1788" t="s">
        <v>20</v>
      </c>
      <c r="F1788" t="s">
        <v>17</v>
      </c>
      <c r="G1788" t="s">
        <v>22</v>
      </c>
      <c r="H1788">
        <v>277.60000000000002</v>
      </c>
      <c r="I1788">
        <v>247.5</v>
      </c>
      <c r="J1788">
        <v>94</v>
      </c>
      <c r="K1788">
        <v>65</v>
      </c>
      <c r="L1788">
        <v>24.9</v>
      </c>
      <c r="M1788">
        <v>9.5</v>
      </c>
      <c r="N1788">
        <v>0.25038555924051797</v>
      </c>
      <c r="O1788">
        <v>5.3053955804101799E-2</v>
      </c>
    </row>
    <row r="1789" spans="1:15" x14ac:dyDescent="0.3">
      <c r="A1789">
        <v>7540</v>
      </c>
      <c r="B1789">
        <v>3728</v>
      </c>
      <c r="C1789">
        <v>203</v>
      </c>
      <c r="D1789" t="s">
        <v>19</v>
      </c>
      <c r="E1789" t="s">
        <v>20</v>
      </c>
      <c r="F1789" t="s">
        <v>17</v>
      </c>
      <c r="G1789" t="s">
        <v>22</v>
      </c>
      <c r="H1789">
        <v>277.60000000000002</v>
      </c>
      <c r="I1789">
        <v>247.5</v>
      </c>
      <c r="J1789">
        <v>94</v>
      </c>
      <c r="K1789">
        <v>65</v>
      </c>
      <c r="L1789">
        <v>24.9</v>
      </c>
      <c r="M1789">
        <v>9.5</v>
      </c>
      <c r="N1789">
        <v>0.279904989301551</v>
      </c>
      <c r="O1789">
        <v>4.7039926441727102E-2</v>
      </c>
    </row>
    <row r="1790" spans="1:15" x14ac:dyDescent="0.3">
      <c r="A1790">
        <v>7541</v>
      </c>
      <c r="B1790">
        <v>3728</v>
      </c>
      <c r="C1790">
        <v>203</v>
      </c>
      <c r="D1790" t="s">
        <v>19</v>
      </c>
      <c r="E1790" t="s">
        <v>20</v>
      </c>
      <c r="F1790" t="s">
        <v>17</v>
      </c>
      <c r="G1790" t="s">
        <v>22</v>
      </c>
      <c r="H1790">
        <v>277.60000000000002</v>
      </c>
      <c r="I1790">
        <v>247.5</v>
      </c>
      <c r="J1790">
        <v>94</v>
      </c>
      <c r="K1790">
        <v>65</v>
      </c>
      <c r="L1790">
        <v>24.9</v>
      </c>
      <c r="M1790">
        <v>9.5</v>
      </c>
      <c r="N1790">
        <v>0.26850192770889603</v>
      </c>
      <c r="O1790">
        <v>5.5266017911985398E-2</v>
      </c>
    </row>
    <row r="1791" spans="1:15" x14ac:dyDescent="0.3">
      <c r="A1791">
        <v>7542</v>
      </c>
      <c r="B1791">
        <v>3728</v>
      </c>
      <c r="C1791">
        <v>203</v>
      </c>
      <c r="D1791" t="s">
        <v>19</v>
      </c>
      <c r="E1791" t="s">
        <v>20</v>
      </c>
      <c r="F1791" t="s">
        <v>17</v>
      </c>
      <c r="G1791" t="s">
        <v>22</v>
      </c>
      <c r="H1791">
        <v>277.60000000000002</v>
      </c>
      <c r="I1791">
        <v>247.5</v>
      </c>
      <c r="J1791">
        <v>94</v>
      </c>
      <c r="K1791">
        <v>65</v>
      </c>
      <c r="L1791">
        <v>24.9</v>
      </c>
      <c r="M1791">
        <v>9.5</v>
      </c>
      <c r="N1791">
        <v>0.27751688241599498</v>
      </c>
      <c r="O1791">
        <v>4.1424559064465703E-2</v>
      </c>
    </row>
    <row r="1792" spans="1:15" x14ac:dyDescent="0.3">
      <c r="A1792">
        <v>7585</v>
      </c>
      <c r="B1792">
        <v>3740</v>
      </c>
      <c r="C1792">
        <v>26</v>
      </c>
      <c r="D1792" t="s">
        <v>23</v>
      </c>
      <c r="E1792" t="s">
        <v>20</v>
      </c>
      <c r="F1792" t="s">
        <v>21</v>
      </c>
      <c r="G1792" t="s">
        <v>24</v>
      </c>
      <c r="H1792">
        <v>270.5</v>
      </c>
      <c r="I1792">
        <v>243.5</v>
      </c>
      <c r="J1792">
        <v>95.9</v>
      </c>
      <c r="K1792">
        <v>66</v>
      </c>
      <c r="L1792">
        <v>26.9</v>
      </c>
      <c r="M1792">
        <v>6</v>
      </c>
      <c r="N1792">
        <v>0.18072804642200199</v>
      </c>
      <c r="O1792">
        <v>0.39630252404641902</v>
      </c>
    </row>
    <row r="1793" spans="1:15" x14ac:dyDescent="0.3">
      <c r="A1793">
        <v>7588</v>
      </c>
      <c r="B1793">
        <v>3744</v>
      </c>
      <c r="C1793">
        <v>20</v>
      </c>
      <c r="D1793" t="s">
        <v>23</v>
      </c>
      <c r="E1793" t="s">
        <v>16</v>
      </c>
      <c r="F1793" t="s">
        <v>17</v>
      </c>
      <c r="G1793" t="s">
        <v>22</v>
      </c>
      <c r="H1793">
        <v>282.7</v>
      </c>
      <c r="I1793">
        <v>260</v>
      </c>
      <c r="J1793">
        <v>103.8</v>
      </c>
      <c r="K1793">
        <v>68</v>
      </c>
      <c r="L1793">
        <v>26.4</v>
      </c>
      <c r="M1793">
        <v>11.5</v>
      </c>
      <c r="N1793">
        <v>9.3786454594206703E-2</v>
      </c>
      <c r="O1793">
        <v>0.25918364642796299</v>
      </c>
    </row>
    <row r="1794" spans="1:15" x14ac:dyDescent="0.3">
      <c r="A1794">
        <v>7589</v>
      </c>
      <c r="B1794">
        <v>3744</v>
      </c>
      <c r="C1794">
        <v>20</v>
      </c>
      <c r="D1794" t="s">
        <v>23</v>
      </c>
      <c r="E1794" t="s">
        <v>16</v>
      </c>
      <c r="F1794" t="s">
        <v>17</v>
      </c>
      <c r="G1794" t="s">
        <v>22</v>
      </c>
      <c r="H1794">
        <v>282.7</v>
      </c>
      <c r="I1794">
        <v>260</v>
      </c>
      <c r="J1794">
        <v>103.8</v>
      </c>
      <c r="K1794">
        <v>68</v>
      </c>
      <c r="L1794">
        <v>26.4</v>
      </c>
      <c r="M1794">
        <v>11.5</v>
      </c>
      <c r="N1794">
        <v>5.9083510971616203E-2</v>
      </c>
      <c r="O1794">
        <v>0.25562046687805201</v>
      </c>
    </row>
    <row r="1795" spans="1:15" x14ac:dyDescent="0.3">
      <c r="A1795">
        <v>7590</v>
      </c>
      <c r="B1795">
        <v>3744</v>
      </c>
      <c r="C1795">
        <v>20</v>
      </c>
      <c r="D1795" t="s">
        <v>23</v>
      </c>
      <c r="E1795" t="s">
        <v>16</v>
      </c>
      <c r="F1795" t="s">
        <v>17</v>
      </c>
      <c r="G1795" t="s">
        <v>22</v>
      </c>
      <c r="H1795">
        <v>282.7</v>
      </c>
      <c r="I1795">
        <v>260</v>
      </c>
      <c r="J1795">
        <v>103.8</v>
      </c>
      <c r="K1795">
        <v>68</v>
      </c>
      <c r="L1795">
        <v>26.4</v>
      </c>
      <c r="M1795">
        <v>11.5</v>
      </c>
      <c r="N1795">
        <v>6.43725102469625E-2</v>
      </c>
      <c r="O1795">
        <v>0.25700116888705599</v>
      </c>
    </row>
    <row r="1796" spans="1:15" x14ac:dyDescent="0.3">
      <c r="A1796">
        <v>7591</v>
      </c>
      <c r="B1796">
        <v>3744</v>
      </c>
      <c r="C1796">
        <v>20</v>
      </c>
      <c r="D1796" t="s">
        <v>23</v>
      </c>
      <c r="E1796" t="s">
        <v>16</v>
      </c>
      <c r="F1796" t="s">
        <v>17</v>
      </c>
      <c r="G1796" t="s">
        <v>22</v>
      </c>
      <c r="H1796">
        <v>282.7</v>
      </c>
      <c r="I1796">
        <v>260</v>
      </c>
      <c r="J1796">
        <v>103.8</v>
      </c>
      <c r="K1796">
        <v>68</v>
      </c>
      <c r="L1796">
        <v>26.4</v>
      </c>
      <c r="M1796">
        <v>11.5</v>
      </c>
      <c r="N1796">
        <v>7.3718135827614897E-2</v>
      </c>
      <c r="O1796">
        <v>0.26728120113470499</v>
      </c>
    </row>
    <row r="1797" spans="1:15" x14ac:dyDescent="0.3">
      <c r="A1797">
        <v>7602</v>
      </c>
      <c r="B1797">
        <v>3748</v>
      </c>
      <c r="C1797">
        <v>261</v>
      </c>
      <c r="D1797" t="s">
        <v>23</v>
      </c>
      <c r="E1797" t="s">
        <v>20</v>
      </c>
      <c r="F1797" t="s">
        <v>17</v>
      </c>
      <c r="G1797" t="s">
        <v>25</v>
      </c>
      <c r="H1797">
        <v>276.60000000000002</v>
      </c>
      <c r="I1797">
        <v>246</v>
      </c>
      <c r="J1797">
        <v>96.1</v>
      </c>
      <c r="K1797">
        <v>65.5</v>
      </c>
      <c r="L1797">
        <v>29.4</v>
      </c>
      <c r="M1797">
        <v>12</v>
      </c>
      <c r="N1797">
        <v>3.7757259680447998E-2</v>
      </c>
      <c r="O1797">
        <v>0.34603390209594798</v>
      </c>
    </row>
    <row r="1798" spans="1:15" x14ac:dyDescent="0.3">
      <c r="A1798">
        <v>7603</v>
      </c>
      <c r="B1798">
        <v>3748</v>
      </c>
      <c r="C1798">
        <v>261</v>
      </c>
      <c r="D1798" t="s">
        <v>23</v>
      </c>
      <c r="E1798" t="s">
        <v>20</v>
      </c>
      <c r="F1798" t="s">
        <v>17</v>
      </c>
      <c r="G1798" t="s">
        <v>25</v>
      </c>
      <c r="H1798">
        <v>276.60000000000002</v>
      </c>
      <c r="I1798">
        <v>246</v>
      </c>
      <c r="J1798">
        <v>96.1</v>
      </c>
      <c r="K1798">
        <v>65.5</v>
      </c>
      <c r="L1798">
        <v>29.4</v>
      </c>
      <c r="M1798">
        <v>12</v>
      </c>
      <c r="N1798">
        <v>3.0630733452998899E-2</v>
      </c>
      <c r="O1798">
        <v>0.33455296599721202</v>
      </c>
    </row>
    <row r="1799" spans="1:15" x14ac:dyDescent="0.3">
      <c r="A1799">
        <v>7610</v>
      </c>
      <c r="B1799">
        <v>3755</v>
      </c>
      <c r="C1799">
        <v>351</v>
      </c>
      <c r="D1799" t="s">
        <v>23</v>
      </c>
      <c r="E1799" t="s">
        <v>20</v>
      </c>
      <c r="F1799" t="s">
        <v>21</v>
      </c>
      <c r="G1799" t="s">
        <v>24</v>
      </c>
      <c r="H1799">
        <v>277.60000000000002</v>
      </c>
      <c r="I1799">
        <v>246.5</v>
      </c>
      <c r="J1799">
        <v>93.9</v>
      </c>
      <c r="K1799">
        <v>67.5</v>
      </c>
      <c r="L1799">
        <v>27.5</v>
      </c>
      <c r="M1799">
        <v>8</v>
      </c>
      <c r="N1799">
        <v>0.16866544538949099</v>
      </c>
      <c r="O1799">
        <v>0.29688878463297602</v>
      </c>
    </row>
    <row r="1800" spans="1:15" x14ac:dyDescent="0.3">
      <c r="A1800">
        <v>7611</v>
      </c>
      <c r="B1800">
        <v>3755</v>
      </c>
      <c r="C1800">
        <v>351</v>
      </c>
      <c r="D1800" t="s">
        <v>23</v>
      </c>
      <c r="E1800" t="s">
        <v>20</v>
      </c>
      <c r="F1800" t="s">
        <v>21</v>
      </c>
      <c r="G1800" t="s">
        <v>24</v>
      </c>
      <c r="H1800">
        <v>277.60000000000002</v>
      </c>
      <c r="I1800">
        <v>246.5</v>
      </c>
      <c r="J1800">
        <v>93.9</v>
      </c>
      <c r="K1800">
        <v>67.5</v>
      </c>
      <c r="L1800">
        <v>27.5</v>
      </c>
      <c r="M1800">
        <v>8</v>
      </c>
      <c r="N1800">
        <v>0.16095838757876099</v>
      </c>
      <c r="O1800">
        <v>0.296171281221837</v>
      </c>
    </row>
    <row r="1801" spans="1:15" x14ac:dyDescent="0.3">
      <c r="A1801">
        <v>7612</v>
      </c>
      <c r="B1801">
        <v>3755</v>
      </c>
      <c r="C1801">
        <v>351</v>
      </c>
      <c r="D1801" t="s">
        <v>23</v>
      </c>
      <c r="E1801" t="s">
        <v>20</v>
      </c>
      <c r="F1801" t="s">
        <v>21</v>
      </c>
      <c r="G1801" t="s">
        <v>24</v>
      </c>
      <c r="H1801">
        <v>277.60000000000002</v>
      </c>
      <c r="I1801">
        <v>246.5</v>
      </c>
      <c r="J1801">
        <v>93.9</v>
      </c>
      <c r="K1801">
        <v>67.5</v>
      </c>
      <c r="L1801">
        <v>27.5</v>
      </c>
      <c r="M1801">
        <v>8</v>
      </c>
      <c r="N1801">
        <v>0.18401065823492599</v>
      </c>
      <c r="O1801">
        <v>0.31945138246105798</v>
      </c>
    </row>
    <row r="1802" spans="1:15" x14ac:dyDescent="0.3">
      <c r="A1802">
        <v>7641</v>
      </c>
      <c r="B1802">
        <v>3762</v>
      </c>
      <c r="C1802">
        <v>345</v>
      </c>
      <c r="D1802" t="s">
        <v>19</v>
      </c>
      <c r="E1802" t="s">
        <v>20</v>
      </c>
      <c r="F1802" t="s">
        <v>21</v>
      </c>
      <c r="G1802" t="s">
        <v>18</v>
      </c>
      <c r="H1802">
        <v>277.60000000000002</v>
      </c>
      <c r="I1802">
        <v>252.5</v>
      </c>
      <c r="J1802">
        <v>98.4</v>
      </c>
      <c r="K1802">
        <v>67.5</v>
      </c>
      <c r="L1802">
        <v>25.8</v>
      </c>
      <c r="M1802">
        <v>13.5</v>
      </c>
      <c r="N1802">
        <v>0.10525998907782</v>
      </c>
      <c r="O1802">
        <v>0.10088325493759601</v>
      </c>
    </row>
    <row r="1803" spans="1:15" x14ac:dyDescent="0.3">
      <c r="A1803">
        <v>7652</v>
      </c>
      <c r="B1803">
        <v>3768</v>
      </c>
      <c r="C1803">
        <v>346</v>
      </c>
      <c r="D1803" t="s">
        <v>19</v>
      </c>
      <c r="E1803" t="s">
        <v>20</v>
      </c>
      <c r="F1803" t="s">
        <v>17</v>
      </c>
      <c r="G1803" t="s">
        <v>18</v>
      </c>
      <c r="H1803">
        <v>271.60000000000002</v>
      </c>
      <c r="I1803">
        <v>238</v>
      </c>
      <c r="J1803">
        <v>91.3</v>
      </c>
      <c r="K1803">
        <v>63</v>
      </c>
      <c r="L1803">
        <v>24.7</v>
      </c>
      <c r="M1803">
        <v>8</v>
      </c>
      <c r="N1803">
        <v>0.161367060091367</v>
      </c>
      <c r="O1803">
        <v>4.3190542964918598E-3</v>
      </c>
    </row>
    <row r="1804" spans="1:15" x14ac:dyDescent="0.3">
      <c r="A1804">
        <v>7654</v>
      </c>
      <c r="B1804">
        <v>3768</v>
      </c>
      <c r="C1804">
        <v>346</v>
      </c>
      <c r="D1804" t="s">
        <v>19</v>
      </c>
      <c r="E1804" t="s">
        <v>20</v>
      </c>
      <c r="F1804" t="s">
        <v>17</v>
      </c>
      <c r="G1804" t="s">
        <v>18</v>
      </c>
      <c r="H1804">
        <v>271.60000000000002</v>
      </c>
      <c r="I1804">
        <v>238</v>
      </c>
      <c r="J1804">
        <v>91.3</v>
      </c>
      <c r="K1804">
        <v>63</v>
      </c>
      <c r="L1804">
        <v>24.7</v>
      </c>
      <c r="M1804">
        <v>8</v>
      </c>
      <c r="N1804">
        <v>0.168627488891778</v>
      </c>
      <c r="O1804">
        <v>8.6832888098152504E-3</v>
      </c>
    </row>
    <row r="1805" spans="1:15" x14ac:dyDescent="0.3">
      <c r="A1805">
        <v>7655</v>
      </c>
      <c r="B1805">
        <v>3768</v>
      </c>
      <c r="C1805">
        <v>346</v>
      </c>
      <c r="D1805" t="s">
        <v>19</v>
      </c>
      <c r="E1805" t="s">
        <v>20</v>
      </c>
      <c r="F1805" t="s">
        <v>17</v>
      </c>
      <c r="G1805" t="s">
        <v>18</v>
      </c>
      <c r="H1805">
        <v>271.60000000000002</v>
      </c>
      <c r="I1805">
        <v>238</v>
      </c>
      <c r="J1805">
        <v>91.3</v>
      </c>
      <c r="K1805">
        <v>63</v>
      </c>
      <c r="L1805">
        <v>24.7</v>
      </c>
      <c r="M1805">
        <v>8</v>
      </c>
      <c r="N1805">
        <v>0.17228764936093599</v>
      </c>
      <c r="O1805">
        <v>1.8113711515223899E-2</v>
      </c>
    </row>
    <row r="1806" spans="1:15" x14ac:dyDescent="0.3">
      <c r="A1806">
        <v>7680</v>
      </c>
      <c r="B1806">
        <v>3778</v>
      </c>
      <c r="C1806">
        <v>121</v>
      </c>
      <c r="D1806" t="s">
        <v>15</v>
      </c>
      <c r="E1806" t="s">
        <v>20</v>
      </c>
      <c r="F1806" t="s">
        <v>17</v>
      </c>
      <c r="G1806" t="s">
        <v>22</v>
      </c>
      <c r="H1806">
        <v>274.2</v>
      </c>
      <c r="I1806">
        <v>259</v>
      </c>
      <c r="J1806">
        <v>97.6</v>
      </c>
      <c r="K1806">
        <v>68</v>
      </c>
      <c r="L1806">
        <v>24.5</v>
      </c>
      <c r="M1806">
        <v>7</v>
      </c>
      <c r="N1806">
        <v>0.13692709869866099</v>
      </c>
      <c r="O1806">
        <v>6.96500705576035E-2</v>
      </c>
    </row>
    <row r="1807" spans="1:15" x14ac:dyDescent="0.3">
      <c r="A1807">
        <v>7681</v>
      </c>
      <c r="B1807">
        <v>3778</v>
      </c>
      <c r="C1807">
        <v>121</v>
      </c>
      <c r="D1807" t="s">
        <v>15</v>
      </c>
      <c r="E1807" t="s">
        <v>20</v>
      </c>
      <c r="F1807" t="s">
        <v>17</v>
      </c>
      <c r="G1807" t="s">
        <v>22</v>
      </c>
      <c r="H1807">
        <v>274.2</v>
      </c>
      <c r="I1807">
        <v>259</v>
      </c>
      <c r="J1807">
        <v>97.6</v>
      </c>
      <c r="K1807">
        <v>68</v>
      </c>
      <c r="L1807">
        <v>24.5</v>
      </c>
      <c r="M1807">
        <v>7</v>
      </c>
      <c r="N1807">
        <v>0.16355450992621101</v>
      </c>
      <c r="O1807">
        <v>5.4362506613304898E-2</v>
      </c>
    </row>
    <row r="1808" spans="1:15" x14ac:dyDescent="0.3">
      <c r="A1808">
        <v>7690</v>
      </c>
      <c r="B1808">
        <v>3781</v>
      </c>
      <c r="C1808">
        <v>249</v>
      </c>
      <c r="D1808" t="s">
        <v>19</v>
      </c>
      <c r="E1808" t="s">
        <v>16</v>
      </c>
      <c r="F1808" t="s">
        <v>17</v>
      </c>
      <c r="G1808" t="s">
        <v>25</v>
      </c>
      <c r="H1808">
        <v>275.7</v>
      </c>
      <c r="I1808">
        <v>254.5</v>
      </c>
      <c r="J1808">
        <v>97.9</v>
      </c>
      <c r="K1808">
        <v>66</v>
      </c>
      <c r="L1808">
        <v>26.3</v>
      </c>
      <c r="M1808">
        <v>9</v>
      </c>
      <c r="N1808">
        <v>0.238081722168553</v>
      </c>
      <c r="O1808">
        <v>3.9795494699880397E-2</v>
      </c>
    </row>
    <row r="1809" spans="1:15" x14ac:dyDescent="0.3">
      <c r="A1809">
        <v>7693</v>
      </c>
      <c r="B1809">
        <v>3784</v>
      </c>
      <c r="C1809">
        <v>68</v>
      </c>
      <c r="D1809" t="s">
        <v>19</v>
      </c>
      <c r="E1809" t="s">
        <v>20</v>
      </c>
      <c r="F1809" t="s">
        <v>17</v>
      </c>
      <c r="G1809" t="s">
        <v>18</v>
      </c>
      <c r="H1809">
        <v>275.60000000000002</v>
      </c>
      <c r="I1809">
        <v>254.5</v>
      </c>
      <c r="J1809">
        <v>95.5</v>
      </c>
      <c r="K1809">
        <v>65.5</v>
      </c>
      <c r="L1809">
        <v>29.1</v>
      </c>
      <c r="M1809">
        <v>10</v>
      </c>
      <c r="N1809">
        <v>0.20405488843309999</v>
      </c>
      <c r="O1809">
        <v>0.17496461899313301</v>
      </c>
    </row>
    <row r="1810" spans="1:15" x14ac:dyDescent="0.3">
      <c r="A1810">
        <v>7694</v>
      </c>
      <c r="B1810">
        <v>3785</v>
      </c>
      <c r="C1810">
        <v>20</v>
      </c>
      <c r="D1810" t="s">
        <v>23</v>
      </c>
      <c r="E1810" t="s">
        <v>16</v>
      </c>
      <c r="F1810" t="s">
        <v>17</v>
      </c>
      <c r="G1810" t="s">
        <v>26</v>
      </c>
      <c r="H1810">
        <v>282.7</v>
      </c>
      <c r="I1810">
        <v>260</v>
      </c>
      <c r="J1810">
        <v>103.8</v>
      </c>
      <c r="K1810">
        <v>68</v>
      </c>
      <c r="L1810">
        <v>26.4</v>
      </c>
      <c r="M1810">
        <v>11.5</v>
      </c>
      <c r="N1810">
        <v>9.6214398669421802E-2</v>
      </c>
      <c r="O1810">
        <v>0.25218356332338898</v>
      </c>
    </row>
    <row r="1811" spans="1:15" x14ac:dyDescent="0.3">
      <c r="A1811">
        <v>7695</v>
      </c>
      <c r="B1811">
        <v>3785</v>
      </c>
      <c r="C1811">
        <v>20</v>
      </c>
      <c r="D1811" t="s">
        <v>23</v>
      </c>
      <c r="E1811" t="s">
        <v>16</v>
      </c>
      <c r="F1811" t="s">
        <v>17</v>
      </c>
      <c r="G1811" t="s">
        <v>26</v>
      </c>
      <c r="H1811">
        <v>282.7</v>
      </c>
      <c r="I1811">
        <v>260</v>
      </c>
      <c r="J1811">
        <v>103.8</v>
      </c>
      <c r="K1811">
        <v>68</v>
      </c>
      <c r="L1811">
        <v>26.4</v>
      </c>
      <c r="M1811">
        <v>11.5</v>
      </c>
      <c r="N1811">
        <v>6.5670856613984599E-2</v>
      </c>
      <c r="O1811">
        <v>0.24487621755494901</v>
      </c>
    </row>
    <row r="1812" spans="1:15" x14ac:dyDescent="0.3">
      <c r="A1812">
        <v>7696</v>
      </c>
      <c r="B1812">
        <v>3785</v>
      </c>
      <c r="C1812">
        <v>20</v>
      </c>
      <c r="D1812" t="s">
        <v>23</v>
      </c>
      <c r="E1812" t="s">
        <v>16</v>
      </c>
      <c r="F1812" t="s">
        <v>17</v>
      </c>
      <c r="G1812" t="s">
        <v>26</v>
      </c>
      <c r="H1812">
        <v>282.7</v>
      </c>
      <c r="I1812">
        <v>260</v>
      </c>
      <c r="J1812">
        <v>103.8</v>
      </c>
      <c r="K1812">
        <v>68</v>
      </c>
      <c r="L1812">
        <v>26.4</v>
      </c>
      <c r="M1812">
        <v>11.5</v>
      </c>
      <c r="N1812">
        <v>7.0247444642590307E-2</v>
      </c>
      <c r="O1812">
        <v>0.27689379030420702</v>
      </c>
    </row>
    <row r="1813" spans="1:15" x14ac:dyDescent="0.3">
      <c r="A1813">
        <v>7697</v>
      </c>
      <c r="B1813">
        <v>3785</v>
      </c>
      <c r="C1813">
        <v>20</v>
      </c>
      <c r="D1813" t="s">
        <v>23</v>
      </c>
      <c r="E1813" t="s">
        <v>16</v>
      </c>
      <c r="F1813" t="s">
        <v>17</v>
      </c>
      <c r="G1813" t="s">
        <v>26</v>
      </c>
      <c r="H1813">
        <v>282.7</v>
      </c>
      <c r="I1813">
        <v>260</v>
      </c>
      <c r="J1813">
        <v>103.8</v>
      </c>
      <c r="K1813">
        <v>68</v>
      </c>
      <c r="L1813">
        <v>26.4</v>
      </c>
      <c r="M1813">
        <v>11.5</v>
      </c>
      <c r="N1813">
        <v>7.67267543610273E-2</v>
      </c>
      <c r="O1813">
        <v>0.26051436455864102</v>
      </c>
    </row>
    <row r="1814" spans="1:15" x14ac:dyDescent="0.3">
      <c r="A1814">
        <v>7721</v>
      </c>
      <c r="B1814">
        <v>3793</v>
      </c>
      <c r="C1814">
        <v>417</v>
      </c>
      <c r="D1814" t="s">
        <v>19</v>
      </c>
      <c r="E1814" t="s">
        <v>16</v>
      </c>
      <c r="F1814" t="s">
        <v>21</v>
      </c>
      <c r="G1814" t="s">
        <v>18</v>
      </c>
      <c r="H1814">
        <v>268.60000000000002</v>
      </c>
      <c r="I1814">
        <v>234.5</v>
      </c>
      <c r="J1814">
        <v>92.8</v>
      </c>
      <c r="K1814">
        <v>64</v>
      </c>
      <c r="L1814">
        <v>24.3</v>
      </c>
      <c r="M1814">
        <v>5</v>
      </c>
      <c r="N1814">
        <v>0.21752818466228599</v>
      </c>
      <c r="O1814">
        <v>0.15214840341160199</v>
      </c>
    </row>
    <row r="1815" spans="1:15" x14ac:dyDescent="0.3">
      <c r="A1815">
        <v>7722</v>
      </c>
      <c r="B1815">
        <v>3794</v>
      </c>
      <c r="C1815">
        <v>238</v>
      </c>
      <c r="D1815" t="s">
        <v>19</v>
      </c>
      <c r="E1815" t="s">
        <v>16</v>
      </c>
      <c r="F1815" t="s">
        <v>17</v>
      </c>
      <c r="G1815" t="s">
        <v>26</v>
      </c>
      <c r="H1815">
        <v>273.3</v>
      </c>
      <c r="I1815">
        <v>246</v>
      </c>
      <c r="J1815">
        <v>92.6</v>
      </c>
      <c r="K1815">
        <v>63.5</v>
      </c>
      <c r="L1815">
        <v>25.5</v>
      </c>
      <c r="M1815">
        <v>9.5</v>
      </c>
      <c r="N1815">
        <v>0.11143488918191199</v>
      </c>
      <c r="O1815">
        <v>0.14692567797185799</v>
      </c>
    </row>
    <row r="1816" spans="1:15" x14ac:dyDescent="0.3">
      <c r="A1816">
        <v>7752</v>
      </c>
      <c r="B1816">
        <v>3803</v>
      </c>
      <c r="C1816">
        <v>121</v>
      </c>
      <c r="D1816" t="s">
        <v>15</v>
      </c>
      <c r="E1816" t="s">
        <v>20</v>
      </c>
      <c r="F1816" t="s">
        <v>21</v>
      </c>
      <c r="G1816" t="s">
        <v>18</v>
      </c>
      <c r="H1816">
        <v>274.2</v>
      </c>
      <c r="I1816">
        <v>259</v>
      </c>
      <c r="J1816">
        <v>97.6</v>
      </c>
      <c r="K1816">
        <v>68</v>
      </c>
      <c r="L1816">
        <v>24.5</v>
      </c>
      <c r="M1816">
        <v>7</v>
      </c>
      <c r="N1816">
        <v>0.14002732856017799</v>
      </c>
      <c r="O1816">
        <v>8.0284324951113997E-2</v>
      </c>
    </row>
    <row r="1817" spans="1:15" x14ac:dyDescent="0.3">
      <c r="A1817">
        <v>7753</v>
      </c>
      <c r="B1817">
        <v>3803</v>
      </c>
      <c r="C1817">
        <v>121</v>
      </c>
      <c r="D1817" t="s">
        <v>15</v>
      </c>
      <c r="E1817" t="s">
        <v>20</v>
      </c>
      <c r="F1817" t="s">
        <v>21</v>
      </c>
      <c r="G1817" t="s">
        <v>18</v>
      </c>
      <c r="H1817">
        <v>274.2</v>
      </c>
      <c r="I1817">
        <v>259</v>
      </c>
      <c r="J1817">
        <v>97.6</v>
      </c>
      <c r="K1817">
        <v>68</v>
      </c>
      <c r="L1817">
        <v>24.5</v>
      </c>
      <c r="M1817">
        <v>7</v>
      </c>
      <c r="N1817">
        <v>0.14457575789727301</v>
      </c>
      <c r="O1817">
        <v>5.4838596186626898E-2</v>
      </c>
    </row>
    <row r="1818" spans="1:15" x14ac:dyDescent="0.3">
      <c r="A1818">
        <v>7756</v>
      </c>
      <c r="B1818">
        <v>3805</v>
      </c>
      <c r="C1818">
        <v>18</v>
      </c>
      <c r="D1818" t="s">
        <v>19</v>
      </c>
      <c r="E1818" t="s">
        <v>20</v>
      </c>
      <c r="F1818" t="s">
        <v>21</v>
      </c>
      <c r="G1818" t="s">
        <v>22</v>
      </c>
      <c r="H1818">
        <v>271.39999999999998</v>
      </c>
      <c r="I1818">
        <v>244</v>
      </c>
      <c r="J1818">
        <v>97.3</v>
      </c>
      <c r="K1818">
        <v>64</v>
      </c>
      <c r="L1818">
        <v>23.3</v>
      </c>
      <c r="M1818">
        <v>6.5</v>
      </c>
      <c r="N1818">
        <v>0.26694446281308298</v>
      </c>
      <c r="O1818">
        <v>1.3584645911625701E-3</v>
      </c>
    </row>
    <row r="1819" spans="1:15" x14ac:dyDescent="0.3">
      <c r="A1819">
        <v>7762</v>
      </c>
      <c r="B1819">
        <v>3808</v>
      </c>
      <c r="C1819">
        <v>274</v>
      </c>
      <c r="D1819" t="s">
        <v>19</v>
      </c>
      <c r="E1819" t="s">
        <v>20</v>
      </c>
      <c r="F1819" t="s">
        <v>17</v>
      </c>
      <c r="G1819" t="s">
        <v>25</v>
      </c>
      <c r="H1819">
        <v>270.8</v>
      </c>
      <c r="I1819">
        <v>241</v>
      </c>
      <c r="J1819">
        <v>93</v>
      </c>
      <c r="K1819">
        <v>61.5</v>
      </c>
      <c r="L1819">
        <v>24.5</v>
      </c>
      <c r="M1819">
        <v>11.5</v>
      </c>
      <c r="N1819">
        <v>0.117740174518984</v>
      </c>
      <c r="O1819">
        <v>0.196984865976183</v>
      </c>
    </row>
    <row r="1820" spans="1:15" x14ac:dyDescent="0.3">
      <c r="A1820">
        <v>7771</v>
      </c>
      <c r="B1820">
        <v>3814</v>
      </c>
      <c r="C1820">
        <v>483</v>
      </c>
      <c r="D1820" t="s">
        <v>23</v>
      </c>
      <c r="E1820" t="s">
        <v>20</v>
      </c>
      <c r="F1820" t="s">
        <v>21</v>
      </c>
      <c r="G1820" t="s">
        <v>18</v>
      </c>
      <c r="H1820">
        <v>271.89999999999998</v>
      </c>
      <c r="I1820">
        <v>246</v>
      </c>
      <c r="J1820">
        <v>94.4</v>
      </c>
      <c r="K1820">
        <v>60.5</v>
      </c>
      <c r="L1820">
        <v>27.6</v>
      </c>
      <c r="M1820">
        <v>13.5</v>
      </c>
      <c r="N1820">
        <v>0.107807905784134</v>
      </c>
      <c r="O1820">
        <v>0.205926078988769</v>
      </c>
    </row>
    <row r="1821" spans="1:15" x14ac:dyDescent="0.3">
      <c r="A1821">
        <v>7775</v>
      </c>
      <c r="B1821">
        <v>3816</v>
      </c>
      <c r="C1821">
        <v>246</v>
      </c>
      <c r="D1821" t="s">
        <v>23</v>
      </c>
      <c r="E1821" t="s">
        <v>16</v>
      </c>
      <c r="F1821" t="s">
        <v>17</v>
      </c>
      <c r="G1821" t="s">
        <v>26</v>
      </c>
      <c r="H1821">
        <v>278.2</v>
      </c>
      <c r="I1821">
        <v>257</v>
      </c>
      <c r="J1821">
        <v>97.9</v>
      </c>
      <c r="K1821">
        <v>67</v>
      </c>
      <c r="L1821">
        <v>24.3</v>
      </c>
      <c r="M1821">
        <v>12.5</v>
      </c>
      <c r="N1821">
        <v>0.13976744697792201</v>
      </c>
      <c r="O1821">
        <v>0.38859297605230098</v>
      </c>
    </row>
    <row r="1822" spans="1:15" x14ac:dyDescent="0.3">
      <c r="A1822">
        <v>7776</v>
      </c>
      <c r="B1822">
        <v>3816</v>
      </c>
      <c r="C1822">
        <v>246</v>
      </c>
      <c r="D1822" t="s">
        <v>23</v>
      </c>
      <c r="E1822" t="s">
        <v>16</v>
      </c>
      <c r="F1822" t="s">
        <v>17</v>
      </c>
      <c r="G1822" t="s">
        <v>26</v>
      </c>
      <c r="H1822">
        <v>278.2</v>
      </c>
      <c r="I1822">
        <v>257</v>
      </c>
      <c r="J1822">
        <v>97.9</v>
      </c>
      <c r="K1822">
        <v>67</v>
      </c>
      <c r="L1822">
        <v>24.3</v>
      </c>
      <c r="M1822">
        <v>12.5</v>
      </c>
      <c r="N1822">
        <v>0.16775196988024099</v>
      </c>
      <c r="O1822">
        <v>0.39770178548510099</v>
      </c>
    </row>
    <row r="1823" spans="1:15" x14ac:dyDescent="0.3">
      <c r="A1823">
        <v>7800</v>
      </c>
      <c r="B1823">
        <v>3825</v>
      </c>
      <c r="C1823">
        <v>267</v>
      </c>
      <c r="D1823" t="s">
        <v>23</v>
      </c>
      <c r="E1823" t="s">
        <v>20</v>
      </c>
      <c r="F1823" t="s">
        <v>21</v>
      </c>
      <c r="G1823" t="s">
        <v>24</v>
      </c>
      <c r="H1823">
        <v>275.39999999999998</v>
      </c>
      <c r="I1823">
        <v>244.5</v>
      </c>
      <c r="J1823">
        <v>95.4</v>
      </c>
      <c r="K1823">
        <v>67</v>
      </c>
      <c r="L1823">
        <v>22.2</v>
      </c>
      <c r="M1823">
        <v>9.5</v>
      </c>
      <c r="N1823">
        <v>0.26736425140240599</v>
      </c>
      <c r="O1823">
        <v>0.210717222532287</v>
      </c>
    </row>
    <row r="1824" spans="1:15" x14ac:dyDescent="0.3">
      <c r="A1824">
        <v>7802</v>
      </c>
      <c r="B1824">
        <v>3825</v>
      </c>
      <c r="C1824">
        <v>267</v>
      </c>
      <c r="D1824" t="s">
        <v>23</v>
      </c>
      <c r="E1824" t="s">
        <v>20</v>
      </c>
      <c r="F1824" t="s">
        <v>21</v>
      </c>
      <c r="G1824" t="s">
        <v>24</v>
      </c>
      <c r="H1824">
        <v>275.39999999999998</v>
      </c>
      <c r="I1824">
        <v>244.5</v>
      </c>
      <c r="J1824">
        <v>95.4</v>
      </c>
      <c r="K1824">
        <v>67</v>
      </c>
      <c r="L1824">
        <v>22.2</v>
      </c>
      <c r="M1824">
        <v>9.5</v>
      </c>
      <c r="N1824">
        <v>0.25688666504836699</v>
      </c>
      <c r="O1824">
        <v>0.22582928582578499</v>
      </c>
    </row>
    <row r="1825" spans="1:15" x14ac:dyDescent="0.3">
      <c r="A1825">
        <v>7810</v>
      </c>
      <c r="B1825">
        <v>3828</v>
      </c>
      <c r="C1825">
        <v>455</v>
      </c>
      <c r="D1825" t="s">
        <v>19</v>
      </c>
      <c r="E1825" t="s">
        <v>20</v>
      </c>
      <c r="F1825" t="s">
        <v>21</v>
      </c>
      <c r="G1825" t="s">
        <v>22</v>
      </c>
      <c r="H1825">
        <v>278.5</v>
      </c>
      <c r="I1825">
        <v>252.5</v>
      </c>
      <c r="J1825">
        <v>92.8</v>
      </c>
      <c r="K1825">
        <v>69</v>
      </c>
      <c r="L1825">
        <v>25.6</v>
      </c>
      <c r="M1825">
        <v>9</v>
      </c>
      <c r="N1825">
        <v>0.20788133883021101</v>
      </c>
      <c r="O1825">
        <v>6.8563857510256995E-2</v>
      </c>
    </row>
    <row r="1826" spans="1:15" x14ac:dyDescent="0.3">
      <c r="A1826">
        <v>7811</v>
      </c>
      <c r="B1826">
        <v>3828</v>
      </c>
      <c r="C1826">
        <v>455</v>
      </c>
      <c r="D1826" t="s">
        <v>19</v>
      </c>
      <c r="E1826" t="s">
        <v>20</v>
      </c>
      <c r="F1826" t="s">
        <v>21</v>
      </c>
      <c r="G1826" t="s">
        <v>22</v>
      </c>
      <c r="H1826">
        <v>278.5</v>
      </c>
      <c r="I1826">
        <v>252.5</v>
      </c>
      <c r="J1826">
        <v>92.8</v>
      </c>
      <c r="K1826">
        <v>69</v>
      </c>
      <c r="L1826">
        <v>25.6</v>
      </c>
      <c r="M1826">
        <v>9</v>
      </c>
      <c r="N1826">
        <v>0.22245099779663499</v>
      </c>
      <c r="O1826">
        <v>6.7111972986949806E-2</v>
      </c>
    </row>
    <row r="1827" spans="1:15" x14ac:dyDescent="0.3">
      <c r="A1827">
        <v>7812</v>
      </c>
      <c r="B1827">
        <v>3828</v>
      </c>
      <c r="C1827">
        <v>455</v>
      </c>
      <c r="D1827" t="s">
        <v>19</v>
      </c>
      <c r="E1827" t="s">
        <v>20</v>
      </c>
      <c r="F1827" t="s">
        <v>21</v>
      </c>
      <c r="G1827" t="s">
        <v>22</v>
      </c>
      <c r="H1827">
        <v>278.5</v>
      </c>
      <c r="I1827">
        <v>252.5</v>
      </c>
      <c r="J1827">
        <v>92.8</v>
      </c>
      <c r="K1827">
        <v>69</v>
      </c>
      <c r="L1827">
        <v>25.6</v>
      </c>
      <c r="M1827">
        <v>9</v>
      </c>
      <c r="N1827">
        <v>0.20413473838441201</v>
      </c>
      <c r="O1827">
        <v>3.2393908136014199E-2</v>
      </c>
    </row>
    <row r="1828" spans="1:15" x14ac:dyDescent="0.3">
      <c r="A1828">
        <v>7813</v>
      </c>
      <c r="B1828">
        <v>3828</v>
      </c>
      <c r="C1828">
        <v>455</v>
      </c>
      <c r="D1828" t="s">
        <v>19</v>
      </c>
      <c r="E1828" t="s">
        <v>20</v>
      </c>
      <c r="F1828" t="s">
        <v>21</v>
      </c>
      <c r="G1828" t="s">
        <v>22</v>
      </c>
      <c r="H1828">
        <v>278.5</v>
      </c>
      <c r="I1828">
        <v>252.5</v>
      </c>
      <c r="J1828">
        <v>92.8</v>
      </c>
      <c r="K1828">
        <v>69</v>
      </c>
      <c r="L1828">
        <v>25.6</v>
      </c>
      <c r="M1828">
        <v>9</v>
      </c>
      <c r="N1828">
        <v>0.19598933379676001</v>
      </c>
      <c r="O1828">
        <v>5.1779388651840799E-2</v>
      </c>
    </row>
    <row r="1829" spans="1:15" x14ac:dyDescent="0.3">
      <c r="A1829">
        <v>7814</v>
      </c>
      <c r="B1829">
        <v>3829</v>
      </c>
      <c r="C1829">
        <v>340</v>
      </c>
      <c r="D1829" t="s">
        <v>23</v>
      </c>
      <c r="E1829" t="s">
        <v>20</v>
      </c>
      <c r="F1829" t="s">
        <v>21</v>
      </c>
      <c r="G1829" t="s">
        <v>22</v>
      </c>
      <c r="H1829">
        <v>274.60000000000002</v>
      </c>
      <c r="I1829">
        <v>261.5</v>
      </c>
      <c r="J1829">
        <v>96.7</v>
      </c>
      <c r="K1829">
        <v>62</v>
      </c>
      <c r="L1829">
        <v>28.9</v>
      </c>
      <c r="M1829">
        <v>10.5</v>
      </c>
      <c r="N1829">
        <v>6.9794201472132805E-2</v>
      </c>
      <c r="O1829">
        <v>0.37394526567721198</v>
      </c>
    </row>
    <row r="1830" spans="1:15" x14ac:dyDescent="0.3">
      <c r="A1830">
        <v>7815</v>
      </c>
      <c r="B1830">
        <v>3829</v>
      </c>
      <c r="C1830">
        <v>340</v>
      </c>
      <c r="D1830" t="s">
        <v>23</v>
      </c>
      <c r="E1830" t="s">
        <v>20</v>
      </c>
      <c r="F1830" t="s">
        <v>21</v>
      </c>
      <c r="G1830" t="s">
        <v>22</v>
      </c>
      <c r="H1830">
        <v>274.60000000000002</v>
      </c>
      <c r="I1830">
        <v>261.5</v>
      </c>
      <c r="J1830">
        <v>96.7</v>
      </c>
      <c r="K1830">
        <v>62</v>
      </c>
      <c r="L1830">
        <v>28.9</v>
      </c>
      <c r="M1830">
        <v>10.5</v>
      </c>
      <c r="N1830">
        <v>5.5269619159572098E-2</v>
      </c>
      <c r="O1830">
        <v>0.39080852851396197</v>
      </c>
    </row>
    <row r="1831" spans="1:15" x14ac:dyDescent="0.3">
      <c r="A1831">
        <v>7816</v>
      </c>
      <c r="B1831">
        <v>3829</v>
      </c>
      <c r="C1831">
        <v>340</v>
      </c>
      <c r="D1831" t="s">
        <v>23</v>
      </c>
      <c r="E1831" t="s">
        <v>20</v>
      </c>
      <c r="F1831" t="s">
        <v>21</v>
      </c>
      <c r="G1831" t="s">
        <v>22</v>
      </c>
      <c r="H1831">
        <v>274.60000000000002</v>
      </c>
      <c r="I1831">
        <v>261.5</v>
      </c>
      <c r="J1831">
        <v>96.7</v>
      </c>
      <c r="K1831">
        <v>62</v>
      </c>
      <c r="L1831">
        <v>28.9</v>
      </c>
      <c r="M1831">
        <v>10.5</v>
      </c>
      <c r="N1831">
        <v>7.1379436421115994E-2</v>
      </c>
      <c r="O1831">
        <v>0.37131246591851702</v>
      </c>
    </row>
    <row r="1832" spans="1:15" x14ac:dyDescent="0.3">
      <c r="A1832">
        <v>7818</v>
      </c>
      <c r="B1832">
        <v>383</v>
      </c>
      <c r="C1832">
        <v>346</v>
      </c>
      <c r="D1832" t="s">
        <v>19</v>
      </c>
      <c r="E1832" t="s">
        <v>20</v>
      </c>
      <c r="F1832" t="s">
        <v>17</v>
      </c>
      <c r="G1832" t="s">
        <v>24</v>
      </c>
      <c r="H1832">
        <v>271.60000000000002</v>
      </c>
      <c r="I1832">
        <v>238</v>
      </c>
      <c r="J1832">
        <v>91.3</v>
      </c>
      <c r="K1832">
        <v>63</v>
      </c>
      <c r="L1832">
        <v>24.7</v>
      </c>
      <c r="M1832">
        <v>8</v>
      </c>
      <c r="N1832">
        <v>0.19071364212443201</v>
      </c>
      <c r="O1832">
        <v>1.38352158064664E-2</v>
      </c>
    </row>
    <row r="1833" spans="1:15" x14ac:dyDescent="0.3">
      <c r="A1833">
        <v>7820</v>
      </c>
      <c r="B1833">
        <v>3831</v>
      </c>
      <c r="C1833">
        <v>453</v>
      </c>
      <c r="D1833" t="s">
        <v>23</v>
      </c>
      <c r="E1833" t="s">
        <v>20</v>
      </c>
      <c r="F1833" t="s">
        <v>17</v>
      </c>
      <c r="G1833" t="s">
        <v>24</v>
      </c>
      <c r="H1833">
        <v>281.60000000000002</v>
      </c>
      <c r="I1833">
        <v>255.5</v>
      </c>
      <c r="J1833">
        <v>100.4</v>
      </c>
      <c r="K1833">
        <v>70</v>
      </c>
      <c r="L1833">
        <v>25.7</v>
      </c>
      <c r="M1833">
        <v>10</v>
      </c>
      <c r="N1833">
        <v>0.121567749214456</v>
      </c>
      <c r="O1833">
        <v>0.38626663512540599</v>
      </c>
    </row>
    <row r="1834" spans="1:15" x14ac:dyDescent="0.3">
      <c r="A1834">
        <v>7843</v>
      </c>
      <c r="B1834">
        <v>3842</v>
      </c>
      <c r="C1834">
        <v>95</v>
      </c>
      <c r="D1834" t="s">
        <v>23</v>
      </c>
      <c r="E1834" t="s">
        <v>20</v>
      </c>
      <c r="F1834" t="s">
        <v>21</v>
      </c>
      <c r="G1834" t="s">
        <v>22</v>
      </c>
      <c r="H1834">
        <v>276.60000000000002</v>
      </c>
      <c r="I1834">
        <v>250.5</v>
      </c>
      <c r="J1834">
        <v>100</v>
      </c>
      <c r="K1834">
        <v>67</v>
      </c>
      <c r="L1834">
        <v>28.2</v>
      </c>
      <c r="M1834">
        <v>6.5</v>
      </c>
      <c r="N1834">
        <v>0.119587643564668</v>
      </c>
      <c r="O1834">
        <v>0.34156579202881499</v>
      </c>
    </row>
    <row r="1835" spans="1:15" x14ac:dyDescent="0.3">
      <c r="A1835">
        <v>7851</v>
      </c>
      <c r="B1835">
        <v>3845</v>
      </c>
      <c r="C1835">
        <v>314</v>
      </c>
      <c r="D1835" t="s">
        <v>19</v>
      </c>
      <c r="E1835" t="s">
        <v>20</v>
      </c>
      <c r="F1835" t="s">
        <v>21</v>
      </c>
      <c r="G1835" t="s">
        <v>18</v>
      </c>
      <c r="H1835">
        <v>273.5</v>
      </c>
      <c r="I1835">
        <v>251.5</v>
      </c>
      <c r="J1835">
        <v>97.5</v>
      </c>
      <c r="K1835">
        <v>65</v>
      </c>
      <c r="L1835">
        <v>25.5</v>
      </c>
      <c r="M1835">
        <v>13</v>
      </c>
      <c r="N1835">
        <v>0.219257813697738</v>
      </c>
      <c r="O1835">
        <v>9.7427073273103404E-2</v>
      </c>
    </row>
    <row r="1836" spans="1:15" x14ac:dyDescent="0.3">
      <c r="A1836">
        <v>7852</v>
      </c>
      <c r="B1836">
        <v>3845</v>
      </c>
      <c r="C1836">
        <v>314</v>
      </c>
      <c r="D1836" t="s">
        <v>19</v>
      </c>
      <c r="E1836" t="s">
        <v>20</v>
      </c>
      <c r="F1836" t="s">
        <v>21</v>
      </c>
      <c r="G1836" t="s">
        <v>18</v>
      </c>
      <c r="H1836">
        <v>273.5</v>
      </c>
      <c r="I1836">
        <v>251.5</v>
      </c>
      <c r="J1836">
        <v>97.5</v>
      </c>
      <c r="K1836">
        <v>65</v>
      </c>
      <c r="L1836">
        <v>25.5</v>
      </c>
      <c r="M1836">
        <v>13</v>
      </c>
      <c r="N1836">
        <v>0.22718767985500099</v>
      </c>
      <c r="O1836">
        <v>0.10604898710704599</v>
      </c>
    </row>
    <row r="1837" spans="1:15" x14ac:dyDescent="0.3">
      <c r="A1837">
        <v>7853</v>
      </c>
      <c r="B1837">
        <v>3845</v>
      </c>
      <c r="C1837">
        <v>314</v>
      </c>
      <c r="D1837" t="s">
        <v>19</v>
      </c>
      <c r="E1837" t="s">
        <v>20</v>
      </c>
      <c r="F1837" t="s">
        <v>21</v>
      </c>
      <c r="G1837" t="s">
        <v>18</v>
      </c>
      <c r="H1837">
        <v>273.5</v>
      </c>
      <c r="I1837">
        <v>251.5</v>
      </c>
      <c r="J1837">
        <v>97.5</v>
      </c>
      <c r="K1837">
        <v>65</v>
      </c>
      <c r="L1837">
        <v>25.5</v>
      </c>
      <c r="M1837">
        <v>13</v>
      </c>
      <c r="N1837">
        <v>0.25042762006575098</v>
      </c>
      <c r="O1837">
        <v>0.10174365000969</v>
      </c>
    </row>
    <row r="1838" spans="1:15" x14ac:dyDescent="0.3">
      <c r="A1838">
        <v>7854</v>
      </c>
      <c r="B1838">
        <v>3846</v>
      </c>
      <c r="C1838">
        <v>298</v>
      </c>
      <c r="D1838" t="s">
        <v>19</v>
      </c>
      <c r="E1838" t="s">
        <v>20</v>
      </c>
      <c r="F1838" t="s">
        <v>17</v>
      </c>
      <c r="G1838" t="s">
        <v>18</v>
      </c>
      <c r="H1838">
        <v>275.60000000000002</v>
      </c>
      <c r="I1838">
        <v>251</v>
      </c>
      <c r="J1838">
        <v>95.1</v>
      </c>
      <c r="K1838">
        <v>66.5</v>
      </c>
      <c r="L1838">
        <v>25.3</v>
      </c>
      <c r="M1838">
        <v>10.5</v>
      </c>
      <c r="N1838">
        <v>0.276518872266246</v>
      </c>
      <c r="O1838">
        <v>4.8529051256451801E-2</v>
      </c>
    </row>
    <row r="1839" spans="1:15" x14ac:dyDescent="0.3">
      <c r="A1839">
        <v>7855</v>
      </c>
      <c r="B1839">
        <v>3846</v>
      </c>
      <c r="C1839">
        <v>298</v>
      </c>
      <c r="D1839" t="s">
        <v>19</v>
      </c>
      <c r="E1839" t="s">
        <v>20</v>
      </c>
      <c r="F1839" t="s">
        <v>17</v>
      </c>
      <c r="G1839" t="s">
        <v>18</v>
      </c>
      <c r="H1839">
        <v>275.60000000000002</v>
      </c>
      <c r="I1839">
        <v>251</v>
      </c>
      <c r="J1839">
        <v>95.1</v>
      </c>
      <c r="K1839">
        <v>66.5</v>
      </c>
      <c r="L1839">
        <v>25.3</v>
      </c>
      <c r="M1839">
        <v>10.5</v>
      </c>
      <c r="N1839">
        <v>0.27228507696209397</v>
      </c>
      <c r="O1839">
        <v>7.45551653444496E-2</v>
      </c>
    </row>
    <row r="1840" spans="1:15" x14ac:dyDescent="0.3">
      <c r="A1840">
        <v>7856</v>
      </c>
      <c r="B1840">
        <v>3846</v>
      </c>
      <c r="C1840">
        <v>298</v>
      </c>
      <c r="D1840" t="s">
        <v>19</v>
      </c>
      <c r="E1840" t="s">
        <v>20</v>
      </c>
      <c r="F1840" t="s">
        <v>17</v>
      </c>
      <c r="G1840" t="s">
        <v>18</v>
      </c>
      <c r="H1840">
        <v>275.60000000000002</v>
      </c>
      <c r="I1840">
        <v>251</v>
      </c>
      <c r="J1840">
        <v>95.1</v>
      </c>
      <c r="K1840">
        <v>66.5</v>
      </c>
      <c r="L1840">
        <v>25.3</v>
      </c>
      <c r="M1840">
        <v>10.5</v>
      </c>
      <c r="N1840">
        <v>0.27187215378795698</v>
      </c>
      <c r="O1840">
        <v>5.9696717798264499E-2</v>
      </c>
    </row>
    <row r="1841" spans="1:15" x14ac:dyDescent="0.3">
      <c r="A1841">
        <v>7857</v>
      </c>
      <c r="B1841">
        <v>3847</v>
      </c>
      <c r="C1841">
        <v>314</v>
      </c>
      <c r="D1841" t="s">
        <v>19</v>
      </c>
      <c r="E1841" t="s">
        <v>20</v>
      </c>
      <c r="F1841" t="s">
        <v>17</v>
      </c>
      <c r="G1841" t="s">
        <v>18</v>
      </c>
      <c r="H1841">
        <v>273.5</v>
      </c>
      <c r="I1841">
        <v>251.5</v>
      </c>
      <c r="J1841">
        <v>97.5</v>
      </c>
      <c r="K1841">
        <v>65</v>
      </c>
      <c r="L1841">
        <v>25.5</v>
      </c>
      <c r="M1841">
        <v>13</v>
      </c>
      <c r="N1841">
        <v>0.225467304836618</v>
      </c>
      <c r="O1841">
        <v>7.59406346013793E-2</v>
      </c>
    </row>
    <row r="1842" spans="1:15" x14ac:dyDescent="0.3">
      <c r="A1842">
        <v>7858</v>
      </c>
      <c r="B1842">
        <v>3847</v>
      </c>
      <c r="C1842">
        <v>314</v>
      </c>
      <c r="D1842" t="s">
        <v>19</v>
      </c>
      <c r="E1842" t="s">
        <v>20</v>
      </c>
      <c r="F1842" t="s">
        <v>17</v>
      </c>
      <c r="G1842" t="s">
        <v>18</v>
      </c>
      <c r="H1842">
        <v>273.5</v>
      </c>
      <c r="I1842">
        <v>251.5</v>
      </c>
      <c r="J1842">
        <v>97.5</v>
      </c>
      <c r="K1842">
        <v>65</v>
      </c>
      <c r="L1842">
        <v>25.5</v>
      </c>
      <c r="M1842">
        <v>13</v>
      </c>
      <c r="N1842">
        <v>0.243180214734488</v>
      </c>
      <c r="O1842">
        <v>8.5116926495273901E-2</v>
      </c>
    </row>
    <row r="1843" spans="1:15" x14ac:dyDescent="0.3">
      <c r="A1843">
        <v>7859</v>
      </c>
      <c r="B1843">
        <v>3848</v>
      </c>
      <c r="C1843">
        <v>495</v>
      </c>
      <c r="D1843" t="s">
        <v>19</v>
      </c>
      <c r="E1843" t="s">
        <v>20</v>
      </c>
      <c r="F1843" t="s">
        <v>17</v>
      </c>
      <c r="G1843" t="s">
        <v>18</v>
      </c>
      <c r="H1843">
        <v>276.8</v>
      </c>
      <c r="I1843">
        <v>243</v>
      </c>
      <c r="J1843">
        <v>94.5</v>
      </c>
      <c r="K1843">
        <v>64.5</v>
      </c>
      <c r="L1843">
        <v>27.6</v>
      </c>
      <c r="M1843">
        <v>5.5</v>
      </c>
      <c r="N1843">
        <v>0.15137498039680899</v>
      </c>
      <c r="O1843">
        <v>7.5893558992563295E-2</v>
      </c>
    </row>
    <row r="1844" spans="1:15" x14ac:dyDescent="0.3">
      <c r="A1844">
        <v>7860</v>
      </c>
      <c r="B1844">
        <v>3848</v>
      </c>
      <c r="C1844">
        <v>495</v>
      </c>
      <c r="D1844" t="s">
        <v>19</v>
      </c>
      <c r="E1844" t="s">
        <v>20</v>
      </c>
      <c r="F1844" t="s">
        <v>17</v>
      </c>
      <c r="G1844" t="s">
        <v>18</v>
      </c>
      <c r="H1844">
        <v>276.8</v>
      </c>
      <c r="I1844">
        <v>243</v>
      </c>
      <c r="J1844">
        <v>94.5</v>
      </c>
      <c r="K1844">
        <v>64.5</v>
      </c>
      <c r="L1844">
        <v>27.6</v>
      </c>
      <c r="M1844">
        <v>5.5</v>
      </c>
      <c r="N1844">
        <v>0.152524119585766</v>
      </c>
      <c r="O1844">
        <v>4.8418851906033698E-2</v>
      </c>
    </row>
    <row r="1845" spans="1:15" x14ac:dyDescent="0.3">
      <c r="A1845">
        <v>7861</v>
      </c>
      <c r="B1845">
        <v>3848</v>
      </c>
      <c r="C1845">
        <v>495</v>
      </c>
      <c r="D1845" t="s">
        <v>19</v>
      </c>
      <c r="E1845" t="s">
        <v>20</v>
      </c>
      <c r="F1845" t="s">
        <v>17</v>
      </c>
      <c r="G1845" t="s">
        <v>18</v>
      </c>
      <c r="H1845">
        <v>276.8</v>
      </c>
      <c r="I1845">
        <v>243</v>
      </c>
      <c r="J1845">
        <v>94.5</v>
      </c>
      <c r="K1845">
        <v>64.5</v>
      </c>
      <c r="L1845">
        <v>27.6</v>
      </c>
      <c r="M1845">
        <v>5.5</v>
      </c>
      <c r="N1845">
        <v>0.15926925001825501</v>
      </c>
      <c r="O1845">
        <v>5.1535289148119903E-2</v>
      </c>
    </row>
    <row r="1846" spans="1:15" x14ac:dyDescent="0.3">
      <c r="A1846">
        <v>7862</v>
      </c>
      <c r="B1846">
        <v>3848</v>
      </c>
      <c r="C1846">
        <v>495</v>
      </c>
      <c r="D1846" t="s">
        <v>19</v>
      </c>
      <c r="E1846" t="s">
        <v>20</v>
      </c>
      <c r="F1846" t="s">
        <v>17</v>
      </c>
      <c r="G1846" t="s">
        <v>18</v>
      </c>
      <c r="H1846">
        <v>276.8</v>
      </c>
      <c r="I1846">
        <v>243</v>
      </c>
      <c r="J1846">
        <v>94.5</v>
      </c>
      <c r="K1846">
        <v>64.5</v>
      </c>
      <c r="L1846">
        <v>27.6</v>
      </c>
      <c r="M1846">
        <v>5.5</v>
      </c>
      <c r="N1846">
        <v>0.13895549099868101</v>
      </c>
      <c r="O1846">
        <v>7.9980054196662306E-2</v>
      </c>
    </row>
    <row r="1847" spans="1:15" x14ac:dyDescent="0.3">
      <c r="A1847">
        <v>7863</v>
      </c>
      <c r="B1847">
        <v>3848</v>
      </c>
      <c r="C1847">
        <v>495</v>
      </c>
      <c r="D1847" t="s">
        <v>19</v>
      </c>
      <c r="E1847" t="s">
        <v>20</v>
      </c>
      <c r="F1847" t="s">
        <v>17</v>
      </c>
      <c r="G1847" t="s">
        <v>18</v>
      </c>
      <c r="H1847">
        <v>276.8</v>
      </c>
      <c r="I1847">
        <v>243</v>
      </c>
      <c r="J1847">
        <v>94.5</v>
      </c>
      <c r="K1847">
        <v>64.5</v>
      </c>
      <c r="L1847">
        <v>27.6</v>
      </c>
      <c r="M1847">
        <v>5.5</v>
      </c>
      <c r="N1847">
        <v>0.15617181715849801</v>
      </c>
      <c r="O1847">
        <v>6.5968993531226802E-2</v>
      </c>
    </row>
    <row r="1848" spans="1:15" x14ac:dyDescent="0.3">
      <c r="A1848">
        <v>7864</v>
      </c>
      <c r="B1848">
        <v>3848</v>
      </c>
      <c r="C1848">
        <v>495</v>
      </c>
      <c r="D1848" t="s">
        <v>19</v>
      </c>
      <c r="E1848" t="s">
        <v>20</v>
      </c>
      <c r="F1848" t="s">
        <v>17</v>
      </c>
      <c r="G1848" t="s">
        <v>18</v>
      </c>
      <c r="H1848">
        <v>276.8</v>
      </c>
      <c r="I1848">
        <v>243</v>
      </c>
      <c r="J1848">
        <v>94.5</v>
      </c>
      <c r="K1848">
        <v>64.5</v>
      </c>
      <c r="L1848">
        <v>27.6</v>
      </c>
      <c r="M1848">
        <v>5.5</v>
      </c>
      <c r="N1848">
        <v>0.146543393443265</v>
      </c>
      <c r="O1848">
        <v>5.5748767803923002E-2</v>
      </c>
    </row>
    <row r="1849" spans="1:15" x14ac:dyDescent="0.3">
      <c r="A1849">
        <v>7874</v>
      </c>
      <c r="B1849">
        <v>3852</v>
      </c>
      <c r="C1849">
        <v>480</v>
      </c>
      <c r="D1849" t="s">
        <v>19</v>
      </c>
      <c r="E1849" t="s">
        <v>20</v>
      </c>
      <c r="F1849" t="s">
        <v>21</v>
      </c>
      <c r="G1849" t="s">
        <v>22</v>
      </c>
      <c r="H1849">
        <v>275.8</v>
      </c>
      <c r="I1849">
        <v>244</v>
      </c>
      <c r="J1849">
        <v>94.4</v>
      </c>
      <c r="K1849">
        <v>67.5</v>
      </c>
      <c r="L1849">
        <v>24.4</v>
      </c>
      <c r="M1849">
        <v>6</v>
      </c>
      <c r="N1849">
        <v>0.17027210439073101</v>
      </c>
      <c r="O1849">
        <v>0.192529035094021</v>
      </c>
    </row>
    <row r="1850" spans="1:15" x14ac:dyDescent="0.3">
      <c r="A1850">
        <v>7875</v>
      </c>
      <c r="B1850">
        <v>3852</v>
      </c>
      <c r="C1850">
        <v>480</v>
      </c>
      <c r="D1850" t="s">
        <v>19</v>
      </c>
      <c r="E1850" t="s">
        <v>20</v>
      </c>
      <c r="F1850" t="s">
        <v>21</v>
      </c>
      <c r="G1850" t="s">
        <v>22</v>
      </c>
      <c r="H1850">
        <v>275.8</v>
      </c>
      <c r="I1850">
        <v>244</v>
      </c>
      <c r="J1850">
        <v>94.4</v>
      </c>
      <c r="K1850">
        <v>67.5</v>
      </c>
      <c r="L1850">
        <v>24.4</v>
      </c>
      <c r="M1850">
        <v>6</v>
      </c>
      <c r="N1850">
        <v>0.133237616096883</v>
      </c>
      <c r="O1850">
        <v>0.18842759927771299</v>
      </c>
    </row>
    <row r="1851" spans="1:15" x14ac:dyDescent="0.3">
      <c r="A1851">
        <v>7876</v>
      </c>
      <c r="B1851">
        <v>3852</v>
      </c>
      <c r="C1851">
        <v>480</v>
      </c>
      <c r="D1851" t="s">
        <v>19</v>
      </c>
      <c r="E1851" t="s">
        <v>20</v>
      </c>
      <c r="F1851" t="s">
        <v>21</v>
      </c>
      <c r="G1851" t="s">
        <v>22</v>
      </c>
      <c r="H1851">
        <v>275.8</v>
      </c>
      <c r="I1851">
        <v>244</v>
      </c>
      <c r="J1851">
        <v>94.4</v>
      </c>
      <c r="K1851">
        <v>67.5</v>
      </c>
      <c r="L1851">
        <v>24.4</v>
      </c>
      <c r="M1851">
        <v>6</v>
      </c>
      <c r="N1851">
        <v>0.16396868541647799</v>
      </c>
      <c r="O1851">
        <v>0.21114076542256599</v>
      </c>
    </row>
    <row r="1852" spans="1:15" x14ac:dyDescent="0.3">
      <c r="A1852">
        <v>7881</v>
      </c>
      <c r="B1852">
        <v>3855</v>
      </c>
      <c r="C1852">
        <v>110</v>
      </c>
      <c r="D1852" t="s">
        <v>23</v>
      </c>
      <c r="E1852" t="s">
        <v>20</v>
      </c>
      <c r="F1852" t="s">
        <v>21</v>
      </c>
      <c r="G1852" t="s">
        <v>24</v>
      </c>
      <c r="H1852">
        <v>271.3</v>
      </c>
      <c r="I1852">
        <v>247.5</v>
      </c>
      <c r="J1852">
        <v>95</v>
      </c>
      <c r="K1852">
        <v>65.5</v>
      </c>
      <c r="L1852">
        <v>24.5</v>
      </c>
      <c r="M1852">
        <v>8</v>
      </c>
      <c r="N1852">
        <v>0.23907623520573501</v>
      </c>
      <c r="O1852">
        <v>0.36797740251738098</v>
      </c>
    </row>
    <row r="1853" spans="1:15" x14ac:dyDescent="0.3">
      <c r="A1853">
        <v>7893</v>
      </c>
      <c r="B1853">
        <v>3858</v>
      </c>
      <c r="C1853">
        <v>453</v>
      </c>
      <c r="D1853" t="s">
        <v>23</v>
      </c>
      <c r="E1853" t="s">
        <v>20</v>
      </c>
      <c r="F1853" t="s">
        <v>21</v>
      </c>
      <c r="G1853" t="s">
        <v>26</v>
      </c>
      <c r="H1853">
        <v>281.60000000000002</v>
      </c>
      <c r="I1853">
        <v>255.5</v>
      </c>
      <c r="J1853">
        <v>100.4</v>
      </c>
      <c r="K1853">
        <v>70</v>
      </c>
      <c r="L1853">
        <v>25.7</v>
      </c>
      <c r="M1853">
        <v>10</v>
      </c>
      <c r="N1853">
        <v>0.141005981843218</v>
      </c>
      <c r="O1853">
        <v>0.39318074226426802</v>
      </c>
    </row>
    <row r="1854" spans="1:15" x14ac:dyDescent="0.3">
      <c r="A1854">
        <v>7894</v>
      </c>
      <c r="B1854">
        <v>3858</v>
      </c>
      <c r="C1854">
        <v>453</v>
      </c>
      <c r="D1854" t="s">
        <v>23</v>
      </c>
      <c r="E1854" t="s">
        <v>20</v>
      </c>
      <c r="F1854" t="s">
        <v>21</v>
      </c>
      <c r="G1854" t="s">
        <v>26</v>
      </c>
      <c r="H1854">
        <v>281.60000000000002</v>
      </c>
      <c r="I1854">
        <v>255.5</v>
      </c>
      <c r="J1854">
        <v>100.4</v>
      </c>
      <c r="K1854">
        <v>70</v>
      </c>
      <c r="L1854">
        <v>25.7</v>
      </c>
      <c r="M1854">
        <v>10</v>
      </c>
      <c r="N1854">
        <v>0.15228631747347299</v>
      </c>
      <c r="O1854">
        <v>0.40353601429912</v>
      </c>
    </row>
    <row r="1855" spans="1:15" x14ac:dyDescent="0.3">
      <c r="A1855">
        <v>7895</v>
      </c>
      <c r="B1855">
        <v>3859</v>
      </c>
      <c r="C1855">
        <v>395</v>
      </c>
      <c r="D1855" t="s">
        <v>23</v>
      </c>
      <c r="E1855" t="s">
        <v>20</v>
      </c>
      <c r="F1855" t="s">
        <v>21</v>
      </c>
      <c r="G1855" t="s">
        <v>22</v>
      </c>
      <c r="H1855">
        <v>273.60000000000002</v>
      </c>
      <c r="I1855">
        <v>247</v>
      </c>
      <c r="J1855">
        <v>94</v>
      </c>
      <c r="K1855">
        <v>68</v>
      </c>
      <c r="L1855">
        <v>26.7</v>
      </c>
      <c r="M1855">
        <v>7.5</v>
      </c>
      <c r="N1855">
        <v>0.172960304360643</v>
      </c>
      <c r="O1855">
        <v>0.345803204581621</v>
      </c>
    </row>
    <row r="1856" spans="1:15" x14ac:dyDescent="0.3">
      <c r="A1856">
        <v>7910</v>
      </c>
      <c r="B1856">
        <v>3864</v>
      </c>
      <c r="C1856">
        <v>351</v>
      </c>
      <c r="D1856" t="s">
        <v>23</v>
      </c>
      <c r="E1856" t="s">
        <v>20</v>
      </c>
      <c r="F1856" t="s">
        <v>17</v>
      </c>
      <c r="G1856" t="s">
        <v>24</v>
      </c>
      <c r="H1856">
        <v>277.60000000000002</v>
      </c>
      <c r="I1856">
        <v>246.5</v>
      </c>
      <c r="J1856">
        <v>93.9</v>
      </c>
      <c r="K1856">
        <v>67.5</v>
      </c>
      <c r="L1856">
        <v>27.5</v>
      </c>
      <c r="M1856">
        <v>8</v>
      </c>
      <c r="N1856">
        <v>0.162923010107133</v>
      </c>
      <c r="O1856">
        <v>0.29055626712096899</v>
      </c>
    </row>
    <row r="1857" spans="1:15" x14ac:dyDescent="0.3">
      <c r="A1857">
        <v>7911</v>
      </c>
      <c r="B1857">
        <v>3864</v>
      </c>
      <c r="C1857">
        <v>351</v>
      </c>
      <c r="D1857" t="s">
        <v>23</v>
      </c>
      <c r="E1857" t="s">
        <v>20</v>
      </c>
      <c r="F1857" t="s">
        <v>17</v>
      </c>
      <c r="G1857" t="s">
        <v>24</v>
      </c>
      <c r="H1857">
        <v>277.60000000000002</v>
      </c>
      <c r="I1857">
        <v>246.5</v>
      </c>
      <c r="J1857">
        <v>93.9</v>
      </c>
      <c r="K1857">
        <v>67.5</v>
      </c>
      <c r="L1857">
        <v>27.5</v>
      </c>
      <c r="M1857">
        <v>8</v>
      </c>
      <c r="N1857">
        <v>0.16722640802987901</v>
      </c>
      <c r="O1857">
        <v>0.28810100767665803</v>
      </c>
    </row>
    <row r="1858" spans="1:15" x14ac:dyDescent="0.3">
      <c r="A1858">
        <v>7912</v>
      </c>
      <c r="B1858">
        <v>3864</v>
      </c>
      <c r="C1858">
        <v>351</v>
      </c>
      <c r="D1858" t="s">
        <v>23</v>
      </c>
      <c r="E1858" t="s">
        <v>20</v>
      </c>
      <c r="F1858" t="s">
        <v>17</v>
      </c>
      <c r="G1858" t="s">
        <v>24</v>
      </c>
      <c r="H1858">
        <v>277.60000000000002</v>
      </c>
      <c r="I1858">
        <v>246.5</v>
      </c>
      <c r="J1858">
        <v>93.9</v>
      </c>
      <c r="K1858">
        <v>67.5</v>
      </c>
      <c r="L1858">
        <v>27.5</v>
      </c>
      <c r="M1858">
        <v>8</v>
      </c>
      <c r="N1858">
        <v>0.17028093095362901</v>
      </c>
      <c r="O1858">
        <v>0.28104140713613501</v>
      </c>
    </row>
    <row r="1859" spans="1:15" x14ac:dyDescent="0.3">
      <c r="A1859">
        <v>7917</v>
      </c>
      <c r="B1859">
        <v>3866</v>
      </c>
      <c r="C1859">
        <v>115</v>
      </c>
      <c r="D1859" t="s">
        <v>15</v>
      </c>
      <c r="E1859" t="s">
        <v>20</v>
      </c>
      <c r="F1859" t="s">
        <v>17</v>
      </c>
      <c r="G1859" t="s">
        <v>18</v>
      </c>
      <c r="H1859">
        <v>274.7</v>
      </c>
      <c r="I1859">
        <v>242.5</v>
      </c>
      <c r="J1859">
        <v>91.6</v>
      </c>
      <c r="K1859">
        <v>66.5</v>
      </c>
      <c r="L1859">
        <v>28.1</v>
      </c>
      <c r="M1859">
        <v>4.5</v>
      </c>
      <c r="N1859">
        <v>0.28239423829747501</v>
      </c>
      <c r="O1859">
        <v>5.3842449477007698E-2</v>
      </c>
    </row>
    <row r="1860" spans="1:15" x14ac:dyDescent="0.3">
      <c r="A1860">
        <v>7929</v>
      </c>
      <c r="B1860">
        <v>3870</v>
      </c>
      <c r="C1860">
        <v>114</v>
      </c>
      <c r="D1860" t="s">
        <v>19</v>
      </c>
      <c r="E1860" t="s">
        <v>16</v>
      </c>
      <c r="F1860" t="s">
        <v>17</v>
      </c>
      <c r="G1860" t="s">
        <v>18</v>
      </c>
      <c r="H1860">
        <v>275.89999999999998</v>
      </c>
      <c r="I1860">
        <v>254</v>
      </c>
      <c r="J1860">
        <v>97.2</v>
      </c>
      <c r="K1860">
        <v>66.5</v>
      </c>
      <c r="L1860">
        <v>28.5</v>
      </c>
      <c r="M1860">
        <v>5.5</v>
      </c>
      <c r="N1860">
        <v>0.11934962586876301</v>
      </c>
      <c r="O1860">
        <v>0.217340744194364</v>
      </c>
    </row>
    <row r="1861" spans="1:15" x14ac:dyDescent="0.3">
      <c r="A1861">
        <v>7955</v>
      </c>
      <c r="B1861">
        <v>388</v>
      </c>
      <c r="C1861">
        <v>227</v>
      </c>
      <c r="D1861" t="s">
        <v>15</v>
      </c>
      <c r="E1861" t="s">
        <v>20</v>
      </c>
      <c r="F1861" t="s">
        <v>21</v>
      </c>
      <c r="G1861" t="s">
        <v>22</v>
      </c>
      <c r="H1861">
        <v>281.2</v>
      </c>
      <c r="I1861">
        <v>257</v>
      </c>
      <c r="J1861">
        <v>100.5</v>
      </c>
      <c r="K1861">
        <v>67</v>
      </c>
      <c r="L1861">
        <v>25.4</v>
      </c>
      <c r="M1861">
        <v>12.5</v>
      </c>
      <c r="N1861">
        <v>7.3949612498208805E-2</v>
      </c>
      <c r="O1861">
        <v>0.13472043723747401</v>
      </c>
    </row>
    <row r="1862" spans="1:15" x14ac:dyDescent="0.3">
      <c r="A1862">
        <v>7962</v>
      </c>
      <c r="B1862">
        <v>3882</v>
      </c>
      <c r="C1862">
        <v>417</v>
      </c>
      <c r="D1862" t="s">
        <v>19</v>
      </c>
      <c r="E1862" t="s">
        <v>16</v>
      </c>
      <c r="F1862" t="s">
        <v>21</v>
      </c>
      <c r="G1862" t="s">
        <v>25</v>
      </c>
      <c r="H1862">
        <v>268.60000000000002</v>
      </c>
      <c r="I1862">
        <v>234.5</v>
      </c>
      <c r="J1862">
        <v>92.8</v>
      </c>
      <c r="K1862">
        <v>64</v>
      </c>
      <c r="L1862">
        <v>24.3</v>
      </c>
      <c r="M1862">
        <v>5</v>
      </c>
      <c r="N1862">
        <v>0.23470420328588701</v>
      </c>
      <c r="O1862">
        <v>0.14795643778384199</v>
      </c>
    </row>
    <row r="1863" spans="1:15" x14ac:dyDescent="0.3">
      <c r="A1863">
        <v>7982</v>
      </c>
      <c r="B1863">
        <v>3888</v>
      </c>
      <c r="C1863">
        <v>298</v>
      </c>
      <c r="D1863" t="s">
        <v>19</v>
      </c>
      <c r="E1863" t="s">
        <v>20</v>
      </c>
      <c r="F1863" t="s">
        <v>21</v>
      </c>
      <c r="G1863" t="s">
        <v>18</v>
      </c>
      <c r="H1863">
        <v>275.60000000000002</v>
      </c>
      <c r="I1863">
        <v>251</v>
      </c>
      <c r="J1863">
        <v>95.1</v>
      </c>
      <c r="K1863">
        <v>66.5</v>
      </c>
      <c r="L1863">
        <v>25.3</v>
      </c>
      <c r="M1863">
        <v>10.5</v>
      </c>
      <c r="N1863">
        <v>0.31818024437227099</v>
      </c>
      <c r="O1863">
        <v>4.9286675367397503E-2</v>
      </c>
    </row>
    <row r="1864" spans="1:15" x14ac:dyDescent="0.3">
      <c r="A1864">
        <v>7983</v>
      </c>
      <c r="B1864">
        <v>3888</v>
      </c>
      <c r="C1864">
        <v>298</v>
      </c>
      <c r="D1864" t="s">
        <v>19</v>
      </c>
      <c r="E1864" t="s">
        <v>20</v>
      </c>
      <c r="F1864" t="s">
        <v>21</v>
      </c>
      <c r="G1864" t="s">
        <v>18</v>
      </c>
      <c r="H1864">
        <v>275.60000000000002</v>
      </c>
      <c r="I1864">
        <v>251</v>
      </c>
      <c r="J1864">
        <v>95.1</v>
      </c>
      <c r="K1864">
        <v>66.5</v>
      </c>
      <c r="L1864">
        <v>25.3</v>
      </c>
      <c r="M1864">
        <v>10.5</v>
      </c>
      <c r="N1864">
        <v>0.28697024338410299</v>
      </c>
      <c r="O1864">
        <v>5.1249502061592803E-2</v>
      </c>
    </row>
    <row r="1865" spans="1:15" x14ac:dyDescent="0.3">
      <c r="A1865">
        <v>8006</v>
      </c>
      <c r="B1865">
        <v>3897</v>
      </c>
      <c r="C1865">
        <v>453</v>
      </c>
      <c r="D1865" t="s">
        <v>23</v>
      </c>
      <c r="E1865" t="s">
        <v>20</v>
      </c>
      <c r="F1865" t="s">
        <v>17</v>
      </c>
      <c r="G1865" t="s">
        <v>25</v>
      </c>
      <c r="H1865">
        <v>281.60000000000002</v>
      </c>
      <c r="I1865">
        <v>255.5</v>
      </c>
      <c r="J1865">
        <v>100.4</v>
      </c>
      <c r="K1865">
        <v>70</v>
      </c>
      <c r="L1865">
        <v>25.7</v>
      </c>
      <c r="M1865">
        <v>10</v>
      </c>
      <c r="N1865">
        <v>0.153205057328926</v>
      </c>
      <c r="O1865">
        <v>0.39349180211794599</v>
      </c>
    </row>
    <row r="1866" spans="1:15" x14ac:dyDescent="0.3">
      <c r="A1866">
        <v>8007</v>
      </c>
      <c r="B1866">
        <v>3897</v>
      </c>
      <c r="C1866">
        <v>453</v>
      </c>
      <c r="D1866" t="s">
        <v>23</v>
      </c>
      <c r="E1866" t="s">
        <v>20</v>
      </c>
      <c r="F1866" t="s">
        <v>17</v>
      </c>
      <c r="G1866" t="s">
        <v>25</v>
      </c>
      <c r="H1866">
        <v>281.60000000000002</v>
      </c>
      <c r="I1866">
        <v>255.5</v>
      </c>
      <c r="J1866">
        <v>100.4</v>
      </c>
      <c r="K1866">
        <v>70</v>
      </c>
      <c r="L1866">
        <v>25.7</v>
      </c>
      <c r="M1866">
        <v>10</v>
      </c>
      <c r="N1866">
        <v>0.15171954848763999</v>
      </c>
      <c r="O1866">
        <v>0.39751496916417201</v>
      </c>
    </row>
    <row r="1867" spans="1:15" x14ac:dyDescent="0.3">
      <c r="A1867">
        <v>8008</v>
      </c>
      <c r="B1867">
        <v>3897</v>
      </c>
      <c r="C1867">
        <v>453</v>
      </c>
      <c r="D1867" t="s">
        <v>23</v>
      </c>
      <c r="E1867" t="s">
        <v>20</v>
      </c>
      <c r="F1867" t="s">
        <v>17</v>
      </c>
      <c r="G1867" t="s">
        <v>25</v>
      </c>
      <c r="H1867">
        <v>281.60000000000002</v>
      </c>
      <c r="I1867">
        <v>255.5</v>
      </c>
      <c r="J1867">
        <v>100.4</v>
      </c>
      <c r="K1867">
        <v>70</v>
      </c>
      <c r="L1867">
        <v>25.7</v>
      </c>
      <c r="M1867">
        <v>10</v>
      </c>
      <c r="N1867">
        <v>0.15321338936005999</v>
      </c>
      <c r="O1867">
        <v>0.41743296059167601</v>
      </c>
    </row>
    <row r="1868" spans="1:15" x14ac:dyDescent="0.3">
      <c r="A1868">
        <v>8018</v>
      </c>
      <c r="B1868">
        <v>390</v>
      </c>
      <c r="C1868">
        <v>434</v>
      </c>
      <c r="D1868" t="s">
        <v>15</v>
      </c>
      <c r="E1868" t="s">
        <v>20</v>
      </c>
      <c r="F1868" t="s">
        <v>17</v>
      </c>
      <c r="G1868" t="s">
        <v>18</v>
      </c>
      <c r="H1868">
        <v>279.10000000000002</v>
      </c>
      <c r="I1868">
        <v>250</v>
      </c>
      <c r="J1868">
        <v>93.3</v>
      </c>
      <c r="K1868">
        <v>66</v>
      </c>
      <c r="L1868">
        <v>27.9</v>
      </c>
      <c r="M1868">
        <v>6</v>
      </c>
      <c r="N1868">
        <v>0.24752404452171201</v>
      </c>
      <c r="O1868">
        <v>2.59579079791399E-2</v>
      </c>
    </row>
    <row r="1869" spans="1:15" x14ac:dyDescent="0.3">
      <c r="A1869">
        <v>8019</v>
      </c>
      <c r="B1869">
        <v>390</v>
      </c>
      <c r="C1869">
        <v>434</v>
      </c>
      <c r="D1869" t="s">
        <v>15</v>
      </c>
      <c r="E1869" t="s">
        <v>20</v>
      </c>
      <c r="F1869" t="s">
        <v>17</v>
      </c>
      <c r="G1869" t="s">
        <v>18</v>
      </c>
      <c r="H1869">
        <v>279.10000000000002</v>
      </c>
      <c r="I1869">
        <v>250</v>
      </c>
      <c r="J1869">
        <v>93.3</v>
      </c>
      <c r="K1869">
        <v>66</v>
      </c>
      <c r="L1869">
        <v>27.9</v>
      </c>
      <c r="M1869">
        <v>6</v>
      </c>
      <c r="N1869">
        <v>0.27084391842461197</v>
      </c>
      <c r="O1869">
        <v>4.3331313069384203E-2</v>
      </c>
    </row>
    <row r="1870" spans="1:15" x14ac:dyDescent="0.3">
      <c r="A1870">
        <v>8020</v>
      </c>
      <c r="B1870">
        <v>390</v>
      </c>
      <c r="C1870">
        <v>434</v>
      </c>
      <c r="D1870" t="s">
        <v>15</v>
      </c>
      <c r="E1870" t="s">
        <v>20</v>
      </c>
      <c r="F1870" t="s">
        <v>17</v>
      </c>
      <c r="G1870" t="s">
        <v>18</v>
      </c>
      <c r="H1870">
        <v>279.10000000000002</v>
      </c>
      <c r="I1870">
        <v>250</v>
      </c>
      <c r="J1870">
        <v>93.3</v>
      </c>
      <c r="K1870">
        <v>66</v>
      </c>
      <c r="L1870">
        <v>27.9</v>
      </c>
      <c r="M1870">
        <v>6</v>
      </c>
      <c r="N1870">
        <v>0.257407989338792</v>
      </c>
      <c r="O1870">
        <v>3.78513932991697E-2</v>
      </c>
    </row>
    <row r="1871" spans="1:15" x14ac:dyDescent="0.3">
      <c r="A1871">
        <v>8031</v>
      </c>
      <c r="B1871">
        <v>3905</v>
      </c>
      <c r="C1871">
        <v>218</v>
      </c>
      <c r="D1871" t="s">
        <v>19</v>
      </c>
      <c r="E1871" t="s">
        <v>16</v>
      </c>
      <c r="F1871" t="s">
        <v>17</v>
      </c>
      <c r="G1871" t="s">
        <v>18</v>
      </c>
      <c r="H1871">
        <v>274.5</v>
      </c>
      <c r="I1871">
        <v>258</v>
      </c>
      <c r="J1871">
        <v>101.5</v>
      </c>
      <c r="K1871">
        <v>66.5</v>
      </c>
      <c r="L1871">
        <v>27.9</v>
      </c>
      <c r="M1871">
        <v>10</v>
      </c>
      <c r="N1871">
        <v>0.11444685079042199</v>
      </c>
      <c r="O1871">
        <v>8.6896611287680406E-2</v>
      </c>
    </row>
    <row r="1872" spans="1:15" x14ac:dyDescent="0.3">
      <c r="A1872">
        <v>8032</v>
      </c>
      <c r="B1872">
        <v>3905</v>
      </c>
      <c r="C1872">
        <v>218</v>
      </c>
      <c r="D1872" t="s">
        <v>19</v>
      </c>
      <c r="E1872" t="s">
        <v>16</v>
      </c>
      <c r="F1872" t="s">
        <v>17</v>
      </c>
      <c r="G1872" t="s">
        <v>18</v>
      </c>
      <c r="H1872">
        <v>274.5</v>
      </c>
      <c r="I1872">
        <v>258</v>
      </c>
      <c r="J1872">
        <v>101.5</v>
      </c>
      <c r="K1872">
        <v>66.5</v>
      </c>
      <c r="L1872">
        <v>27.9</v>
      </c>
      <c r="M1872">
        <v>10</v>
      </c>
      <c r="N1872">
        <v>0.109351334575941</v>
      </c>
      <c r="O1872">
        <v>7.7509791723492996E-2</v>
      </c>
    </row>
    <row r="1873" spans="1:15" x14ac:dyDescent="0.3">
      <c r="A1873">
        <v>8038</v>
      </c>
      <c r="B1873">
        <v>3908</v>
      </c>
      <c r="C1873">
        <v>102</v>
      </c>
      <c r="D1873" t="s">
        <v>19</v>
      </c>
      <c r="E1873" t="s">
        <v>20</v>
      </c>
      <c r="F1873" t="s">
        <v>17</v>
      </c>
      <c r="G1873" t="s">
        <v>25</v>
      </c>
      <c r="H1873">
        <v>273.60000000000002</v>
      </c>
      <c r="I1873">
        <v>246</v>
      </c>
      <c r="J1873">
        <v>93.6</v>
      </c>
      <c r="K1873">
        <v>64.5</v>
      </c>
      <c r="L1873">
        <v>25.6</v>
      </c>
      <c r="M1873">
        <v>1.5</v>
      </c>
      <c r="N1873">
        <v>0.15297811903837499</v>
      </c>
      <c r="O1873">
        <v>0.20568332245377999</v>
      </c>
    </row>
    <row r="1874" spans="1:15" x14ac:dyDescent="0.3">
      <c r="A1874">
        <v>8042</v>
      </c>
      <c r="B1874">
        <v>391</v>
      </c>
      <c r="C1874">
        <v>325</v>
      </c>
      <c r="D1874" t="s">
        <v>19</v>
      </c>
      <c r="E1874" t="s">
        <v>16</v>
      </c>
      <c r="F1874" t="s">
        <v>17</v>
      </c>
      <c r="G1874" t="s">
        <v>26</v>
      </c>
      <c r="H1874">
        <v>274</v>
      </c>
      <c r="I1874">
        <v>243.5</v>
      </c>
      <c r="J1874">
        <v>94.8</v>
      </c>
      <c r="K1874">
        <v>65.5</v>
      </c>
      <c r="L1874">
        <v>26.1</v>
      </c>
      <c r="M1874">
        <v>13</v>
      </c>
      <c r="N1874">
        <v>0.235364697020502</v>
      </c>
      <c r="O1874">
        <v>7.4525856722645001E-2</v>
      </c>
    </row>
    <row r="1875" spans="1:15" x14ac:dyDescent="0.3">
      <c r="A1875">
        <v>8043</v>
      </c>
      <c r="B1875">
        <v>391</v>
      </c>
      <c r="C1875">
        <v>325</v>
      </c>
      <c r="D1875" t="s">
        <v>19</v>
      </c>
      <c r="E1875" t="s">
        <v>16</v>
      </c>
      <c r="F1875" t="s">
        <v>17</v>
      </c>
      <c r="G1875" t="s">
        <v>26</v>
      </c>
      <c r="H1875">
        <v>274</v>
      </c>
      <c r="I1875">
        <v>243.5</v>
      </c>
      <c r="J1875">
        <v>94.8</v>
      </c>
      <c r="K1875">
        <v>65.5</v>
      </c>
      <c r="L1875">
        <v>26.1</v>
      </c>
      <c r="M1875">
        <v>13</v>
      </c>
      <c r="N1875">
        <v>0.22919329185016199</v>
      </c>
      <c r="O1875">
        <v>9.6877963689937896E-2</v>
      </c>
    </row>
    <row r="1876" spans="1:15" x14ac:dyDescent="0.3">
      <c r="A1876">
        <v>8051</v>
      </c>
      <c r="B1876">
        <v>3914</v>
      </c>
      <c r="C1876">
        <v>340</v>
      </c>
      <c r="D1876" t="s">
        <v>23</v>
      </c>
      <c r="E1876" t="s">
        <v>20</v>
      </c>
      <c r="F1876" t="s">
        <v>21</v>
      </c>
      <c r="G1876" t="s">
        <v>24</v>
      </c>
      <c r="H1876">
        <v>274.60000000000002</v>
      </c>
      <c r="I1876">
        <v>261.5</v>
      </c>
      <c r="J1876">
        <v>96.7</v>
      </c>
      <c r="K1876">
        <v>62</v>
      </c>
      <c r="L1876">
        <v>28.9</v>
      </c>
      <c r="M1876">
        <v>10.5</v>
      </c>
      <c r="N1876">
        <v>6.8066116299376797E-2</v>
      </c>
      <c r="O1876">
        <v>0.38411329607928801</v>
      </c>
    </row>
    <row r="1877" spans="1:15" x14ac:dyDescent="0.3">
      <c r="A1877">
        <v>8054</v>
      </c>
      <c r="B1877">
        <v>3914</v>
      </c>
      <c r="C1877">
        <v>340</v>
      </c>
      <c r="D1877" t="s">
        <v>23</v>
      </c>
      <c r="E1877" t="s">
        <v>20</v>
      </c>
      <c r="F1877" t="s">
        <v>21</v>
      </c>
      <c r="G1877" t="s">
        <v>24</v>
      </c>
      <c r="H1877">
        <v>274.60000000000002</v>
      </c>
      <c r="I1877">
        <v>261.5</v>
      </c>
      <c r="J1877">
        <v>96.7</v>
      </c>
      <c r="K1877">
        <v>62</v>
      </c>
      <c r="L1877">
        <v>28.9</v>
      </c>
      <c r="M1877">
        <v>10.5</v>
      </c>
      <c r="N1877">
        <v>6.7364019325067595E-2</v>
      </c>
      <c r="O1877">
        <v>0.36984555687905601</v>
      </c>
    </row>
    <row r="1878" spans="1:15" x14ac:dyDescent="0.3">
      <c r="A1878">
        <v>8056</v>
      </c>
      <c r="B1878">
        <v>3914</v>
      </c>
      <c r="C1878">
        <v>340</v>
      </c>
      <c r="D1878" t="s">
        <v>23</v>
      </c>
      <c r="E1878" t="s">
        <v>20</v>
      </c>
      <c r="F1878" t="s">
        <v>21</v>
      </c>
      <c r="G1878" t="s">
        <v>24</v>
      </c>
      <c r="H1878">
        <v>274.60000000000002</v>
      </c>
      <c r="I1878">
        <v>261.5</v>
      </c>
      <c r="J1878">
        <v>96.7</v>
      </c>
      <c r="K1878">
        <v>62</v>
      </c>
      <c r="L1878">
        <v>28.9</v>
      </c>
      <c r="M1878">
        <v>10.5</v>
      </c>
      <c r="N1878">
        <v>4.1415713554954998E-2</v>
      </c>
      <c r="O1878">
        <v>0.38105987880546</v>
      </c>
    </row>
    <row r="1879" spans="1:15" x14ac:dyDescent="0.3">
      <c r="A1879">
        <v>8057</v>
      </c>
      <c r="B1879">
        <v>3916</v>
      </c>
      <c r="C1879">
        <v>413</v>
      </c>
      <c r="D1879" t="s">
        <v>19</v>
      </c>
      <c r="E1879" t="s">
        <v>20</v>
      </c>
      <c r="F1879" t="s">
        <v>21</v>
      </c>
      <c r="G1879" t="s">
        <v>26</v>
      </c>
      <c r="H1879">
        <v>279</v>
      </c>
      <c r="I1879">
        <v>247.5</v>
      </c>
      <c r="J1879">
        <v>93.5</v>
      </c>
      <c r="K1879">
        <v>66</v>
      </c>
      <c r="L1879">
        <v>25.5</v>
      </c>
      <c r="M1879">
        <v>10</v>
      </c>
      <c r="N1879">
        <v>0.22182322524022899</v>
      </c>
      <c r="O1879">
        <v>7.1466550146710703E-2</v>
      </c>
    </row>
    <row r="1880" spans="1:15" x14ac:dyDescent="0.3">
      <c r="A1880">
        <v>8058</v>
      </c>
      <c r="B1880">
        <v>3916</v>
      </c>
      <c r="C1880">
        <v>413</v>
      </c>
      <c r="D1880" t="s">
        <v>19</v>
      </c>
      <c r="E1880" t="s">
        <v>20</v>
      </c>
      <c r="F1880" t="s">
        <v>21</v>
      </c>
      <c r="G1880" t="s">
        <v>26</v>
      </c>
      <c r="H1880">
        <v>279</v>
      </c>
      <c r="I1880">
        <v>247.5</v>
      </c>
      <c r="J1880">
        <v>93.5</v>
      </c>
      <c r="K1880">
        <v>66</v>
      </c>
      <c r="L1880">
        <v>25.5</v>
      </c>
      <c r="M1880">
        <v>10</v>
      </c>
      <c r="N1880">
        <v>0.235178537015198</v>
      </c>
      <c r="O1880">
        <v>8.0093790297499703E-2</v>
      </c>
    </row>
    <row r="1881" spans="1:15" x14ac:dyDescent="0.3">
      <c r="A1881">
        <v>8059</v>
      </c>
      <c r="B1881">
        <v>3916</v>
      </c>
      <c r="C1881">
        <v>413</v>
      </c>
      <c r="D1881" t="s">
        <v>19</v>
      </c>
      <c r="E1881" t="s">
        <v>20</v>
      </c>
      <c r="F1881" t="s">
        <v>21</v>
      </c>
      <c r="G1881" t="s">
        <v>26</v>
      </c>
      <c r="H1881">
        <v>279</v>
      </c>
      <c r="I1881">
        <v>247.5</v>
      </c>
      <c r="J1881">
        <v>93.5</v>
      </c>
      <c r="K1881">
        <v>66</v>
      </c>
      <c r="L1881">
        <v>25.5</v>
      </c>
      <c r="M1881">
        <v>10</v>
      </c>
      <c r="N1881">
        <v>0.225522338051419</v>
      </c>
      <c r="O1881">
        <v>6.4409319319627401E-2</v>
      </c>
    </row>
    <row r="1882" spans="1:15" x14ac:dyDescent="0.3">
      <c r="A1882">
        <v>8060</v>
      </c>
      <c r="B1882">
        <v>3916</v>
      </c>
      <c r="C1882">
        <v>413</v>
      </c>
      <c r="D1882" t="s">
        <v>19</v>
      </c>
      <c r="E1882" t="s">
        <v>20</v>
      </c>
      <c r="F1882" t="s">
        <v>21</v>
      </c>
      <c r="G1882" t="s">
        <v>26</v>
      </c>
      <c r="H1882">
        <v>279</v>
      </c>
      <c r="I1882">
        <v>247.5</v>
      </c>
      <c r="J1882">
        <v>93.5</v>
      </c>
      <c r="K1882">
        <v>66</v>
      </c>
      <c r="L1882">
        <v>25.5</v>
      </c>
      <c r="M1882">
        <v>10</v>
      </c>
      <c r="N1882">
        <v>0.22943922733606401</v>
      </c>
      <c r="O1882">
        <v>5.3536004922945003E-2</v>
      </c>
    </row>
    <row r="1883" spans="1:15" x14ac:dyDescent="0.3">
      <c r="A1883">
        <v>8069</v>
      </c>
      <c r="B1883">
        <v>392</v>
      </c>
      <c r="C1883">
        <v>27</v>
      </c>
      <c r="D1883" t="s">
        <v>19</v>
      </c>
      <c r="E1883" t="s">
        <v>20</v>
      </c>
      <c r="F1883" t="s">
        <v>17</v>
      </c>
      <c r="G1883" t="s">
        <v>26</v>
      </c>
      <c r="H1883">
        <v>276.60000000000002</v>
      </c>
      <c r="I1883">
        <v>251.5</v>
      </c>
      <c r="J1883">
        <v>95.3</v>
      </c>
      <c r="K1883">
        <v>67.5</v>
      </c>
      <c r="L1883">
        <v>29.7</v>
      </c>
      <c r="M1883">
        <v>2</v>
      </c>
      <c r="N1883">
        <v>0.137846912546321</v>
      </c>
      <c r="O1883">
        <v>0.12873054862991701</v>
      </c>
    </row>
    <row r="1884" spans="1:15" x14ac:dyDescent="0.3">
      <c r="A1884">
        <v>8070</v>
      </c>
      <c r="B1884">
        <v>392</v>
      </c>
      <c r="C1884">
        <v>27</v>
      </c>
      <c r="D1884" t="s">
        <v>19</v>
      </c>
      <c r="E1884" t="s">
        <v>20</v>
      </c>
      <c r="F1884" t="s">
        <v>17</v>
      </c>
      <c r="G1884" t="s">
        <v>26</v>
      </c>
      <c r="H1884">
        <v>276.60000000000002</v>
      </c>
      <c r="I1884">
        <v>251.5</v>
      </c>
      <c r="J1884">
        <v>95.3</v>
      </c>
      <c r="K1884">
        <v>67.5</v>
      </c>
      <c r="L1884">
        <v>29.7</v>
      </c>
      <c r="M1884">
        <v>2</v>
      </c>
      <c r="N1884">
        <v>0.131575045827202</v>
      </c>
      <c r="O1884">
        <v>0.146700947787266</v>
      </c>
    </row>
    <row r="1885" spans="1:15" x14ac:dyDescent="0.3">
      <c r="A1885">
        <v>8071</v>
      </c>
      <c r="B1885">
        <v>392</v>
      </c>
      <c r="C1885">
        <v>27</v>
      </c>
      <c r="D1885" t="s">
        <v>19</v>
      </c>
      <c r="E1885" t="s">
        <v>20</v>
      </c>
      <c r="F1885" t="s">
        <v>17</v>
      </c>
      <c r="G1885" t="s">
        <v>26</v>
      </c>
      <c r="H1885">
        <v>276.60000000000002</v>
      </c>
      <c r="I1885">
        <v>251.5</v>
      </c>
      <c r="J1885">
        <v>95.3</v>
      </c>
      <c r="K1885">
        <v>67.5</v>
      </c>
      <c r="L1885">
        <v>29.7</v>
      </c>
      <c r="M1885">
        <v>2</v>
      </c>
      <c r="N1885">
        <v>0.16019452867248801</v>
      </c>
      <c r="O1885">
        <v>0.13681222426753001</v>
      </c>
    </row>
    <row r="1886" spans="1:15" x14ac:dyDescent="0.3">
      <c r="A1886">
        <v>8072</v>
      </c>
      <c r="B1886">
        <v>392</v>
      </c>
      <c r="C1886">
        <v>27</v>
      </c>
      <c r="D1886" t="s">
        <v>19</v>
      </c>
      <c r="E1886" t="s">
        <v>20</v>
      </c>
      <c r="F1886" t="s">
        <v>17</v>
      </c>
      <c r="G1886" t="s">
        <v>26</v>
      </c>
      <c r="H1886">
        <v>276.60000000000002</v>
      </c>
      <c r="I1886">
        <v>251.5</v>
      </c>
      <c r="J1886">
        <v>95.3</v>
      </c>
      <c r="K1886">
        <v>67.5</v>
      </c>
      <c r="L1886">
        <v>29.7</v>
      </c>
      <c r="M1886">
        <v>2</v>
      </c>
      <c r="N1886">
        <v>0.12985044814780999</v>
      </c>
      <c r="O1886">
        <v>0.13919428934467001</v>
      </c>
    </row>
    <row r="1887" spans="1:15" x14ac:dyDescent="0.3">
      <c r="A1887">
        <v>8073</v>
      </c>
      <c r="B1887">
        <v>3920</v>
      </c>
      <c r="C1887">
        <v>443</v>
      </c>
      <c r="D1887" t="s">
        <v>19</v>
      </c>
      <c r="E1887" t="s">
        <v>20</v>
      </c>
      <c r="F1887" t="s">
        <v>17</v>
      </c>
      <c r="G1887" t="s">
        <v>25</v>
      </c>
      <c r="H1887">
        <v>272.5</v>
      </c>
      <c r="I1887">
        <v>239.5</v>
      </c>
      <c r="J1887">
        <v>96</v>
      </c>
      <c r="K1887">
        <v>64.5</v>
      </c>
      <c r="L1887">
        <v>20.399999999999999</v>
      </c>
      <c r="M1887">
        <v>10</v>
      </c>
      <c r="N1887">
        <v>0.24445548507257001</v>
      </c>
      <c r="O1887">
        <v>6.3011267251207204E-2</v>
      </c>
    </row>
    <row r="1888" spans="1:15" x14ac:dyDescent="0.3">
      <c r="A1888">
        <v>8074</v>
      </c>
      <c r="B1888">
        <v>3921</v>
      </c>
      <c r="C1888">
        <v>395</v>
      </c>
      <c r="D1888" t="s">
        <v>23</v>
      </c>
      <c r="E1888" t="s">
        <v>20</v>
      </c>
      <c r="F1888" t="s">
        <v>21</v>
      </c>
      <c r="G1888" t="s">
        <v>25</v>
      </c>
      <c r="H1888">
        <v>273.60000000000002</v>
      </c>
      <c r="I1888">
        <v>247</v>
      </c>
      <c r="J1888">
        <v>94</v>
      </c>
      <c r="K1888">
        <v>68</v>
      </c>
      <c r="L1888">
        <v>26.7</v>
      </c>
      <c r="M1888">
        <v>7.5</v>
      </c>
      <c r="N1888">
        <v>0.18509040396701201</v>
      </c>
      <c r="O1888">
        <v>0.35822427586170402</v>
      </c>
    </row>
    <row r="1889" spans="1:15" x14ac:dyDescent="0.3">
      <c r="A1889">
        <v>8090</v>
      </c>
      <c r="B1889">
        <v>3926</v>
      </c>
      <c r="C1889">
        <v>218</v>
      </c>
      <c r="D1889" t="s">
        <v>19</v>
      </c>
      <c r="E1889" t="s">
        <v>16</v>
      </c>
      <c r="F1889" t="s">
        <v>21</v>
      </c>
      <c r="G1889" t="s">
        <v>26</v>
      </c>
      <c r="H1889">
        <v>274.5</v>
      </c>
      <c r="I1889">
        <v>258</v>
      </c>
      <c r="J1889">
        <v>101.5</v>
      </c>
      <c r="K1889">
        <v>66.5</v>
      </c>
      <c r="L1889">
        <v>27.9</v>
      </c>
      <c r="M1889">
        <v>10</v>
      </c>
      <c r="N1889">
        <v>0.11721403335779</v>
      </c>
      <c r="O1889">
        <v>0.102349321500947</v>
      </c>
    </row>
    <row r="1890" spans="1:15" x14ac:dyDescent="0.3">
      <c r="A1890">
        <v>8091</v>
      </c>
      <c r="B1890">
        <v>3926</v>
      </c>
      <c r="C1890">
        <v>218</v>
      </c>
      <c r="D1890" t="s">
        <v>19</v>
      </c>
      <c r="E1890" t="s">
        <v>16</v>
      </c>
      <c r="F1890" t="s">
        <v>21</v>
      </c>
      <c r="G1890" t="s">
        <v>26</v>
      </c>
      <c r="H1890">
        <v>274.5</v>
      </c>
      <c r="I1890">
        <v>258</v>
      </c>
      <c r="J1890">
        <v>101.5</v>
      </c>
      <c r="K1890">
        <v>66.5</v>
      </c>
      <c r="L1890">
        <v>27.9</v>
      </c>
      <c r="M1890">
        <v>10</v>
      </c>
      <c r="N1890">
        <v>0.14001160177630201</v>
      </c>
      <c r="O1890">
        <v>8.2981226661444196E-2</v>
      </c>
    </row>
    <row r="1891" spans="1:15" x14ac:dyDescent="0.3">
      <c r="A1891">
        <v>8092</v>
      </c>
      <c r="B1891">
        <v>3926</v>
      </c>
      <c r="C1891">
        <v>218</v>
      </c>
      <c r="D1891" t="s">
        <v>19</v>
      </c>
      <c r="E1891" t="s">
        <v>16</v>
      </c>
      <c r="F1891" t="s">
        <v>21</v>
      </c>
      <c r="G1891" t="s">
        <v>26</v>
      </c>
      <c r="H1891">
        <v>274.5</v>
      </c>
      <c r="I1891">
        <v>258</v>
      </c>
      <c r="J1891">
        <v>101.5</v>
      </c>
      <c r="K1891">
        <v>66.5</v>
      </c>
      <c r="L1891">
        <v>27.9</v>
      </c>
      <c r="M1891">
        <v>10</v>
      </c>
      <c r="N1891">
        <v>0.12099115815208999</v>
      </c>
      <c r="O1891">
        <v>0.10735371305777</v>
      </c>
    </row>
    <row r="1892" spans="1:15" x14ac:dyDescent="0.3">
      <c r="A1892">
        <v>8093</v>
      </c>
      <c r="B1892">
        <v>3926</v>
      </c>
      <c r="C1892">
        <v>218</v>
      </c>
      <c r="D1892" t="s">
        <v>19</v>
      </c>
      <c r="E1892" t="s">
        <v>16</v>
      </c>
      <c r="F1892" t="s">
        <v>21</v>
      </c>
      <c r="G1892" t="s">
        <v>26</v>
      </c>
      <c r="H1892">
        <v>274.5</v>
      </c>
      <c r="I1892">
        <v>258</v>
      </c>
      <c r="J1892">
        <v>101.5</v>
      </c>
      <c r="K1892">
        <v>66.5</v>
      </c>
      <c r="L1892">
        <v>27.9</v>
      </c>
      <c r="M1892">
        <v>10</v>
      </c>
      <c r="N1892">
        <v>0.15269607545446801</v>
      </c>
      <c r="O1892">
        <v>8.5782874693194899E-2</v>
      </c>
    </row>
    <row r="1893" spans="1:15" x14ac:dyDescent="0.3">
      <c r="A1893">
        <v>8094</v>
      </c>
      <c r="B1893">
        <v>3927</v>
      </c>
      <c r="C1893">
        <v>444</v>
      </c>
      <c r="D1893" t="s">
        <v>15</v>
      </c>
      <c r="E1893" t="s">
        <v>20</v>
      </c>
      <c r="F1893" t="s">
        <v>21</v>
      </c>
      <c r="G1893" t="s">
        <v>18</v>
      </c>
      <c r="H1893">
        <v>279.10000000000002</v>
      </c>
      <c r="I1893">
        <v>235</v>
      </c>
      <c r="J1893">
        <v>94.2</v>
      </c>
      <c r="K1893">
        <v>65.5</v>
      </c>
      <c r="L1893">
        <v>25.4</v>
      </c>
      <c r="M1893">
        <v>12</v>
      </c>
      <c r="N1893">
        <v>7.5817115318164402E-2</v>
      </c>
      <c r="O1893">
        <v>0.12569135354969599</v>
      </c>
    </row>
    <row r="1894" spans="1:15" x14ac:dyDescent="0.3">
      <c r="A1894">
        <v>8095</v>
      </c>
      <c r="B1894">
        <v>3927</v>
      </c>
      <c r="C1894">
        <v>444</v>
      </c>
      <c r="D1894" t="s">
        <v>15</v>
      </c>
      <c r="E1894" t="s">
        <v>20</v>
      </c>
      <c r="F1894" t="s">
        <v>21</v>
      </c>
      <c r="G1894" t="s">
        <v>18</v>
      </c>
      <c r="H1894">
        <v>279.10000000000002</v>
      </c>
      <c r="I1894">
        <v>235</v>
      </c>
      <c r="J1894">
        <v>94.2</v>
      </c>
      <c r="K1894">
        <v>65.5</v>
      </c>
      <c r="L1894">
        <v>25.4</v>
      </c>
      <c r="M1894">
        <v>12</v>
      </c>
      <c r="N1894">
        <v>8.5677870883560894E-2</v>
      </c>
      <c r="O1894">
        <v>0.14067063434959101</v>
      </c>
    </row>
    <row r="1895" spans="1:15" x14ac:dyDescent="0.3">
      <c r="A1895">
        <v>8106</v>
      </c>
      <c r="B1895">
        <v>3931</v>
      </c>
      <c r="C1895">
        <v>387</v>
      </c>
      <c r="D1895" t="s">
        <v>19</v>
      </c>
      <c r="E1895" t="s">
        <v>16</v>
      </c>
      <c r="F1895" t="s">
        <v>21</v>
      </c>
      <c r="G1895" t="s">
        <v>26</v>
      </c>
      <c r="H1895">
        <v>275.2</v>
      </c>
      <c r="I1895">
        <v>249.5</v>
      </c>
      <c r="J1895">
        <v>96.8</v>
      </c>
      <c r="K1895">
        <v>66</v>
      </c>
      <c r="L1895">
        <v>25.3</v>
      </c>
      <c r="M1895">
        <v>8.5</v>
      </c>
      <c r="N1895">
        <v>9.1892654150134895E-2</v>
      </c>
      <c r="O1895">
        <v>6.4135848848764707E-2</v>
      </c>
    </row>
    <row r="1896" spans="1:15" x14ac:dyDescent="0.3">
      <c r="A1896">
        <v>8107</v>
      </c>
      <c r="B1896">
        <v>3931</v>
      </c>
      <c r="C1896">
        <v>387</v>
      </c>
      <c r="D1896" t="s">
        <v>19</v>
      </c>
      <c r="E1896" t="s">
        <v>16</v>
      </c>
      <c r="F1896" t="s">
        <v>21</v>
      </c>
      <c r="G1896" t="s">
        <v>26</v>
      </c>
      <c r="H1896">
        <v>275.2</v>
      </c>
      <c r="I1896">
        <v>249.5</v>
      </c>
      <c r="J1896">
        <v>96.8</v>
      </c>
      <c r="K1896">
        <v>66</v>
      </c>
      <c r="L1896">
        <v>25.3</v>
      </c>
      <c r="M1896">
        <v>8.5</v>
      </c>
      <c r="N1896">
        <v>0.105538672730529</v>
      </c>
      <c r="O1896">
        <v>8.6927918289696093E-2</v>
      </c>
    </row>
    <row r="1897" spans="1:15" x14ac:dyDescent="0.3">
      <c r="A1897">
        <v>8108</v>
      </c>
      <c r="B1897">
        <v>3931</v>
      </c>
      <c r="C1897">
        <v>387</v>
      </c>
      <c r="D1897" t="s">
        <v>19</v>
      </c>
      <c r="E1897" t="s">
        <v>16</v>
      </c>
      <c r="F1897" t="s">
        <v>21</v>
      </c>
      <c r="G1897" t="s">
        <v>26</v>
      </c>
      <c r="H1897">
        <v>275.2</v>
      </c>
      <c r="I1897">
        <v>249.5</v>
      </c>
      <c r="J1897">
        <v>96.8</v>
      </c>
      <c r="K1897">
        <v>66</v>
      </c>
      <c r="L1897">
        <v>25.3</v>
      </c>
      <c r="M1897">
        <v>8.5</v>
      </c>
      <c r="N1897">
        <v>0.10554449205116199</v>
      </c>
      <c r="O1897">
        <v>7.8324305733638105E-2</v>
      </c>
    </row>
    <row r="1898" spans="1:15" x14ac:dyDescent="0.3">
      <c r="A1898">
        <v>8113</v>
      </c>
      <c r="B1898">
        <v>3933</v>
      </c>
      <c r="C1898">
        <v>289</v>
      </c>
      <c r="D1898" t="s">
        <v>23</v>
      </c>
      <c r="E1898" t="s">
        <v>20</v>
      </c>
      <c r="F1898" t="s">
        <v>17</v>
      </c>
      <c r="G1898" t="s">
        <v>18</v>
      </c>
      <c r="H1898">
        <v>279.39999999999998</v>
      </c>
      <c r="I1898">
        <v>256</v>
      </c>
      <c r="J1898">
        <v>95.5</v>
      </c>
      <c r="K1898">
        <v>69.5</v>
      </c>
      <c r="L1898">
        <v>26.8</v>
      </c>
      <c r="M1898">
        <v>13</v>
      </c>
      <c r="N1898">
        <v>0.113384314825186</v>
      </c>
      <c r="O1898">
        <v>0.44441500908056097</v>
      </c>
    </row>
    <row r="1899" spans="1:15" x14ac:dyDescent="0.3">
      <c r="A1899">
        <v>8114</v>
      </c>
      <c r="B1899">
        <v>3933</v>
      </c>
      <c r="C1899">
        <v>289</v>
      </c>
      <c r="D1899" t="s">
        <v>23</v>
      </c>
      <c r="E1899" t="s">
        <v>20</v>
      </c>
      <c r="F1899" t="s">
        <v>17</v>
      </c>
      <c r="G1899" t="s">
        <v>18</v>
      </c>
      <c r="H1899">
        <v>279.39999999999998</v>
      </c>
      <c r="I1899">
        <v>256</v>
      </c>
      <c r="J1899">
        <v>95.5</v>
      </c>
      <c r="K1899">
        <v>69.5</v>
      </c>
      <c r="L1899">
        <v>26.8</v>
      </c>
      <c r="M1899">
        <v>13</v>
      </c>
      <c r="N1899">
        <v>0.10470821197795301</v>
      </c>
      <c r="O1899">
        <v>0.43987405982216499</v>
      </c>
    </row>
    <row r="1900" spans="1:15" x14ac:dyDescent="0.3">
      <c r="A1900">
        <v>8126</v>
      </c>
      <c r="B1900">
        <v>3938</v>
      </c>
      <c r="C1900">
        <v>193</v>
      </c>
      <c r="D1900" t="s">
        <v>19</v>
      </c>
      <c r="E1900" t="s">
        <v>20</v>
      </c>
      <c r="F1900" t="s">
        <v>17</v>
      </c>
      <c r="G1900" t="s">
        <v>24</v>
      </c>
      <c r="H1900">
        <v>279.60000000000002</v>
      </c>
      <c r="I1900">
        <v>259.5</v>
      </c>
      <c r="J1900">
        <v>97.1</v>
      </c>
      <c r="K1900">
        <v>67.5</v>
      </c>
      <c r="L1900">
        <v>25.4</v>
      </c>
      <c r="M1900">
        <v>7.5</v>
      </c>
      <c r="N1900">
        <v>9.8727271443329295E-2</v>
      </c>
      <c r="O1900">
        <v>1.41061516370901E-2</v>
      </c>
    </row>
    <row r="1901" spans="1:15" x14ac:dyDescent="0.3">
      <c r="A1901">
        <v>8128</v>
      </c>
      <c r="B1901">
        <v>3938</v>
      </c>
      <c r="C1901">
        <v>193</v>
      </c>
      <c r="D1901" t="s">
        <v>19</v>
      </c>
      <c r="E1901" t="s">
        <v>20</v>
      </c>
      <c r="F1901" t="s">
        <v>17</v>
      </c>
      <c r="G1901" t="s">
        <v>24</v>
      </c>
      <c r="H1901">
        <v>279.60000000000002</v>
      </c>
      <c r="I1901">
        <v>259.5</v>
      </c>
      <c r="J1901">
        <v>97.1</v>
      </c>
      <c r="K1901">
        <v>67.5</v>
      </c>
      <c r="L1901">
        <v>25.4</v>
      </c>
      <c r="M1901">
        <v>7.5</v>
      </c>
      <c r="N1901">
        <v>0.116833040490287</v>
      </c>
      <c r="O1901">
        <v>2.25136275269768E-2</v>
      </c>
    </row>
    <row r="1902" spans="1:15" x14ac:dyDescent="0.3">
      <c r="A1902">
        <v>8139</v>
      </c>
      <c r="B1902">
        <v>3942</v>
      </c>
      <c r="C1902">
        <v>84</v>
      </c>
      <c r="D1902" t="s">
        <v>15</v>
      </c>
      <c r="E1902" t="s">
        <v>16</v>
      </c>
      <c r="F1902" t="s">
        <v>21</v>
      </c>
      <c r="G1902" t="s">
        <v>22</v>
      </c>
      <c r="H1902">
        <v>270.89999999999998</v>
      </c>
      <c r="I1902">
        <v>244</v>
      </c>
      <c r="J1902">
        <v>95.8</v>
      </c>
      <c r="K1902">
        <v>64.5</v>
      </c>
      <c r="L1902">
        <v>22.8</v>
      </c>
      <c r="M1902">
        <v>8</v>
      </c>
      <c r="N1902">
        <v>0.26525192835161499</v>
      </c>
      <c r="O1902">
        <v>2.1897013044657101E-2</v>
      </c>
    </row>
    <row r="1903" spans="1:15" x14ac:dyDescent="0.3">
      <c r="A1903">
        <v>8141</v>
      </c>
      <c r="B1903">
        <v>3942</v>
      </c>
      <c r="C1903">
        <v>84</v>
      </c>
      <c r="D1903" t="s">
        <v>15</v>
      </c>
      <c r="E1903" t="s">
        <v>16</v>
      </c>
      <c r="F1903" t="s">
        <v>21</v>
      </c>
      <c r="G1903" t="s">
        <v>22</v>
      </c>
      <c r="H1903">
        <v>270.89999999999998</v>
      </c>
      <c r="I1903">
        <v>244</v>
      </c>
      <c r="J1903">
        <v>95.8</v>
      </c>
      <c r="K1903">
        <v>64.5</v>
      </c>
      <c r="L1903">
        <v>22.8</v>
      </c>
      <c r="M1903">
        <v>8</v>
      </c>
      <c r="N1903">
        <v>0.26790265792357898</v>
      </c>
      <c r="O1903">
        <v>1.9594789784477699E-2</v>
      </c>
    </row>
    <row r="1904" spans="1:15" x14ac:dyDescent="0.3">
      <c r="A1904">
        <v>8142</v>
      </c>
      <c r="B1904">
        <v>3942</v>
      </c>
      <c r="C1904">
        <v>84</v>
      </c>
      <c r="D1904" t="s">
        <v>15</v>
      </c>
      <c r="E1904" t="s">
        <v>16</v>
      </c>
      <c r="F1904" t="s">
        <v>21</v>
      </c>
      <c r="G1904" t="s">
        <v>22</v>
      </c>
      <c r="H1904">
        <v>270.89999999999998</v>
      </c>
      <c r="I1904">
        <v>244</v>
      </c>
      <c r="J1904">
        <v>95.8</v>
      </c>
      <c r="K1904">
        <v>64.5</v>
      </c>
      <c r="L1904">
        <v>22.8</v>
      </c>
      <c r="M1904">
        <v>8</v>
      </c>
      <c r="N1904">
        <v>0.26535758187784197</v>
      </c>
      <c r="O1904">
        <v>2.60593412297754E-2</v>
      </c>
    </row>
    <row r="1905" spans="1:15" x14ac:dyDescent="0.3">
      <c r="A1905">
        <v>8145</v>
      </c>
      <c r="B1905">
        <v>3944</v>
      </c>
      <c r="C1905">
        <v>417</v>
      </c>
      <c r="D1905" t="s">
        <v>19</v>
      </c>
      <c r="E1905" t="s">
        <v>16</v>
      </c>
      <c r="F1905" t="s">
        <v>17</v>
      </c>
      <c r="G1905" t="s">
        <v>22</v>
      </c>
      <c r="H1905">
        <v>268.60000000000002</v>
      </c>
      <c r="I1905">
        <v>234.5</v>
      </c>
      <c r="J1905">
        <v>92.8</v>
      </c>
      <c r="K1905">
        <v>64</v>
      </c>
      <c r="L1905">
        <v>24.3</v>
      </c>
      <c r="M1905">
        <v>5</v>
      </c>
      <c r="N1905">
        <v>0.21619674826952601</v>
      </c>
      <c r="O1905">
        <v>0.14990382793738</v>
      </c>
    </row>
    <row r="1906" spans="1:15" x14ac:dyDescent="0.3">
      <c r="A1906">
        <v>8146</v>
      </c>
      <c r="B1906">
        <v>3944</v>
      </c>
      <c r="C1906">
        <v>417</v>
      </c>
      <c r="D1906" t="s">
        <v>19</v>
      </c>
      <c r="E1906" t="s">
        <v>16</v>
      </c>
      <c r="F1906" t="s">
        <v>17</v>
      </c>
      <c r="G1906" t="s">
        <v>22</v>
      </c>
      <c r="H1906">
        <v>268.60000000000002</v>
      </c>
      <c r="I1906">
        <v>234.5</v>
      </c>
      <c r="J1906">
        <v>92.8</v>
      </c>
      <c r="K1906">
        <v>64</v>
      </c>
      <c r="L1906">
        <v>24.3</v>
      </c>
      <c r="M1906">
        <v>5</v>
      </c>
      <c r="N1906">
        <v>0.23127121051544899</v>
      </c>
      <c r="O1906">
        <v>0.136391601152659</v>
      </c>
    </row>
    <row r="1907" spans="1:15" x14ac:dyDescent="0.3">
      <c r="A1907">
        <v>8147</v>
      </c>
      <c r="B1907">
        <v>3944</v>
      </c>
      <c r="C1907">
        <v>417</v>
      </c>
      <c r="D1907" t="s">
        <v>19</v>
      </c>
      <c r="E1907" t="s">
        <v>16</v>
      </c>
      <c r="F1907" t="s">
        <v>17</v>
      </c>
      <c r="G1907" t="s">
        <v>22</v>
      </c>
      <c r="H1907">
        <v>268.60000000000002</v>
      </c>
      <c r="I1907">
        <v>234.5</v>
      </c>
      <c r="J1907">
        <v>92.8</v>
      </c>
      <c r="K1907">
        <v>64</v>
      </c>
      <c r="L1907">
        <v>24.3</v>
      </c>
      <c r="M1907">
        <v>5</v>
      </c>
      <c r="N1907">
        <v>0.21117513045910399</v>
      </c>
      <c r="O1907">
        <v>0.164686077423883</v>
      </c>
    </row>
    <row r="1908" spans="1:15" x14ac:dyDescent="0.3">
      <c r="A1908">
        <v>8167</v>
      </c>
      <c r="B1908">
        <v>3952</v>
      </c>
      <c r="C1908">
        <v>95</v>
      </c>
      <c r="D1908" t="s">
        <v>23</v>
      </c>
      <c r="E1908" t="s">
        <v>20</v>
      </c>
      <c r="F1908" t="s">
        <v>17</v>
      </c>
      <c r="G1908" t="s">
        <v>18</v>
      </c>
      <c r="H1908">
        <v>276.60000000000002</v>
      </c>
      <c r="I1908">
        <v>250.5</v>
      </c>
      <c r="J1908">
        <v>100</v>
      </c>
      <c r="K1908">
        <v>67</v>
      </c>
      <c r="L1908">
        <v>28.2</v>
      </c>
      <c r="M1908">
        <v>6.5</v>
      </c>
      <c r="N1908">
        <v>0.112090347347003</v>
      </c>
      <c r="O1908">
        <v>0.30696535560981097</v>
      </c>
    </row>
    <row r="1909" spans="1:15" x14ac:dyDescent="0.3">
      <c r="A1909">
        <v>8177</v>
      </c>
      <c r="B1909">
        <v>3956</v>
      </c>
      <c r="C1909">
        <v>26</v>
      </c>
      <c r="D1909" t="s">
        <v>23</v>
      </c>
      <c r="E1909" t="s">
        <v>20</v>
      </c>
      <c r="F1909" t="s">
        <v>21</v>
      </c>
      <c r="G1909" t="s">
        <v>22</v>
      </c>
      <c r="H1909">
        <v>270.5</v>
      </c>
      <c r="I1909">
        <v>243.5</v>
      </c>
      <c r="J1909">
        <v>95.9</v>
      </c>
      <c r="K1909">
        <v>66</v>
      </c>
      <c r="L1909">
        <v>26.9</v>
      </c>
      <c r="M1909">
        <v>6</v>
      </c>
      <c r="N1909">
        <v>0.194452729730413</v>
      </c>
      <c r="O1909">
        <v>0.375964735127373</v>
      </c>
    </row>
    <row r="1910" spans="1:15" x14ac:dyDescent="0.3">
      <c r="A1910">
        <v>8178</v>
      </c>
      <c r="B1910">
        <v>3956</v>
      </c>
      <c r="C1910">
        <v>26</v>
      </c>
      <c r="D1910" t="s">
        <v>23</v>
      </c>
      <c r="E1910" t="s">
        <v>20</v>
      </c>
      <c r="F1910" t="s">
        <v>21</v>
      </c>
      <c r="G1910" t="s">
        <v>22</v>
      </c>
      <c r="H1910">
        <v>270.5</v>
      </c>
      <c r="I1910">
        <v>243.5</v>
      </c>
      <c r="J1910">
        <v>95.9</v>
      </c>
      <c r="K1910">
        <v>66</v>
      </c>
      <c r="L1910">
        <v>26.9</v>
      </c>
      <c r="M1910">
        <v>6</v>
      </c>
      <c r="N1910">
        <v>0.21242871336190999</v>
      </c>
      <c r="O1910">
        <v>0.40180528342328697</v>
      </c>
    </row>
    <row r="1911" spans="1:15" x14ac:dyDescent="0.3">
      <c r="A1911">
        <v>8179</v>
      </c>
      <c r="B1911">
        <v>3956</v>
      </c>
      <c r="C1911">
        <v>26</v>
      </c>
      <c r="D1911" t="s">
        <v>23</v>
      </c>
      <c r="E1911" t="s">
        <v>20</v>
      </c>
      <c r="F1911" t="s">
        <v>21</v>
      </c>
      <c r="G1911" t="s">
        <v>22</v>
      </c>
      <c r="H1911">
        <v>270.5</v>
      </c>
      <c r="I1911">
        <v>243.5</v>
      </c>
      <c r="J1911">
        <v>95.9</v>
      </c>
      <c r="K1911">
        <v>66</v>
      </c>
      <c r="L1911">
        <v>26.9</v>
      </c>
      <c r="M1911">
        <v>6</v>
      </c>
      <c r="N1911">
        <v>0.21092091895106799</v>
      </c>
      <c r="O1911">
        <v>0.36582483544007099</v>
      </c>
    </row>
    <row r="1912" spans="1:15" x14ac:dyDescent="0.3">
      <c r="A1912">
        <v>8180</v>
      </c>
      <c r="B1912">
        <v>3957</v>
      </c>
      <c r="C1912">
        <v>325</v>
      </c>
      <c r="D1912" t="s">
        <v>19</v>
      </c>
      <c r="E1912" t="s">
        <v>16</v>
      </c>
      <c r="F1912" t="s">
        <v>21</v>
      </c>
      <c r="G1912" t="s">
        <v>24</v>
      </c>
      <c r="H1912">
        <v>274</v>
      </c>
      <c r="I1912">
        <v>243.5</v>
      </c>
      <c r="J1912">
        <v>94.8</v>
      </c>
      <c r="K1912">
        <v>65.5</v>
      </c>
      <c r="L1912">
        <v>26.1</v>
      </c>
      <c r="M1912">
        <v>13</v>
      </c>
      <c r="N1912">
        <v>0.24261668197178399</v>
      </c>
      <c r="O1912">
        <v>9.72488028012264E-2</v>
      </c>
    </row>
    <row r="1913" spans="1:15" x14ac:dyDescent="0.3">
      <c r="A1913">
        <v>8181</v>
      </c>
      <c r="B1913">
        <v>3957</v>
      </c>
      <c r="C1913">
        <v>325</v>
      </c>
      <c r="D1913" t="s">
        <v>19</v>
      </c>
      <c r="E1913" t="s">
        <v>16</v>
      </c>
      <c r="F1913" t="s">
        <v>21</v>
      </c>
      <c r="G1913" t="s">
        <v>24</v>
      </c>
      <c r="H1913">
        <v>274</v>
      </c>
      <c r="I1913">
        <v>243.5</v>
      </c>
      <c r="J1913">
        <v>94.8</v>
      </c>
      <c r="K1913">
        <v>65.5</v>
      </c>
      <c r="L1913">
        <v>26.1</v>
      </c>
      <c r="M1913">
        <v>13</v>
      </c>
      <c r="N1913">
        <v>0.225344839727358</v>
      </c>
      <c r="O1913">
        <v>0.107569022711762</v>
      </c>
    </row>
    <row r="1914" spans="1:15" x14ac:dyDescent="0.3">
      <c r="A1914">
        <v>8182</v>
      </c>
      <c r="B1914">
        <v>3958</v>
      </c>
      <c r="C1914">
        <v>154</v>
      </c>
      <c r="D1914" t="s">
        <v>23</v>
      </c>
      <c r="E1914" t="s">
        <v>20</v>
      </c>
      <c r="F1914" t="s">
        <v>21</v>
      </c>
      <c r="G1914" t="s">
        <v>18</v>
      </c>
      <c r="H1914">
        <v>278.39999999999998</v>
      </c>
      <c r="I1914">
        <v>245</v>
      </c>
      <c r="J1914">
        <v>94.5</v>
      </c>
      <c r="K1914">
        <v>64</v>
      </c>
      <c r="L1914">
        <v>25.4</v>
      </c>
      <c r="M1914">
        <v>10.5</v>
      </c>
      <c r="N1914">
        <v>0.130430942168132</v>
      </c>
      <c r="O1914">
        <v>0.31871039221488501</v>
      </c>
    </row>
    <row r="1915" spans="1:15" x14ac:dyDescent="0.3">
      <c r="A1915">
        <v>8183</v>
      </c>
      <c r="B1915">
        <v>3958</v>
      </c>
      <c r="C1915">
        <v>154</v>
      </c>
      <c r="D1915" t="s">
        <v>23</v>
      </c>
      <c r="E1915" t="s">
        <v>20</v>
      </c>
      <c r="F1915" t="s">
        <v>21</v>
      </c>
      <c r="G1915" t="s">
        <v>18</v>
      </c>
      <c r="H1915">
        <v>278.39999999999998</v>
      </c>
      <c r="I1915">
        <v>245</v>
      </c>
      <c r="J1915">
        <v>94.5</v>
      </c>
      <c r="K1915">
        <v>64</v>
      </c>
      <c r="L1915">
        <v>25.4</v>
      </c>
      <c r="M1915">
        <v>10.5</v>
      </c>
      <c r="N1915">
        <v>0.15217082831940501</v>
      </c>
      <c r="O1915">
        <v>0.34619797078191</v>
      </c>
    </row>
    <row r="1916" spans="1:15" x14ac:dyDescent="0.3">
      <c r="A1916">
        <v>8196</v>
      </c>
      <c r="B1916">
        <v>3965</v>
      </c>
      <c r="C1916">
        <v>190</v>
      </c>
      <c r="D1916" t="s">
        <v>23</v>
      </c>
      <c r="E1916" t="s">
        <v>20</v>
      </c>
      <c r="F1916" t="s">
        <v>21</v>
      </c>
      <c r="G1916" t="s">
        <v>24</v>
      </c>
      <c r="H1916">
        <v>276.60000000000002</v>
      </c>
      <c r="I1916">
        <v>243.5</v>
      </c>
      <c r="J1916">
        <v>94.8</v>
      </c>
      <c r="K1916">
        <v>67</v>
      </c>
      <c r="L1916">
        <v>27</v>
      </c>
      <c r="M1916">
        <v>9.5</v>
      </c>
      <c r="N1916">
        <v>0.13266895444473101</v>
      </c>
      <c r="O1916">
        <v>0.28071689794918803</v>
      </c>
    </row>
    <row r="1917" spans="1:15" x14ac:dyDescent="0.3">
      <c r="A1917">
        <v>8215</v>
      </c>
      <c r="B1917">
        <v>3970</v>
      </c>
      <c r="C1917">
        <v>400</v>
      </c>
      <c r="D1917" t="s">
        <v>19</v>
      </c>
      <c r="E1917" t="s">
        <v>20</v>
      </c>
      <c r="F1917" t="s">
        <v>17</v>
      </c>
      <c r="G1917" t="s">
        <v>24</v>
      </c>
      <c r="H1917">
        <v>274.10000000000002</v>
      </c>
      <c r="I1917">
        <v>253</v>
      </c>
      <c r="J1917">
        <v>96.6</v>
      </c>
      <c r="K1917">
        <v>66.5</v>
      </c>
      <c r="L1917">
        <v>25.5</v>
      </c>
      <c r="M1917">
        <v>12</v>
      </c>
      <c r="N1917">
        <v>3.5649519974557398E-2</v>
      </c>
      <c r="O1917">
        <v>6.9093966690015399E-2</v>
      </c>
    </row>
    <row r="1918" spans="1:15" x14ac:dyDescent="0.3">
      <c r="A1918">
        <v>8216</v>
      </c>
      <c r="B1918">
        <v>3970</v>
      </c>
      <c r="C1918">
        <v>400</v>
      </c>
      <c r="D1918" t="s">
        <v>19</v>
      </c>
      <c r="E1918" t="s">
        <v>20</v>
      </c>
      <c r="F1918" t="s">
        <v>17</v>
      </c>
      <c r="G1918" t="s">
        <v>24</v>
      </c>
      <c r="H1918">
        <v>274.10000000000002</v>
      </c>
      <c r="I1918">
        <v>253</v>
      </c>
      <c r="J1918">
        <v>96.6</v>
      </c>
      <c r="K1918">
        <v>66.5</v>
      </c>
      <c r="L1918">
        <v>25.5</v>
      </c>
      <c r="M1918">
        <v>12</v>
      </c>
      <c r="N1918">
        <v>7.2952308420244805E-2</v>
      </c>
      <c r="O1918">
        <v>8.9492236586823495E-2</v>
      </c>
    </row>
    <row r="1919" spans="1:15" x14ac:dyDescent="0.3">
      <c r="A1919">
        <v>8223</v>
      </c>
      <c r="B1919">
        <v>3973</v>
      </c>
      <c r="C1919">
        <v>261</v>
      </c>
      <c r="D1919" t="s">
        <v>23</v>
      </c>
      <c r="E1919" t="s">
        <v>20</v>
      </c>
      <c r="F1919" t="s">
        <v>21</v>
      </c>
      <c r="G1919" t="s">
        <v>25</v>
      </c>
      <c r="H1919">
        <v>276.60000000000002</v>
      </c>
      <c r="I1919">
        <v>246</v>
      </c>
      <c r="J1919">
        <v>96.1</v>
      </c>
      <c r="K1919">
        <v>65.5</v>
      </c>
      <c r="L1919">
        <v>29.4</v>
      </c>
      <c r="M1919">
        <v>12</v>
      </c>
      <c r="N1919">
        <v>4.6953399359269801E-2</v>
      </c>
      <c r="O1919">
        <v>0.339366271675972</v>
      </c>
    </row>
    <row r="1920" spans="1:15" x14ac:dyDescent="0.3">
      <c r="A1920">
        <v>8224</v>
      </c>
      <c r="B1920">
        <v>3973</v>
      </c>
      <c r="C1920">
        <v>261</v>
      </c>
      <c r="D1920" t="s">
        <v>23</v>
      </c>
      <c r="E1920" t="s">
        <v>20</v>
      </c>
      <c r="F1920" t="s">
        <v>21</v>
      </c>
      <c r="G1920" t="s">
        <v>25</v>
      </c>
      <c r="H1920">
        <v>276.60000000000002</v>
      </c>
      <c r="I1920">
        <v>246</v>
      </c>
      <c r="J1920">
        <v>96.1</v>
      </c>
      <c r="K1920">
        <v>65.5</v>
      </c>
      <c r="L1920">
        <v>29.4</v>
      </c>
      <c r="M1920">
        <v>12</v>
      </c>
      <c r="N1920">
        <v>4.6561620855333601E-2</v>
      </c>
      <c r="O1920">
        <v>0.36601874989439498</v>
      </c>
    </row>
    <row r="1921" spans="1:15" x14ac:dyDescent="0.3">
      <c r="A1921">
        <v>8225</v>
      </c>
      <c r="B1921">
        <v>3973</v>
      </c>
      <c r="C1921">
        <v>261</v>
      </c>
      <c r="D1921" t="s">
        <v>23</v>
      </c>
      <c r="E1921" t="s">
        <v>20</v>
      </c>
      <c r="F1921" t="s">
        <v>21</v>
      </c>
      <c r="G1921" t="s">
        <v>25</v>
      </c>
      <c r="H1921">
        <v>276.60000000000002</v>
      </c>
      <c r="I1921">
        <v>246</v>
      </c>
      <c r="J1921">
        <v>96.1</v>
      </c>
      <c r="K1921">
        <v>65.5</v>
      </c>
      <c r="L1921">
        <v>29.4</v>
      </c>
      <c r="M1921">
        <v>12</v>
      </c>
      <c r="N1921">
        <v>2.8052429552372402E-2</v>
      </c>
      <c r="O1921">
        <v>0.335221702135512</v>
      </c>
    </row>
    <row r="1922" spans="1:15" x14ac:dyDescent="0.3">
      <c r="A1922">
        <v>8233</v>
      </c>
      <c r="B1922">
        <v>3976</v>
      </c>
      <c r="C1922">
        <v>368</v>
      </c>
      <c r="D1922" t="s">
        <v>19</v>
      </c>
      <c r="E1922" t="s">
        <v>16</v>
      </c>
      <c r="F1922" t="s">
        <v>17</v>
      </c>
      <c r="G1922" t="s">
        <v>25</v>
      </c>
      <c r="H1922">
        <v>273.3</v>
      </c>
      <c r="I1922">
        <v>249</v>
      </c>
      <c r="J1922">
        <v>98.9</v>
      </c>
      <c r="K1922">
        <v>68.5</v>
      </c>
      <c r="L1922">
        <v>23.8</v>
      </c>
      <c r="M1922">
        <v>9</v>
      </c>
      <c r="N1922">
        <v>0.118010318774827</v>
      </c>
      <c r="O1922">
        <v>3.07231302885187E-2</v>
      </c>
    </row>
    <row r="1923" spans="1:15" x14ac:dyDescent="0.3">
      <c r="A1923">
        <v>8234</v>
      </c>
      <c r="B1923">
        <v>3976</v>
      </c>
      <c r="C1923">
        <v>368</v>
      </c>
      <c r="D1923" t="s">
        <v>19</v>
      </c>
      <c r="E1923" t="s">
        <v>16</v>
      </c>
      <c r="F1923" t="s">
        <v>17</v>
      </c>
      <c r="G1923" t="s">
        <v>25</v>
      </c>
      <c r="H1923">
        <v>273.3</v>
      </c>
      <c r="I1923">
        <v>249</v>
      </c>
      <c r="J1923">
        <v>98.9</v>
      </c>
      <c r="K1923">
        <v>68.5</v>
      </c>
      <c r="L1923">
        <v>23.8</v>
      </c>
      <c r="M1923">
        <v>9</v>
      </c>
      <c r="N1923">
        <v>0.128974248620642</v>
      </c>
      <c r="O1923">
        <v>2.9184278860092099E-2</v>
      </c>
    </row>
    <row r="1924" spans="1:15" x14ac:dyDescent="0.3">
      <c r="A1924">
        <v>8238</v>
      </c>
      <c r="B1924">
        <v>3979</v>
      </c>
      <c r="C1924">
        <v>256</v>
      </c>
      <c r="D1924" t="s">
        <v>23</v>
      </c>
      <c r="E1924" t="s">
        <v>16</v>
      </c>
      <c r="F1924" t="s">
        <v>17</v>
      </c>
      <c r="G1924" t="s">
        <v>22</v>
      </c>
      <c r="H1924">
        <v>276.89999999999998</v>
      </c>
      <c r="I1924">
        <v>246</v>
      </c>
      <c r="J1924">
        <v>94.3</v>
      </c>
      <c r="K1924">
        <v>65.5</v>
      </c>
      <c r="L1924">
        <v>25.1</v>
      </c>
      <c r="M1924">
        <v>6</v>
      </c>
      <c r="N1924">
        <v>0.224429630182956</v>
      </c>
      <c r="O1924">
        <v>0.41609264424453202</v>
      </c>
    </row>
    <row r="1925" spans="1:15" x14ac:dyDescent="0.3">
      <c r="A1925">
        <v>8239</v>
      </c>
      <c r="B1925">
        <v>3979</v>
      </c>
      <c r="C1925">
        <v>256</v>
      </c>
      <c r="D1925" t="s">
        <v>23</v>
      </c>
      <c r="E1925" t="s">
        <v>16</v>
      </c>
      <c r="F1925" t="s">
        <v>17</v>
      </c>
      <c r="G1925" t="s">
        <v>22</v>
      </c>
      <c r="H1925">
        <v>276.89999999999998</v>
      </c>
      <c r="I1925">
        <v>246</v>
      </c>
      <c r="J1925">
        <v>94.3</v>
      </c>
      <c r="K1925">
        <v>65.5</v>
      </c>
      <c r="L1925">
        <v>25.1</v>
      </c>
      <c r="M1925">
        <v>6</v>
      </c>
      <c r="N1925">
        <v>0.21098196738595401</v>
      </c>
      <c r="O1925">
        <v>0.39754585463474101</v>
      </c>
    </row>
    <row r="1926" spans="1:15" x14ac:dyDescent="0.3">
      <c r="A1926">
        <v>8240</v>
      </c>
      <c r="B1926">
        <v>398</v>
      </c>
      <c r="C1926">
        <v>255</v>
      </c>
      <c r="D1926" t="s">
        <v>19</v>
      </c>
      <c r="E1926" t="s">
        <v>16</v>
      </c>
      <c r="F1926" t="s">
        <v>17</v>
      </c>
      <c r="G1926" t="s">
        <v>25</v>
      </c>
      <c r="H1926">
        <v>278.2</v>
      </c>
      <c r="I1926">
        <v>254.5</v>
      </c>
      <c r="J1926">
        <v>94.5</v>
      </c>
      <c r="K1926">
        <v>67</v>
      </c>
      <c r="L1926">
        <v>27.9</v>
      </c>
      <c r="M1926">
        <v>11.5</v>
      </c>
      <c r="N1926">
        <v>0.28945180492878703</v>
      </c>
      <c r="O1926">
        <v>0.100644433519178</v>
      </c>
    </row>
    <row r="1927" spans="1:15" x14ac:dyDescent="0.3">
      <c r="A1927">
        <v>8245</v>
      </c>
      <c r="B1927">
        <v>3980</v>
      </c>
      <c r="C1927">
        <v>388</v>
      </c>
      <c r="D1927" t="s">
        <v>19</v>
      </c>
      <c r="E1927" t="s">
        <v>16</v>
      </c>
      <c r="F1927" t="s">
        <v>17</v>
      </c>
      <c r="G1927" t="s">
        <v>25</v>
      </c>
      <c r="H1927">
        <v>277.10000000000002</v>
      </c>
      <c r="I1927">
        <v>244.5</v>
      </c>
      <c r="J1927">
        <v>91.9</v>
      </c>
      <c r="K1927">
        <v>62.5</v>
      </c>
      <c r="L1927">
        <v>25.9</v>
      </c>
      <c r="M1927">
        <v>7</v>
      </c>
      <c r="N1927">
        <v>9.9410072527001805E-2</v>
      </c>
      <c r="O1927">
        <v>6.9536151213813596E-2</v>
      </c>
    </row>
    <row r="1928" spans="1:15" x14ac:dyDescent="0.3">
      <c r="A1928">
        <v>8246</v>
      </c>
      <c r="B1928">
        <v>3980</v>
      </c>
      <c r="C1928">
        <v>388</v>
      </c>
      <c r="D1928" t="s">
        <v>19</v>
      </c>
      <c r="E1928" t="s">
        <v>16</v>
      </c>
      <c r="F1928" t="s">
        <v>17</v>
      </c>
      <c r="G1928" t="s">
        <v>25</v>
      </c>
      <c r="H1928">
        <v>277.10000000000002</v>
      </c>
      <c r="I1928">
        <v>244.5</v>
      </c>
      <c r="J1928">
        <v>91.9</v>
      </c>
      <c r="K1928">
        <v>62.5</v>
      </c>
      <c r="L1928">
        <v>25.9</v>
      </c>
      <c r="M1928">
        <v>7</v>
      </c>
      <c r="N1928">
        <v>0.111683706708422</v>
      </c>
      <c r="O1928">
        <v>6.7502905504481597E-2</v>
      </c>
    </row>
    <row r="1929" spans="1:15" x14ac:dyDescent="0.3">
      <c r="A1929">
        <v>8247</v>
      </c>
      <c r="B1929">
        <v>3980</v>
      </c>
      <c r="C1929">
        <v>388</v>
      </c>
      <c r="D1929" t="s">
        <v>19</v>
      </c>
      <c r="E1929" t="s">
        <v>16</v>
      </c>
      <c r="F1929" t="s">
        <v>17</v>
      </c>
      <c r="G1929" t="s">
        <v>25</v>
      </c>
      <c r="H1929">
        <v>277.10000000000002</v>
      </c>
      <c r="I1929">
        <v>244.5</v>
      </c>
      <c r="J1929">
        <v>91.9</v>
      </c>
      <c r="K1929">
        <v>62.5</v>
      </c>
      <c r="L1929">
        <v>25.9</v>
      </c>
      <c r="M1929">
        <v>7</v>
      </c>
      <c r="N1929">
        <v>0.107464830339595</v>
      </c>
      <c r="O1929">
        <v>5.3697884840277002E-2</v>
      </c>
    </row>
    <row r="1930" spans="1:15" x14ac:dyDescent="0.3">
      <c r="A1930">
        <v>8248</v>
      </c>
      <c r="B1930">
        <v>3980</v>
      </c>
      <c r="C1930">
        <v>388</v>
      </c>
      <c r="D1930" t="s">
        <v>19</v>
      </c>
      <c r="E1930" t="s">
        <v>16</v>
      </c>
      <c r="F1930" t="s">
        <v>17</v>
      </c>
      <c r="G1930" t="s">
        <v>25</v>
      </c>
      <c r="H1930">
        <v>277.10000000000002</v>
      </c>
      <c r="I1930">
        <v>244.5</v>
      </c>
      <c r="J1930">
        <v>91.9</v>
      </c>
      <c r="K1930">
        <v>62.5</v>
      </c>
      <c r="L1930">
        <v>25.9</v>
      </c>
      <c r="M1930">
        <v>7</v>
      </c>
      <c r="N1930">
        <v>9.9535000754187503E-2</v>
      </c>
      <c r="O1930">
        <v>6.3264424298351399E-2</v>
      </c>
    </row>
    <row r="1931" spans="1:15" x14ac:dyDescent="0.3">
      <c r="A1931">
        <v>8249</v>
      </c>
      <c r="B1931">
        <v>3980</v>
      </c>
      <c r="C1931">
        <v>388</v>
      </c>
      <c r="D1931" t="s">
        <v>19</v>
      </c>
      <c r="E1931" t="s">
        <v>16</v>
      </c>
      <c r="F1931" t="s">
        <v>17</v>
      </c>
      <c r="G1931" t="s">
        <v>25</v>
      </c>
      <c r="H1931">
        <v>277.10000000000002</v>
      </c>
      <c r="I1931">
        <v>244.5</v>
      </c>
      <c r="J1931">
        <v>91.9</v>
      </c>
      <c r="K1931">
        <v>62.5</v>
      </c>
      <c r="L1931">
        <v>25.9</v>
      </c>
      <c r="M1931">
        <v>7</v>
      </c>
      <c r="N1931">
        <v>8.5259320817649004E-2</v>
      </c>
      <c r="O1931">
        <v>7.61028647677367E-2</v>
      </c>
    </row>
    <row r="1932" spans="1:15" x14ac:dyDescent="0.3">
      <c r="A1932">
        <v>8250</v>
      </c>
      <c r="B1932">
        <v>3980</v>
      </c>
      <c r="C1932">
        <v>388</v>
      </c>
      <c r="D1932" t="s">
        <v>19</v>
      </c>
      <c r="E1932" t="s">
        <v>16</v>
      </c>
      <c r="F1932" t="s">
        <v>17</v>
      </c>
      <c r="G1932" t="s">
        <v>25</v>
      </c>
      <c r="H1932">
        <v>277.10000000000002</v>
      </c>
      <c r="I1932">
        <v>244.5</v>
      </c>
      <c r="J1932">
        <v>91.9</v>
      </c>
      <c r="K1932">
        <v>62.5</v>
      </c>
      <c r="L1932">
        <v>25.9</v>
      </c>
      <c r="M1932">
        <v>7</v>
      </c>
      <c r="N1932">
        <v>7.98579470473436E-2</v>
      </c>
      <c r="O1932">
        <v>8.4347937300559603E-2</v>
      </c>
    </row>
    <row r="1933" spans="1:15" x14ac:dyDescent="0.3">
      <c r="A1933">
        <v>8259</v>
      </c>
      <c r="B1933">
        <v>3984</v>
      </c>
      <c r="C1933">
        <v>80</v>
      </c>
      <c r="D1933" t="s">
        <v>23</v>
      </c>
      <c r="E1933" t="s">
        <v>20</v>
      </c>
      <c r="F1933" t="s">
        <v>17</v>
      </c>
      <c r="G1933" t="s">
        <v>22</v>
      </c>
      <c r="H1933">
        <v>279</v>
      </c>
      <c r="I1933">
        <v>254</v>
      </c>
      <c r="J1933">
        <v>97.1</v>
      </c>
      <c r="K1933">
        <v>67</v>
      </c>
      <c r="L1933">
        <v>24.6</v>
      </c>
      <c r="M1933">
        <v>7</v>
      </c>
      <c r="N1933">
        <v>0.21950114712037</v>
      </c>
      <c r="O1933">
        <v>0.36166419196073002</v>
      </c>
    </row>
    <row r="1934" spans="1:15" x14ac:dyDescent="0.3">
      <c r="A1934">
        <v>8260</v>
      </c>
      <c r="B1934">
        <v>3984</v>
      </c>
      <c r="C1934">
        <v>80</v>
      </c>
      <c r="D1934" t="s">
        <v>23</v>
      </c>
      <c r="E1934" t="s">
        <v>20</v>
      </c>
      <c r="F1934" t="s">
        <v>17</v>
      </c>
      <c r="G1934" t="s">
        <v>22</v>
      </c>
      <c r="H1934">
        <v>279</v>
      </c>
      <c r="I1934">
        <v>254</v>
      </c>
      <c r="J1934">
        <v>97.1</v>
      </c>
      <c r="K1934">
        <v>67</v>
      </c>
      <c r="L1934">
        <v>24.6</v>
      </c>
      <c r="M1934">
        <v>7</v>
      </c>
      <c r="N1934">
        <v>0.18698828426720401</v>
      </c>
      <c r="O1934">
        <v>0.34732292432689899</v>
      </c>
    </row>
    <row r="1935" spans="1:15" x14ac:dyDescent="0.3">
      <c r="A1935">
        <v>8261</v>
      </c>
      <c r="B1935">
        <v>3984</v>
      </c>
      <c r="C1935">
        <v>80</v>
      </c>
      <c r="D1935" t="s">
        <v>23</v>
      </c>
      <c r="E1935" t="s">
        <v>20</v>
      </c>
      <c r="F1935" t="s">
        <v>17</v>
      </c>
      <c r="G1935" t="s">
        <v>22</v>
      </c>
      <c r="H1935">
        <v>279</v>
      </c>
      <c r="I1935">
        <v>254</v>
      </c>
      <c r="J1935">
        <v>97.1</v>
      </c>
      <c r="K1935">
        <v>67</v>
      </c>
      <c r="L1935">
        <v>24.6</v>
      </c>
      <c r="M1935">
        <v>7</v>
      </c>
      <c r="N1935">
        <v>0.19057158598297799</v>
      </c>
      <c r="O1935">
        <v>0.335046666316339</v>
      </c>
    </row>
    <row r="1936" spans="1:15" x14ac:dyDescent="0.3">
      <c r="A1936">
        <v>8262</v>
      </c>
      <c r="B1936">
        <v>3985</v>
      </c>
      <c r="C1936">
        <v>144</v>
      </c>
      <c r="D1936" t="s">
        <v>19</v>
      </c>
      <c r="E1936" t="s">
        <v>20</v>
      </c>
      <c r="F1936" t="s">
        <v>21</v>
      </c>
      <c r="G1936" t="s">
        <v>24</v>
      </c>
      <c r="H1936">
        <v>268.89999999999998</v>
      </c>
      <c r="I1936">
        <v>244.5</v>
      </c>
      <c r="J1936">
        <v>93.6</v>
      </c>
      <c r="K1936">
        <v>66</v>
      </c>
      <c r="L1936">
        <v>26.2</v>
      </c>
      <c r="M1936">
        <v>8</v>
      </c>
      <c r="N1936">
        <v>0.21675304885437399</v>
      </c>
      <c r="O1936">
        <v>9.4231474567179705E-3</v>
      </c>
    </row>
    <row r="1937" spans="1:15" x14ac:dyDescent="0.3">
      <c r="A1937">
        <v>8264</v>
      </c>
      <c r="B1937">
        <v>3985</v>
      </c>
      <c r="C1937">
        <v>144</v>
      </c>
      <c r="D1937" t="s">
        <v>19</v>
      </c>
      <c r="E1937" t="s">
        <v>20</v>
      </c>
      <c r="F1937" t="s">
        <v>21</v>
      </c>
      <c r="G1937" t="s">
        <v>24</v>
      </c>
      <c r="H1937">
        <v>268.89999999999998</v>
      </c>
      <c r="I1937">
        <v>244.5</v>
      </c>
      <c r="J1937">
        <v>93.6</v>
      </c>
      <c r="K1937">
        <v>66</v>
      </c>
      <c r="L1937">
        <v>26.2</v>
      </c>
      <c r="M1937">
        <v>8</v>
      </c>
      <c r="N1937">
        <v>0.195881055861724</v>
      </c>
      <c r="O1937">
        <v>2.81190833694684E-2</v>
      </c>
    </row>
    <row r="1938" spans="1:15" x14ac:dyDescent="0.3">
      <c r="A1938">
        <v>8270</v>
      </c>
      <c r="B1938">
        <v>3989</v>
      </c>
      <c r="C1938">
        <v>62</v>
      </c>
      <c r="D1938" t="s">
        <v>19</v>
      </c>
      <c r="E1938" t="s">
        <v>20</v>
      </c>
      <c r="F1938" t="s">
        <v>17</v>
      </c>
      <c r="G1938" t="s">
        <v>25</v>
      </c>
      <c r="H1938">
        <v>274.5</v>
      </c>
      <c r="I1938">
        <v>256.5</v>
      </c>
      <c r="J1938">
        <v>98.4</v>
      </c>
      <c r="K1938">
        <v>71.5</v>
      </c>
      <c r="L1938">
        <v>29.3</v>
      </c>
      <c r="M1938">
        <v>6</v>
      </c>
      <c r="N1938">
        <v>0.27025049876045398</v>
      </c>
      <c r="O1938">
        <v>0.12378739508368</v>
      </c>
    </row>
    <row r="1939" spans="1:15" x14ac:dyDescent="0.3">
      <c r="A1939">
        <v>8272</v>
      </c>
      <c r="B1939">
        <v>3990</v>
      </c>
      <c r="C1939">
        <v>218</v>
      </c>
      <c r="D1939" t="s">
        <v>19</v>
      </c>
      <c r="E1939" t="s">
        <v>16</v>
      </c>
      <c r="F1939" t="s">
        <v>21</v>
      </c>
      <c r="G1939" t="s">
        <v>22</v>
      </c>
      <c r="H1939">
        <v>274.5</v>
      </c>
      <c r="I1939">
        <v>258</v>
      </c>
      <c r="J1939">
        <v>101.5</v>
      </c>
      <c r="K1939">
        <v>66.5</v>
      </c>
      <c r="L1939">
        <v>27.9</v>
      </c>
      <c r="M1939">
        <v>10</v>
      </c>
      <c r="N1939">
        <v>0.14016995022488399</v>
      </c>
      <c r="O1939">
        <v>0.102413115650635</v>
      </c>
    </row>
    <row r="1940" spans="1:15" x14ac:dyDescent="0.3">
      <c r="A1940">
        <v>8273</v>
      </c>
      <c r="B1940">
        <v>3990</v>
      </c>
      <c r="C1940">
        <v>218</v>
      </c>
      <c r="D1940" t="s">
        <v>19</v>
      </c>
      <c r="E1940" t="s">
        <v>16</v>
      </c>
      <c r="F1940" t="s">
        <v>21</v>
      </c>
      <c r="G1940" t="s">
        <v>22</v>
      </c>
      <c r="H1940">
        <v>274.5</v>
      </c>
      <c r="I1940">
        <v>258</v>
      </c>
      <c r="J1940">
        <v>101.5</v>
      </c>
      <c r="K1940">
        <v>66.5</v>
      </c>
      <c r="L1940">
        <v>27.9</v>
      </c>
      <c r="M1940">
        <v>10</v>
      </c>
      <c r="N1940">
        <v>0.132689591016871</v>
      </c>
      <c r="O1940">
        <v>9.5761298804932393E-2</v>
      </c>
    </row>
    <row r="1941" spans="1:15" x14ac:dyDescent="0.3">
      <c r="A1941">
        <v>8286</v>
      </c>
      <c r="B1941">
        <v>3994</v>
      </c>
      <c r="C1941">
        <v>340</v>
      </c>
      <c r="D1941" t="s">
        <v>23</v>
      </c>
      <c r="E1941" t="s">
        <v>20</v>
      </c>
      <c r="F1941" t="s">
        <v>21</v>
      </c>
      <c r="G1941" t="s">
        <v>24</v>
      </c>
      <c r="H1941">
        <v>274.60000000000002</v>
      </c>
      <c r="I1941">
        <v>261.5</v>
      </c>
      <c r="J1941">
        <v>96.7</v>
      </c>
      <c r="K1941">
        <v>62</v>
      </c>
      <c r="L1941">
        <v>28.9</v>
      </c>
      <c r="M1941">
        <v>10.5</v>
      </c>
      <c r="N1941">
        <v>5.0205019946691097E-2</v>
      </c>
      <c r="O1941">
        <v>0.38582304104698201</v>
      </c>
    </row>
    <row r="1942" spans="1:15" x14ac:dyDescent="0.3">
      <c r="A1942">
        <v>8287</v>
      </c>
      <c r="B1942">
        <v>3994</v>
      </c>
      <c r="C1942">
        <v>340</v>
      </c>
      <c r="D1942" t="s">
        <v>23</v>
      </c>
      <c r="E1942" t="s">
        <v>20</v>
      </c>
      <c r="F1942" t="s">
        <v>21</v>
      </c>
      <c r="G1942" t="s">
        <v>24</v>
      </c>
      <c r="H1942">
        <v>274.60000000000002</v>
      </c>
      <c r="I1942">
        <v>261.5</v>
      </c>
      <c r="J1942">
        <v>96.7</v>
      </c>
      <c r="K1942">
        <v>62</v>
      </c>
      <c r="L1942">
        <v>28.9</v>
      </c>
      <c r="M1942">
        <v>10.5</v>
      </c>
      <c r="N1942">
        <v>6.38559690315669E-2</v>
      </c>
      <c r="O1942">
        <v>0.40077446331807298</v>
      </c>
    </row>
    <row r="1943" spans="1:15" x14ac:dyDescent="0.3">
      <c r="A1943">
        <v>8289</v>
      </c>
      <c r="B1943">
        <v>3995</v>
      </c>
      <c r="C1943">
        <v>12</v>
      </c>
      <c r="D1943" t="s">
        <v>19</v>
      </c>
      <c r="E1943" t="s">
        <v>16</v>
      </c>
      <c r="F1943" t="s">
        <v>17</v>
      </c>
      <c r="G1943" t="s">
        <v>18</v>
      </c>
      <c r="H1943">
        <v>280.39999999999998</v>
      </c>
      <c r="I1943">
        <v>260</v>
      </c>
      <c r="J1943">
        <v>102.4</v>
      </c>
      <c r="K1943">
        <v>69.5</v>
      </c>
      <c r="L1943">
        <v>28.2</v>
      </c>
      <c r="M1943">
        <v>9</v>
      </c>
      <c r="N1943">
        <v>0.12712952678355399</v>
      </c>
      <c r="O1943">
        <v>0.101199877448786</v>
      </c>
    </row>
    <row r="1944" spans="1:15" x14ac:dyDescent="0.3">
      <c r="A1944">
        <v>8290</v>
      </c>
      <c r="B1944">
        <v>3995</v>
      </c>
      <c r="C1944">
        <v>12</v>
      </c>
      <c r="D1944" t="s">
        <v>19</v>
      </c>
      <c r="E1944" t="s">
        <v>16</v>
      </c>
      <c r="F1944" t="s">
        <v>17</v>
      </c>
      <c r="G1944" t="s">
        <v>18</v>
      </c>
      <c r="H1944">
        <v>280.39999999999998</v>
      </c>
      <c r="I1944">
        <v>260</v>
      </c>
      <c r="J1944">
        <v>102.4</v>
      </c>
      <c r="K1944">
        <v>69.5</v>
      </c>
      <c r="L1944">
        <v>28.2</v>
      </c>
      <c r="M1944">
        <v>9</v>
      </c>
      <c r="N1944">
        <v>0.157026920577268</v>
      </c>
      <c r="O1944">
        <v>0.13230841070024499</v>
      </c>
    </row>
    <row r="1945" spans="1:15" x14ac:dyDescent="0.3">
      <c r="A1945">
        <v>8291</v>
      </c>
      <c r="B1945">
        <v>3995</v>
      </c>
      <c r="C1945">
        <v>12</v>
      </c>
      <c r="D1945" t="s">
        <v>19</v>
      </c>
      <c r="E1945" t="s">
        <v>16</v>
      </c>
      <c r="F1945" t="s">
        <v>17</v>
      </c>
      <c r="G1945" t="s">
        <v>18</v>
      </c>
      <c r="H1945">
        <v>280.39999999999998</v>
      </c>
      <c r="I1945">
        <v>260</v>
      </c>
      <c r="J1945">
        <v>102.4</v>
      </c>
      <c r="K1945">
        <v>69.5</v>
      </c>
      <c r="L1945">
        <v>28.2</v>
      </c>
      <c r="M1945">
        <v>9</v>
      </c>
      <c r="N1945">
        <v>0.15817366954205</v>
      </c>
      <c r="O1945">
        <v>0.109350529639738</v>
      </c>
    </row>
    <row r="1946" spans="1:15" x14ac:dyDescent="0.3">
      <c r="A1946">
        <v>8292</v>
      </c>
      <c r="B1946">
        <v>3995</v>
      </c>
      <c r="C1946">
        <v>12</v>
      </c>
      <c r="D1946" t="s">
        <v>19</v>
      </c>
      <c r="E1946" t="s">
        <v>16</v>
      </c>
      <c r="F1946" t="s">
        <v>17</v>
      </c>
      <c r="G1946" t="s">
        <v>18</v>
      </c>
      <c r="H1946">
        <v>280.39999999999998</v>
      </c>
      <c r="I1946">
        <v>260</v>
      </c>
      <c r="J1946">
        <v>102.4</v>
      </c>
      <c r="K1946">
        <v>69.5</v>
      </c>
      <c r="L1946">
        <v>28.2</v>
      </c>
      <c r="M1946">
        <v>9</v>
      </c>
      <c r="N1946">
        <v>0.143356247621056</v>
      </c>
      <c r="O1946">
        <v>0.122917831430219</v>
      </c>
    </row>
    <row r="1947" spans="1:15" x14ac:dyDescent="0.3">
      <c r="A1947">
        <v>8314</v>
      </c>
      <c r="B1947">
        <v>40</v>
      </c>
      <c r="C1947">
        <v>218</v>
      </c>
      <c r="D1947" t="s">
        <v>19</v>
      </c>
      <c r="E1947" t="s">
        <v>16</v>
      </c>
      <c r="F1947" t="s">
        <v>21</v>
      </c>
      <c r="G1947" t="s">
        <v>18</v>
      </c>
      <c r="H1947">
        <v>274.5</v>
      </c>
      <c r="I1947">
        <v>258</v>
      </c>
      <c r="J1947">
        <v>101.5</v>
      </c>
      <c r="K1947">
        <v>66.5</v>
      </c>
      <c r="L1947">
        <v>27.9</v>
      </c>
      <c r="M1947">
        <v>10</v>
      </c>
      <c r="N1947">
        <v>0.138467100761197</v>
      </c>
      <c r="O1947">
        <v>0.10539621857237901</v>
      </c>
    </row>
    <row r="1948" spans="1:15" x14ac:dyDescent="0.3">
      <c r="A1948">
        <v>8315</v>
      </c>
      <c r="B1948">
        <v>40</v>
      </c>
      <c r="C1948">
        <v>218</v>
      </c>
      <c r="D1948" t="s">
        <v>19</v>
      </c>
      <c r="E1948" t="s">
        <v>16</v>
      </c>
      <c r="F1948" t="s">
        <v>21</v>
      </c>
      <c r="G1948" t="s">
        <v>18</v>
      </c>
      <c r="H1948">
        <v>274.5</v>
      </c>
      <c r="I1948">
        <v>258</v>
      </c>
      <c r="J1948">
        <v>101.5</v>
      </c>
      <c r="K1948">
        <v>66.5</v>
      </c>
      <c r="L1948">
        <v>27.9</v>
      </c>
      <c r="M1948">
        <v>10</v>
      </c>
      <c r="N1948">
        <v>0.13371679394357899</v>
      </c>
      <c r="O1948">
        <v>0.100018881071087</v>
      </c>
    </row>
    <row r="1949" spans="1:15" x14ac:dyDescent="0.3">
      <c r="A1949">
        <v>8316</v>
      </c>
      <c r="B1949">
        <v>40</v>
      </c>
      <c r="C1949">
        <v>218</v>
      </c>
      <c r="D1949" t="s">
        <v>19</v>
      </c>
      <c r="E1949" t="s">
        <v>16</v>
      </c>
      <c r="F1949" t="s">
        <v>21</v>
      </c>
      <c r="G1949" t="s">
        <v>18</v>
      </c>
      <c r="H1949">
        <v>274.5</v>
      </c>
      <c r="I1949">
        <v>258</v>
      </c>
      <c r="J1949">
        <v>101.5</v>
      </c>
      <c r="K1949">
        <v>66.5</v>
      </c>
      <c r="L1949">
        <v>27.9</v>
      </c>
      <c r="M1949">
        <v>10</v>
      </c>
      <c r="N1949">
        <v>0.14125002883367099</v>
      </c>
      <c r="O1949">
        <v>9.75588148525314E-2</v>
      </c>
    </row>
    <row r="1950" spans="1:15" x14ac:dyDescent="0.3">
      <c r="A1950">
        <v>8317</v>
      </c>
      <c r="B1950">
        <v>40</v>
      </c>
      <c r="C1950">
        <v>218</v>
      </c>
      <c r="D1950" t="s">
        <v>19</v>
      </c>
      <c r="E1950" t="s">
        <v>16</v>
      </c>
      <c r="F1950" t="s">
        <v>21</v>
      </c>
      <c r="G1950" t="s">
        <v>18</v>
      </c>
      <c r="H1950">
        <v>274.5</v>
      </c>
      <c r="I1950">
        <v>258</v>
      </c>
      <c r="J1950">
        <v>101.5</v>
      </c>
      <c r="K1950">
        <v>66.5</v>
      </c>
      <c r="L1950">
        <v>27.9</v>
      </c>
      <c r="M1950">
        <v>10</v>
      </c>
      <c r="N1950">
        <v>0.14078226151109199</v>
      </c>
      <c r="O1950">
        <v>9.4484511273522795E-2</v>
      </c>
    </row>
    <row r="1951" spans="1:15" x14ac:dyDescent="0.3">
      <c r="A1951">
        <v>8318</v>
      </c>
      <c r="B1951">
        <v>400</v>
      </c>
      <c r="C1951">
        <v>332</v>
      </c>
      <c r="D1951" t="s">
        <v>15</v>
      </c>
      <c r="E1951" t="s">
        <v>16</v>
      </c>
      <c r="F1951" t="s">
        <v>21</v>
      </c>
      <c r="G1951" t="s">
        <v>22</v>
      </c>
      <c r="H1951">
        <v>276.8</v>
      </c>
      <c r="I1951">
        <v>249.5</v>
      </c>
      <c r="J1951">
        <v>91.1</v>
      </c>
      <c r="K1951">
        <v>65.5</v>
      </c>
      <c r="L1951">
        <v>24.7</v>
      </c>
      <c r="M1951">
        <v>8.5</v>
      </c>
      <c r="N1951">
        <v>0.110146224173077</v>
      </c>
      <c r="O1951">
        <v>0.10314047929111</v>
      </c>
    </row>
    <row r="1952" spans="1:15" x14ac:dyDescent="0.3">
      <c r="A1952">
        <v>8319</v>
      </c>
      <c r="B1952">
        <v>400</v>
      </c>
      <c r="C1952">
        <v>332</v>
      </c>
      <c r="D1952" t="s">
        <v>15</v>
      </c>
      <c r="E1952" t="s">
        <v>16</v>
      </c>
      <c r="F1952" t="s">
        <v>21</v>
      </c>
      <c r="G1952" t="s">
        <v>22</v>
      </c>
      <c r="H1952">
        <v>276.8</v>
      </c>
      <c r="I1952">
        <v>249.5</v>
      </c>
      <c r="J1952">
        <v>91.1</v>
      </c>
      <c r="K1952">
        <v>65.5</v>
      </c>
      <c r="L1952">
        <v>24.7</v>
      </c>
      <c r="M1952">
        <v>8.5</v>
      </c>
      <c r="N1952">
        <v>9.6178028727815001E-2</v>
      </c>
      <c r="O1952">
        <v>0.118489308272743</v>
      </c>
    </row>
    <row r="1953" spans="1:15" x14ac:dyDescent="0.3">
      <c r="A1953">
        <v>8320</v>
      </c>
      <c r="B1953">
        <v>400</v>
      </c>
      <c r="C1953">
        <v>332</v>
      </c>
      <c r="D1953" t="s">
        <v>15</v>
      </c>
      <c r="E1953" t="s">
        <v>16</v>
      </c>
      <c r="F1953" t="s">
        <v>21</v>
      </c>
      <c r="G1953" t="s">
        <v>22</v>
      </c>
      <c r="H1953">
        <v>276.8</v>
      </c>
      <c r="I1953">
        <v>249.5</v>
      </c>
      <c r="J1953">
        <v>91.1</v>
      </c>
      <c r="K1953">
        <v>65.5</v>
      </c>
      <c r="L1953">
        <v>24.7</v>
      </c>
      <c r="M1953">
        <v>8.5</v>
      </c>
      <c r="N1953">
        <v>9.4625426182942493E-2</v>
      </c>
      <c r="O1953">
        <v>0.11547856328766901</v>
      </c>
    </row>
    <row r="1954" spans="1:15" x14ac:dyDescent="0.3">
      <c r="A1954">
        <v>8329</v>
      </c>
      <c r="B1954">
        <v>406</v>
      </c>
      <c r="C1954">
        <v>461</v>
      </c>
      <c r="D1954" t="s">
        <v>23</v>
      </c>
      <c r="E1954" t="s">
        <v>16</v>
      </c>
      <c r="F1954" t="s">
        <v>21</v>
      </c>
      <c r="G1954" t="s">
        <v>18</v>
      </c>
      <c r="H1954">
        <v>276.60000000000002</v>
      </c>
      <c r="I1954">
        <v>260.5</v>
      </c>
      <c r="J1954">
        <v>98.2</v>
      </c>
      <c r="K1954">
        <v>68</v>
      </c>
      <c r="L1954">
        <v>26.5</v>
      </c>
      <c r="M1954">
        <v>6</v>
      </c>
      <c r="N1954">
        <v>0.218455645500235</v>
      </c>
      <c r="O1954">
        <v>0.27364102853144001</v>
      </c>
    </row>
    <row r="1955" spans="1:15" x14ac:dyDescent="0.3">
      <c r="A1955">
        <v>8330</v>
      </c>
      <c r="B1955">
        <v>406</v>
      </c>
      <c r="C1955">
        <v>461</v>
      </c>
      <c r="D1955" t="s">
        <v>23</v>
      </c>
      <c r="E1955" t="s">
        <v>16</v>
      </c>
      <c r="F1955" t="s">
        <v>21</v>
      </c>
      <c r="G1955" t="s">
        <v>18</v>
      </c>
      <c r="H1955">
        <v>276.60000000000002</v>
      </c>
      <c r="I1955">
        <v>260.5</v>
      </c>
      <c r="J1955">
        <v>98.2</v>
      </c>
      <c r="K1955">
        <v>68</v>
      </c>
      <c r="L1955">
        <v>26.5</v>
      </c>
      <c r="M1955">
        <v>6</v>
      </c>
      <c r="N1955">
        <v>0.189562959230477</v>
      </c>
      <c r="O1955">
        <v>0.27689812606782699</v>
      </c>
    </row>
    <row r="1956" spans="1:15" x14ac:dyDescent="0.3">
      <c r="A1956">
        <v>8331</v>
      </c>
      <c r="B1956">
        <v>406</v>
      </c>
      <c r="C1956">
        <v>461</v>
      </c>
      <c r="D1956" t="s">
        <v>23</v>
      </c>
      <c r="E1956" t="s">
        <v>16</v>
      </c>
      <c r="F1956" t="s">
        <v>21</v>
      </c>
      <c r="G1956" t="s">
        <v>18</v>
      </c>
      <c r="H1956">
        <v>276.60000000000002</v>
      </c>
      <c r="I1956">
        <v>260.5</v>
      </c>
      <c r="J1956">
        <v>98.2</v>
      </c>
      <c r="K1956">
        <v>68</v>
      </c>
      <c r="L1956">
        <v>26.5</v>
      </c>
      <c r="M1956">
        <v>6</v>
      </c>
      <c r="N1956">
        <v>0.20392996524021301</v>
      </c>
      <c r="O1956">
        <v>0.26620103136176598</v>
      </c>
    </row>
    <row r="1957" spans="1:15" x14ac:dyDescent="0.3">
      <c r="A1957">
        <v>8333</v>
      </c>
      <c r="B1957">
        <v>407</v>
      </c>
      <c r="C1957">
        <v>483</v>
      </c>
      <c r="D1957" t="s">
        <v>23</v>
      </c>
      <c r="E1957" t="s">
        <v>20</v>
      </c>
      <c r="F1957" t="s">
        <v>17</v>
      </c>
      <c r="G1957" t="s">
        <v>18</v>
      </c>
      <c r="H1957">
        <v>271.89999999999998</v>
      </c>
      <c r="I1957">
        <v>246</v>
      </c>
      <c r="J1957">
        <v>94.4</v>
      </c>
      <c r="K1957">
        <v>60.5</v>
      </c>
      <c r="L1957">
        <v>27.6</v>
      </c>
      <c r="M1957">
        <v>13.5</v>
      </c>
      <c r="N1957">
        <v>0.11612029828274099</v>
      </c>
      <c r="O1957">
        <v>0.20230653654789099</v>
      </c>
    </row>
    <row r="1958" spans="1:15" x14ac:dyDescent="0.3">
      <c r="A1958">
        <v>8334</v>
      </c>
      <c r="B1958">
        <v>407</v>
      </c>
      <c r="C1958">
        <v>483</v>
      </c>
      <c r="D1958" t="s">
        <v>23</v>
      </c>
      <c r="E1958" t="s">
        <v>20</v>
      </c>
      <c r="F1958" t="s">
        <v>17</v>
      </c>
      <c r="G1958" t="s">
        <v>18</v>
      </c>
      <c r="H1958">
        <v>271.89999999999998</v>
      </c>
      <c r="I1958">
        <v>246</v>
      </c>
      <c r="J1958">
        <v>94.4</v>
      </c>
      <c r="K1958">
        <v>60.5</v>
      </c>
      <c r="L1958">
        <v>27.6</v>
      </c>
      <c r="M1958">
        <v>13.5</v>
      </c>
      <c r="N1958">
        <v>0.12222852424879301</v>
      </c>
      <c r="O1958">
        <v>0.18337806577464399</v>
      </c>
    </row>
    <row r="1959" spans="1:15" x14ac:dyDescent="0.3">
      <c r="A1959">
        <v>8335</v>
      </c>
      <c r="B1959">
        <v>407</v>
      </c>
      <c r="C1959">
        <v>483</v>
      </c>
      <c r="D1959" t="s">
        <v>23</v>
      </c>
      <c r="E1959" t="s">
        <v>20</v>
      </c>
      <c r="F1959" t="s">
        <v>17</v>
      </c>
      <c r="G1959" t="s">
        <v>18</v>
      </c>
      <c r="H1959">
        <v>271.89999999999998</v>
      </c>
      <c r="I1959">
        <v>246</v>
      </c>
      <c r="J1959">
        <v>94.4</v>
      </c>
      <c r="K1959">
        <v>60.5</v>
      </c>
      <c r="L1959">
        <v>27.6</v>
      </c>
      <c r="M1959">
        <v>13.5</v>
      </c>
      <c r="N1959">
        <v>0.10296741903271101</v>
      </c>
      <c r="O1959">
        <v>0.19787165721081601</v>
      </c>
    </row>
    <row r="1960" spans="1:15" x14ac:dyDescent="0.3">
      <c r="A1960">
        <v>8351</v>
      </c>
      <c r="B1960">
        <v>417</v>
      </c>
      <c r="C1960">
        <v>251</v>
      </c>
      <c r="D1960" t="s">
        <v>23</v>
      </c>
      <c r="E1960" t="s">
        <v>20</v>
      </c>
      <c r="F1960" t="s">
        <v>21</v>
      </c>
      <c r="G1960" t="s">
        <v>22</v>
      </c>
      <c r="H1960">
        <v>277.2</v>
      </c>
      <c r="I1960">
        <v>261</v>
      </c>
      <c r="J1960">
        <v>99.3</v>
      </c>
      <c r="K1960">
        <v>69.5</v>
      </c>
      <c r="L1960">
        <v>23.6</v>
      </c>
      <c r="M1960">
        <v>13</v>
      </c>
      <c r="N1960">
        <v>0.18369396002553701</v>
      </c>
      <c r="O1960">
        <v>0.484176944497062</v>
      </c>
    </row>
    <row r="1961" spans="1:15" x14ac:dyDescent="0.3">
      <c r="A1961">
        <v>8352</v>
      </c>
      <c r="B1961">
        <v>418</v>
      </c>
      <c r="C1961">
        <v>71</v>
      </c>
      <c r="D1961" t="s">
        <v>23</v>
      </c>
      <c r="E1961" t="s">
        <v>20</v>
      </c>
      <c r="F1961" t="s">
        <v>17</v>
      </c>
      <c r="G1961" t="s">
        <v>24</v>
      </c>
      <c r="H1961">
        <v>281</v>
      </c>
      <c r="I1961">
        <v>265.5</v>
      </c>
      <c r="J1961">
        <v>100.2</v>
      </c>
      <c r="K1961">
        <v>66.5</v>
      </c>
      <c r="L1961">
        <v>25.2</v>
      </c>
      <c r="M1961">
        <v>8</v>
      </c>
      <c r="N1961">
        <v>0.17906462922980099</v>
      </c>
      <c r="O1961">
        <v>0.13007486186669001</v>
      </c>
    </row>
    <row r="1962" spans="1:15" x14ac:dyDescent="0.3">
      <c r="A1962">
        <v>8353</v>
      </c>
      <c r="B1962">
        <v>418</v>
      </c>
      <c r="C1962">
        <v>71</v>
      </c>
      <c r="D1962" t="s">
        <v>23</v>
      </c>
      <c r="E1962" t="s">
        <v>20</v>
      </c>
      <c r="F1962" t="s">
        <v>17</v>
      </c>
      <c r="G1962" t="s">
        <v>24</v>
      </c>
      <c r="H1962">
        <v>281</v>
      </c>
      <c r="I1962">
        <v>265.5</v>
      </c>
      <c r="J1962">
        <v>100.2</v>
      </c>
      <c r="K1962">
        <v>66.5</v>
      </c>
      <c r="L1962">
        <v>25.2</v>
      </c>
      <c r="M1962">
        <v>8</v>
      </c>
      <c r="N1962">
        <v>0.17159763152388399</v>
      </c>
      <c r="O1962">
        <v>0.15688940661769701</v>
      </c>
    </row>
    <row r="1963" spans="1:15" x14ac:dyDescent="0.3">
      <c r="A1963">
        <v>8355</v>
      </c>
      <c r="B1963">
        <v>418</v>
      </c>
      <c r="C1963">
        <v>71</v>
      </c>
      <c r="D1963" t="s">
        <v>23</v>
      </c>
      <c r="E1963" t="s">
        <v>20</v>
      </c>
      <c r="F1963" t="s">
        <v>17</v>
      </c>
      <c r="G1963" t="s">
        <v>24</v>
      </c>
      <c r="H1963">
        <v>281</v>
      </c>
      <c r="I1963">
        <v>265.5</v>
      </c>
      <c r="J1963">
        <v>100.2</v>
      </c>
      <c r="K1963">
        <v>66.5</v>
      </c>
      <c r="L1963">
        <v>25.2</v>
      </c>
      <c r="M1963">
        <v>8</v>
      </c>
      <c r="N1963">
        <v>0.153807764833127</v>
      </c>
      <c r="O1963">
        <v>0.15881363911683399</v>
      </c>
    </row>
    <row r="1964" spans="1:15" x14ac:dyDescent="0.3">
      <c r="A1964">
        <v>8378</v>
      </c>
      <c r="B1964">
        <v>428</v>
      </c>
      <c r="C1964">
        <v>335</v>
      </c>
      <c r="D1964" t="s">
        <v>19</v>
      </c>
      <c r="E1964" t="s">
        <v>20</v>
      </c>
      <c r="F1964" t="s">
        <v>17</v>
      </c>
      <c r="G1964" t="s">
        <v>18</v>
      </c>
      <c r="H1964">
        <v>278.5</v>
      </c>
      <c r="I1964">
        <v>240.5</v>
      </c>
      <c r="J1964">
        <v>94.4</v>
      </c>
      <c r="K1964">
        <v>69</v>
      </c>
      <c r="L1964">
        <v>25.8</v>
      </c>
      <c r="M1964">
        <v>8.5</v>
      </c>
      <c r="N1964">
        <v>4.3975246522506999E-2</v>
      </c>
      <c r="O1964">
        <v>2.7422003708153501E-2</v>
      </c>
    </row>
    <row r="1965" spans="1:15" x14ac:dyDescent="0.3">
      <c r="A1965">
        <v>8379</v>
      </c>
      <c r="B1965">
        <v>43</v>
      </c>
      <c r="C1965">
        <v>197</v>
      </c>
      <c r="D1965" t="s">
        <v>19</v>
      </c>
      <c r="E1965" t="s">
        <v>20</v>
      </c>
      <c r="F1965" t="s">
        <v>21</v>
      </c>
      <c r="G1965" t="s">
        <v>26</v>
      </c>
      <c r="H1965">
        <v>280.10000000000002</v>
      </c>
      <c r="I1965">
        <v>249.5</v>
      </c>
      <c r="J1965">
        <v>95.8</v>
      </c>
      <c r="K1965">
        <v>69.5</v>
      </c>
      <c r="L1965">
        <v>26.6</v>
      </c>
      <c r="M1965">
        <v>6.5</v>
      </c>
      <c r="N1965">
        <v>0.19079035414918999</v>
      </c>
      <c r="O1965">
        <v>2.80098074842061E-2</v>
      </c>
    </row>
    <row r="1966" spans="1:15" x14ac:dyDescent="0.3">
      <c r="A1966">
        <v>8380</v>
      </c>
      <c r="B1966">
        <v>430</v>
      </c>
      <c r="C1966">
        <v>89</v>
      </c>
      <c r="D1966" t="s">
        <v>19</v>
      </c>
      <c r="E1966" t="s">
        <v>20</v>
      </c>
      <c r="F1966" t="s">
        <v>17</v>
      </c>
      <c r="G1966" t="s">
        <v>22</v>
      </c>
      <c r="H1966">
        <v>275.89999999999998</v>
      </c>
      <c r="I1966">
        <v>245.5</v>
      </c>
      <c r="J1966">
        <v>92.8</v>
      </c>
      <c r="K1966">
        <v>66.5</v>
      </c>
      <c r="L1966">
        <v>26.7</v>
      </c>
      <c r="M1966">
        <v>12.5</v>
      </c>
      <c r="N1966">
        <v>6.9417701380123806E-2</v>
      </c>
      <c r="O1966">
        <v>0.11425849845081899</v>
      </c>
    </row>
    <row r="1967" spans="1:15" x14ac:dyDescent="0.3">
      <c r="A1967">
        <v>8381</v>
      </c>
      <c r="B1967">
        <v>430</v>
      </c>
      <c r="C1967">
        <v>89</v>
      </c>
      <c r="D1967" t="s">
        <v>19</v>
      </c>
      <c r="E1967" t="s">
        <v>20</v>
      </c>
      <c r="F1967" t="s">
        <v>17</v>
      </c>
      <c r="G1967" t="s">
        <v>22</v>
      </c>
      <c r="H1967">
        <v>275.89999999999998</v>
      </c>
      <c r="I1967">
        <v>245.5</v>
      </c>
      <c r="J1967">
        <v>92.8</v>
      </c>
      <c r="K1967">
        <v>66.5</v>
      </c>
      <c r="L1967">
        <v>26.7</v>
      </c>
      <c r="M1967">
        <v>12.5</v>
      </c>
      <c r="N1967">
        <v>8.9340046897496694E-2</v>
      </c>
      <c r="O1967">
        <v>0.111718141123073</v>
      </c>
    </row>
    <row r="1968" spans="1:15" x14ac:dyDescent="0.3">
      <c r="A1968">
        <v>8382</v>
      </c>
      <c r="B1968">
        <v>430</v>
      </c>
      <c r="C1968">
        <v>89</v>
      </c>
      <c r="D1968" t="s">
        <v>19</v>
      </c>
      <c r="E1968" t="s">
        <v>20</v>
      </c>
      <c r="F1968" t="s">
        <v>17</v>
      </c>
      <c r="G1968" t="s">
        <v>22</v>
      </c>
      <c r="H1968">
        <v>275.89999999999998</v>
      </c>
      <c r="I1968">
        <v>245.5</v>
      </c>
      <c r="J1968">
        <v>92.8</v>
      </c>
      <c r="K1968">
        <v>66.5</v>
      </c>
      <c r="L1968">
        <v>26.7</v>
      </c>
      <c r="M1968">
        <v>12.5</v>
      </c>
      <c r="N1968">
        <v>7.1154678670966406E-2</v>
      </c>
      <c r="O1968">
        <v>0.115211024190747</v>
      </c>
    </row>
    <row r="1969" spans="1:15" x14ac:dyDescent="0.3">
      <c r="A1969">
        <v>8393</v>
      </c>
      <c r="B1969">
        <v>436</v>
      </c>
      <c r="C1969">
        <v>395</v>
      </c>
      <c r="D1969" t="s">
        <v>23</v>
      </c>
      <c r="E1969" t="s">
        <v>20</v>
      </c>
      <c r="F1969" t="s">
        <v>17</v>
      </c>
      <c r="G1969" t="s">
        <v>25</v>
      </c>
      <c r="H1969">
        <v>273.60000000000002</v>
      </c>
      <c r="I1969">
        <v>247</v>
      </c>
      <c r="J1969">
        <v>94</v>
      </c>
      <c r="K1969">
        <v>68</v>
      </c>
      <c r="L1969">
        <v>26.7</v>
      </c>
      <c r="M1969">
        <v>7.5</v>
      </c>
      <c r="N1969">
        <v>0.15360947475459499</v>
      </c>
      <c r="O1969">
        <v>0.35191397832026</v>
      </c>
    </row>
    <row r="1970" spans="1:15" x14ac:dyDescent="0.3">
      <c r="A1970">
        <v>8394</v>
      </c>
      <c r="B1970">
        <v>436</v>
      </c>
      <c r="C1970">
        <v>395</v>
      </c>
      <c r="D1970" t="s">
        <v>23</v>
      </c>
      <c r="E1970" t="s">
        <v>20</v>
      </c>
      <c r="F1970" t="s">
        <v>17</v>
      </c>
      <c r="G1970" t="s">
        <v>25</v>
      </c>
      <c r="H1970">
        <v>273.60000000000002</v>
      </c>
      <c r="I1970">
        <v>247</v>
      </c>
      <c r="J1970">
        <v>94</v>
      </c>
      <c r="K1970">
        <v>68</v>
      </c>
      <c r="L1970">
        <v>26.7</v>
      </c>
      <c r="M1970">
        <v>7.5</v>
      </c>
      <c r="N1970">
        <v>0.17428199348061699</v>
      </c>
      <c r="O1970">
        <v>0.35021572235895798</v>
      </c>
    </row>
    <row r="1971" spans="1:15" x14ac:dyDescent="0.3">
      <c r="A1971">
        <v>8395</v>
      </c>
      <c r="B1971">
        <v>436</v>
      </c>
      <c r="C1971">
        <v>395</v>
      </c>
      <c r="D1971" t="s">
        <v>23</v>
      </c>
      <c r="E1971" t="s">
        <v>20</v>
      </c>
      <c r="F1971" t="s">
        <v>17</v>
      </c>
      <c r="G1971" t="s">
        <v>25</v>
      </c>
      <c r="H1971">
        <v>273.60000000000002</v>
      </c>
      <c r="I1971">
        <v>247</v>
      </c>
      <c r="J1971">
        <v>94</v>
      </c>
      <c r="K1971">
        <v>68</v>
      </c>
      <c r="L1971">
        <v>26.7</v>
      </c>
      <c r="M1971">
        <v>7.5</v>
      </c>
      <c r="N1971">
        <v>0.183174671637613</v>
      </c>
      <c r="O1971">
        <v>0.32876548717912801</v>
      </c>
    </row>
    <row r="1972" spans="1:15" x14ac:dyDescent="0.3">
      <c r="A1972">
        <v>8396</v>
      </c>
      <c r="B1972">
        <v>436</v>
      </c>
      <c r="C1972">
        <v>395</v>
      </c>
      <c r="D1972" t="s">
        <v>23</v>
      </c>
      <c r="E1972" t="s">
        <v>20</v>
      </c>
      <c r="F1972" t="s">
        <v>17</v>
      </c>
      <c r="G1972" t="s">
        <v>25</v>
      </c>
      <c r="H1972">
        <v>273.60000000000002</v>
      </c>
      <c r="I1972">
        <v>247</v>
      </c>
      <c r="J1972">
        <v>94</v>
      </c>
      <c r="K1972">
        <v>68</v>
      </c>
      <c r="L1972">
        <v>26.7</v>
      </c>
      <c r="M1972">
        <v>7.5</v>
      </c>
      <c r="N1972">
        <v>0.174476512935478</v>
      </c>
      <c r="O1972">
        <v>0.33448712613354398</v>
      </c>
    </row>
    <row r="1973" spans="1:15" x14ac:dyDescent="0.3">
      <c r="A1973">
        <v>8397</v>
      </c>
      <c r="B1973">
        <v>437</v>
      </c>
      <c r="C1973">
        <v>6</v>
      </c>
      <c r="D1973" t="s">
        <v>15</v>
      </c>
      <c r="E1973" t="s">
        <v>20</v>
      </c>
      <c r="F1973" t="s">
        <v>21</v>
      </c>
      <c r="G1973" t="s">
        <v>22</v>
      </c>
      <c r="H1973">
        <v>275.5</v>
      </c>
      <c r="I1973">
        <v>250.5</v>
      </c>
      <c r="J1973">
        <v>94.7</v>
      </c>
      <c r="K1973">
        <v>66.5</v>
      </c>
      <c r="L1973">
        <v>25.3</v>
      </c>
      <c r="M1973">
        <v>7.5</v>
      </c>
      <c r="N1973">
        <v>0.14201552326276001</v>
      </c>
      <c r="O1973">
        <v>1.10689979663815E-2</v>
      </c>
    </row>
    <row r="1974" spans="1:15" x14ac:dyDescent="0.3">
      <c r="A1974">
        <v>8398</v>
      </c>
      <c r="B1974">
        <v>437</v>
      </c>
      <c r="C1974">
        <v>6</v>
      </c>
      <c r="D1974" t="s">
        <v>15</v>
      </c>
      <c r="E1974" t="s">
        <v>20</v>
      </c>
      <c r="F1974" t="s">
        <v>21</v>
      </c>
      <c r="G1974" t="s">
        <v>22</v>
      </c>
      <c r="H1974">
        <v>275.5</v>
      </c>
      <c r="I1974">
        <v>250.5</v>
      </c>
      <c r="J1974">
        <v>94.7</v>
      </c>
      <c r="K1974">
        <v>66.5</v>
      </c>
      <c r="L1974">
        <v>25.3</v>
      </c>
      <c r="M1974">
        <v>7.5</v>
      </c>
      <c r="N1974">
        <v>0.11632746504236501</v>
      </c>
      <c r="O1974">
        <v>2.08884034155629E-2</v>
      </c>
    </row>
    <row r="1975" spans="1:15" x14ac:dyDescent="0.3">
      <c r="A1975">
        <v>8399</v>
      </c>
      <c r="B1975">
        <v>437</v>
      </c>
      <c r="C1975">
        <v>6</v>
      </c>
      <c r="D1975" t="s">
        <v>15</v>
      </c>
      <c r="E1975" t="s">
        <v>20</v>
      </c>
      <c r="F1975" t="s">
        <v>21</v>
      </c>
      <c r="G1975" t="s">
        <v>22</v>
      </c>
      <c r="H1975">
        <v>275.5</v>
      </c>
      <c r="I1975">
        <v>250.5</v>
      </c>
      <c r="J1975">
        <v>94.7</v>
      </c>
      <c r="K1975">
        <v>66.5</v>
      </c>
      <c r="L1975">
        <v>25.3</v>
      </c>
      <c r="M1975">
        <v>7.5</v>
      </c>
      <c r="N1975">
        <v>0.119018332493403</v>
      </c>
      <c r="O1975">
        <v>4.50334372048386E-3</v>
      </c>
    </row>
    <row r="1976" spans="1:15" x14ac:dyDescent="0.3">
      <c r="A1976">
        <v>8400</v>
      </c>
      <c r="B1976">
        <v>437</v>
      </c>
      <c r="C1976">
        <v>6</v>
      </c>
      <c r="D1976" t="s">
        <v>15</v>
      </c>
      <c r="E1976" t="s">
        <v>20</v>
      </c>
      <c r="F1976" t="s">
        <v>21</v>
      </c>
      <c r="G1976" t="s">
        <v>22</v>
      </c>
      <c r="H1976">
        <v>275.5</v>
      </c>
      <c r="I1976">
        <v>250.5</v>
      </c>
      <c r="J1976">
        <v>94.7</v>
      </c>
      <c r="K1976">
        <v>66.5</v>
      </c>
      <c r="L1976">
        <v>25.3</v>
      </c>
      <c r="M1976">
        <v>7.5</v>
      </c>
      <c r="N1976">
        <v>0.14256104479475701</v>
      </c>
      <c r="O1976">
        <v>1.8202955153396001E-2</v>
      </c>
    </row>
    <row r="1977" spans="1:15" x14ac:dyDescent="0.3">
      <c r="A1977">
        <v>8407</v>
      </c>
      <c r="B1977">
        <v>44</v>
      </c>
      <c r="C1977">
        <v>102</v>
      </c>
      <c r="D1977" t="s">
        <v>19</v>
      </c>
      <c r="E1977" t="s">
        <v>20</v>
      </c>
      <c r="F1977" t="s">
        <v>17</v>
      </c>
      <c r="G1977" t="s">
        <v>22</v>
      </c>
      <c r="H1977">
        <v>273.60000000000002</v>
      </c>
      <c r="I1977">
        <v>246</v>
      </c>
      <c r="J1977">
        <v>93.6</v>
      </c>
      <c r="K1977">
        <v>64.5</v>
      </c>
      <c r="L1977">
        <v>25.6</v>
      </c>
      <c r="M1977">
        <v>1.5</v>
      </c>
      <c r="N1977">
        <v>0.17213388554857401</v>
      </c>
      <c r="O1977">
        <v>0.178952616757624</v>
      </c>
    </row>
    <row r="1978" spans="1:15" x14ac:dyDescent="0.3">
      <c r="A1978">
        <v>8408</v>
      </c>
      <c r="B1978">
        <v>44</v>
      </c>
      <c r="C1978">
        <v>102</v>
      </c>
      <c r="D1978" t="s">
        <v>19</v>
      </c>
      <c r="E1978" t="s">
        <v>20</v>
      </c>
      <c r="F1978" t="s">
        <v>17</v>
      </c>
      <c r="G1978" t="s">
        <v>22</v>
      </c>
      <c r="H1978">
        <v>273.60000000000002</v>
      </c>
      <c r="I1978">
        <v>246</v>
      </c>
      <c r="J1978">
        <v>93.6</v>
      </c>
      <c r="K1978">
        <v>64.5</v>
      </c>
      <c r="L1978">
        <v>25.6</v>
      </c>
      <c r="M1978">
        <v>1.5</v>
      </c>
      <c r="N1978">
        <v>0.17834299424928601</v>
      </c>
      <c r="O1978">
        <v>0.20995345878772301</v>
      </c>
    </row>
    <row r="1979" spans="1:15" x14ac:dyDescent="0.3">
      <c r="A1979">
        <v>8409</v>
      </c>
      <c r="B1979">
        <v>44</v>
      </c>
      <c r="C1979">
        <v>102</v>
      </c>
      <c r="D1979" t="s">
        <v>19</v>
      </c>
      <c r="E1979" t="s">
        <v>20</v>
      </c>
      <c r="F1979" t="s">
        <v>17</v>
      </c>
      <c r="G1979" t="s">
        <v>22</v>
      </c>
      <c r="H1979">
        <v>273.60000000000002</v>
      </c>
      <c r="I1979">
        <v>246</v>
      </c>
      <c r="J1979">
        <v>93.6</v>
      </c>
      <c r="K1979">
        <v>64.5</v>
      </c>
      <c r="L1979">
        <v>25.6</v>
      </c>
      <c r="M1979">
        <v>1.5</v>
      </c>
      <c r="N1979">
        <v>0.154920253426062</v>
      </c>
      <c r="O1979">
        <v>0.18200372379513099</v>
      </c>
    </row>
    <row r="1980" spans="1:15" x14ac:dyDescent="0.3">
      <c r="A1980">
        <v>8441</v>
      </c>
      <c r="B1980">
        <v>450</v>
      </c>
      <c r="C1980">
        <v>405</v>
      </c>
      <c r="D1980" t="s">
        <v>19</v>
      </c>
      <c r="E1980" t="s">
        <v>16</v>
      </c>
      <c r="F1980" t="s">
        <v>21</v>
      </c>
      <c r="G1980" t="s">
        <v>25</v>
      </c>
      <c r="H1980">
        <v>277.60000000000002</v>
      </c>
      <c r="I1980">
        <v>250</v>
      </c>
      <c r="J1980">
        <v>93.4</v>
      </c>
      <c r="K1980">
        <v>67.5</v>
      </c>
      <c r="L1980">
        <v>29.4</v>
      </c>
      <c r="M1980">
        <v>6</v>
      </c>
      <c r="N1980">
        <v>0.31344553868601399</v>
      </c>
      <c r="O1980">
        <v>8.1674735051684294E-2</v>
      </c>
    </row>
    <row r="1981" spans="1:15" x14ac:dyDescent="0.3">
      <c r="A1981">
        <v>8442</v>
      </c>
      <c r="B1981">
        <v>451</v>
      </c>
      <c r="C1981">
        <v>18</v>
      </c>
      <c r="D1981" t="s">
        <v>19</v>
      </c>
      <c r="E1981" t="s">
        <v>20</v>
      </c>
      <c r="F1981" t="s">
        <v>21</v>
      </c>
      <c r="G1981" t="s">
        <v>18</v>
      </c>
      <c r="H1981">
        <v>271.39999999999998</v>
      </c>
      <c r="I1981">
        <v>244</v>
      </c>
      <c r="J1981">
        <v>97.3</v>
      </c>
      <c r="K1981">
        <v>64</v>
      </c>
      <c r="L1981">
        <v>23.3</v>
      </c>
      <c r="M1981">
        <v>6.5</v>
      </c>
      <c r="N1981">
        <v>0.26583199477345498</v>
      </c>
      <c r="O1981">
        <v>2.4407837209671102E-2</v>
      </c>
    </row>
    <row r="1982" spans="1:15" x14ac:dyDescent="0.3">
      <c r="A1982">
        <v>8468</v>
      </c>
      <c r="B1982">
        <v>462</v>
      </c>
      <c r="C1982">
        <v>455</v>
      </c>
      <c r="D1982" t="s">
        <v>19</v>
      </c>
      <c r="E1982" t="s">
        <v>20</v>
      </c>
      <c r="F1982" t="s">
        <v>21</v>
      </c>
      <c r="G1982" t="s">
        <v>25</v>
      </c>
      <c r="H1982">
        <v>278.5</v>
      </c>
      <c r="I1982">
        <v>252.5</v>
      </c>
      <c r="J1982">
        <v>92.8</v>
      </c>
      <c r="K1982">
        <v>69</v>
      </c>
      <c r="L1982">
        <v>25.6</v>
      </c>
      <c r="M1982">
        <v>9</v>
      </c>
      <c r="N1982">
        <v>0.22397076185047399</v>
      </c>
      <c r="O1982">
        <v>3.4049705190374001E-2</v>
      </c>
    </row>
    <row r="1983" spans="1:15" x14ac:dyDescent="0.3">
      <c r="A1983">
        <v>8469</v>
      </c>
      <c r="B1983">
        <v>462</v>
      </c>
      <c r="C1983">
        <v>455</v>
      </c>
      <c r="D1983" t="s">
        <v>19</v>
      </c>
      <c r="E1983" t="s">
        <v>20</v>
      </c>
      <c r="F1983" t="s">
        <v>21</v>
      </c>
      <c r="G1983" t="s">
        <v>25</v>
      </c>
      <c r="H1983">
        <v>278.5</v>
      </c>
      <c r="I1983">
        <v>252.5</v>
      </c>
      <c r="J1983">
        <v>92.8</v>
      </c>
      <c r="K1983">
        <v>69</v>
      </c>
      <c r="L1983">
        <v>25.6</v>
      </c>
      <c r="M1983">
        <v>9</v>
      </c>
      <c r="N1983">
        <v>0.20631676137312299</v>
      </c>
      <c r="O1983">
        <v>5.8061981507597303E-2</v>
      </c>
    </row>
    <row r="1984" spans="1:15" x14ac:dyDescent="0.3">
      <c r="A1984">
        <v>8470</v>
      </c>
      <c r="B1984">
        <v>462</v>
      </c>
      <c r="C1984">
        <v>455</v>
      </c>
      <c r="D1984" t="s">
        <v>19</v>
      </c>
      <c r="E1984" t="s">
        <v>20</v>
      </c>
      <c r="F1984" t="s">
        <v>21</v>
      </c>
      <c r="G1984" t="s">
        <v>25</v>
      </c>
      <c r="H1984">
        <v>278.5</v>
      </c>
      <c r="I1984">
        <v>252.5</v>
      </c>
      <c r="J1984">
        <v>92.8</v>
      </c>
      <c r="K1984">
        <v>69</v>
      </c>
      <c r="L1984">
        <v>25.6</v>
      </c>
      <c r="M1984">
        <v>9</v>
      </c>
      <c r="N1984">
        <v>0.19368984134345399</v>
      </c>
      <c r="O1984">
        <v>3.9395452308787E-2</v>
      </c>
    </row>
    <row r="1985" spans="1:15" x14ac:dyDescent="0.3">
      <c r="A1985">
        <v>8472</v>
      </c>
      <c r="B1985">
        <v>464</v>
      </c>
      <c r="C1985">
        <v>184</v>
      </c>
      <c r="D1985" t="s">
        <v>23</v>
      </c>
      <c r="E1985" t="s">
        <v>16</v>
      </c>
      <c r="F1985" t="s">
        <v>17</v>
      </c>
      <c r="G1985" t="s">
        <v>26</v>
      </c>
      <c r="H1985">
        <v>277</v>
      </c>
      <c r="I1985">
        <v>265</v>
      </c>
      <c r="J1985">
        <v>101.5</v>
      </c>
      <c r="K1985">
        <v>70</v>
      </c>
      <c r="L1985">
        <v>30.4</v>
      </c>
      <c r="M1985">
        <v>9</v>
      </c>
      <c r="N1985">
        <v>5.2765873457406999E-2</v>
      </c>
      <c r="O1985">
        <v>0.27560833361461001</v>
      </c>
    </row>
    <row r="1986" spans="1:15" x14ac:dyDescent="0.3">
      <c r="A1986">
        <v>8475</v>
      </c>
      <c r="B1986">
        <v>465</v>
      </c>
      <c r="C1986">
        <v>314</v>
      </c>
      <c r="D1986" t="s">
        <v>19</v>
      </c>
      <c r="E1986" t="s">
        <v>20</v>
      </c>
      <c r="F1986" t="s">
        <v>21</v>
      </c>
      <c r="G1986" t="s">
        <v>25</v>
      </c>
      <c r="H1986">
        <v>273.5</v>
      </c>
      <c r="I1986">
        <v>251.5</v>
      </c>
      <c r="J1986">
        <v>97.5</v>
      </c>
      <c r="K1986">
        <v>65</v>
      </c>
      <c r="L1986">
        <v>25.5</v>
      </c>
      <c r="M1986">
        <v>13</v>
      </c>
      <c r="N1986">
        <v>0.22333160305177899</v>
      </c>
      <c r="O1986">
        <v>9.8741134517130499E-2</v>
      </c>
    </row>
    <row r="1987" spans="1:15" x14ac:dyDescent="0.3">
      <c r="A1987">
        <v>8476</v>
      </c>
      <c r="B1987">
        <v>465</v>
      </c>
      <c r="C1987">
        <v>314</v>
      </c>
      <c r="D1987" t="s">
        <v>19</v>
      </c>
      <c r="E1987" t="s">
        <v>20</v>
      </c>
      <c r="F1987" t="s">
        <v>21</v>
      </c>
      <c r="G1987" t="s">
        <v>25</v>
      </c>
      <c r="H1987">
        <v>273.5</v>
      </c>
      <c r="I1987">
        <v>251.5</v>
      </c>
      <c r="J1987">
        <v>97.5</v>
      </c>
      <c r="K1987">
        <v>65</v>
      </c>
      <c r="L1987">
        <v>25.5</v>
      </c>
      <c r="M1987">
        <v>13</v>
      </c>
      <c r="N1987">
        <v>0.23516581633449901</v>
      </c>
      <c r="O1987">
        <v>7.9438487586184603E-2</v>
      </c>
    </row>
    <row r="1988" spans="1:15" x14ac:dyDescent="0.3">
      <c r="A1988">
        <v>8483</v>
      </c>
      <c r="B1988">
        <v>47</v>
      </c>
      <c r="C1988">
        <v>197</v>
      </c>
      <c r="D1988" t="s">
        <v>19</v>
      </c>
      <c r="E1988" t="s">
        <v>20</v>
      </c>
      <c r="F1988" t="s">
        <v>21</v>
      </c>
      <c r="G1988" t="s">
        <v>26</v>
      </c>
      <c r="H1988">
        <v>280.10000000000002</v>
      </c>
      <c r="I1988">
        <v>249.5</v>
      </c>
      <c r="J1988">
        <v>95.8</v>
      </c>
      <c r="K1988">
        <v>69.5</v>
      </c>
      <c r="L1988">
        <v>26.6</v>
      </c>
      <c r="M1988">
        <v>6.5</v>
      </c>
      <c r="N1988">
        <v>0.18459323069444</v>
      </c>
      <c r="O1988">
        <v>3.1312654977249797E-2</v>
      </c>
    </row>
    <row r="1989" spans="1:15" x14ac:dyDescent="0.3">
      <c r="A1989">
        <v>8488</v>
      </c>
      <c r="B1989">
        <v>471</v>
      </c>
      <c r="C1989">
        <v>345</v>
      </c>
      <c r="D1989" t="s">
        <v>19</v>
      </c>
      <c r="E1989" t="s">
        <v>20</v>
      </c>
      <c r="F1989" t="s">
        <v>21</v>
      </c>
      <c r="G1989" t="s">
        <v>26</v>
      </c>
      <c r="H1989">
        <v>277.60000000000002</v>
      </c>
      <c r="I1989">
        <v>252.5</v>
      </c>
      <c r="J1989">
        <v>98.4</v>
      </c>
      <c r="K1989">
        <v>67.5</v>
      </c>
      <c r="L1989">
        <v>25.8</v>
      </c>
      <c r="M1989">
        <v>13.5</v>
      </c>
      <c r="N1989">
        <v>0.13909425445496801</v>
      </c>
      <c r="O1989">
        <v>0.101875246393634</v>
      </c>
    </row>
    <row r="1990" spans="1:15" x14ac:dyDescent="0.3">
      <c r="A1990">
        <v>8503</v>
      </c>
      <c r="B1990">
        <v>477</v>
      </c>
      <c r="C1990">
        <v>464</v>
      </c>
      <c r="D1990" t="s">
        <v>23</v>
      </c>
      <c r="E1990" t="s">
        <v>20</v>
      </c>
      <c r="F1990" t="s">
        <v>17</v>
      </c>
      <c r="G1990" t="s">
        <v>24</v>
      </c>
      <c r="H1990">
        <v>280.89999999999998</v>
      </c>
      <c r="I1990">
        <v>249</v>
      </c>
      <c r="J1990">
        <v>94.7</v>
      </c>
      <c r="K1990">
        <v>66</v>
      </c>
      <c r="L1990">
        <v>26.1</v>
      </c>
      <c r="M1990">
        <v>9</v>
      </c>
      <c r="N1990">
        <v>0.16010778563774899</v>
      </c>
      <c r="O1990">
        <v>0.15493745371936599</v>
      </c>
    </row>
    <row r="1991" spans="1:15" x14ac:dyDescent="0.3">
      <c r="A1991">
        <v>8506</v>
      </c>
      <c r="B1991">
        <v>478</v>
      </c>
      <c r="C1991">
        <v>351</v>
      </c>
      <c r="D1991" t="s">
        <v>23</v>
      </c>
      <c r="E1991" t="s">
        <v>20</v>
      </c>
      <c r="F1991" t="s">
        <v>17</v>
      </c>
      <c r="G1991" t="s">
        <v>22</v>
      </c>
      <c r="H1991">
        <v>277.60000000000002</v>
      </c>
      <c r="I1991">
        <v>246.5</v>
      </c>
      <c r="J1991">
        <v>93.9</v>
      </c>
      <c r="K1991">
        <v>67.5</v>
      </c>
      <c r="L1991">
        <v>27.5</v>
      </c>
      <c r="M1991">
        <v>8</v>
      </c>
      <c r="N1991">
        <v>0.15405617287972301</v>
      </c>
      <c r="O1991">
        <v>0.306941518452919</v>
      </c>
    </row>
    <row r="1992" spans="1:15" x14ac:dyDescent="0.3">
      <c r="A1992">
        <v>8507</v>
      </c>
      <c r="B1992">
        <v>478</v>
      </c>
      <c r="C1992">
        <v>351</v>
      </c>
      <c r="D1992" t="s">
        <v>23</v>
      </c>
      <c r="E1992" t="s">
        <v>20</v>
      </c>
      <c r="F1992" t="s">
        <v>17</v>
      </c>
      <c r="G1992" t="s">
        <v>22</v>
      </c>
      <c r="H1992">
        <v>277.60000000000002</v>
      </c>
      <c r="I1992">
        <v>246.5</v>
      </c>
      <c r="J1992">
        <v>93.9</v>
      </c>
      <c r="K1992">
        <v>67.5</v>
      </c>
      <c r="L1992">
        <v>27.5</v>
      </c>
      <c r="M1992">
        <v>8</v>
      </c>
      <c r="N1992">
        <v>0.15328969613072099</v>
      </c>
      <c r="O1992">
        <v>0.28507713485038</v>
      </c>
    </row>
    <row r="1993" spans="1:15" x14ac:dyDescent="0.3">
      <c r="A1993">
        <v>8508</v>
      </c>
      <c r="B1993">
        <v>478</v>
      </c>
      <c r="C1993">
        <v>351</v>
      </c>
      <c r="D1993" t="s">
        <v>23</v>
      </c>
      <c r="E1993" t="s">
        <v>20</v>
      </c>
      <c r="F1993" t="s">
        <v>17</v>
      </c>
      <c r="G1993" t="s">
        <v>22</v>
      </c>
      <c r="H1993">
        <v>277.60000000000002</v>
      </c>
      <c r="I1993">
        <v>246.5</v>
      </c>
      <c r="J1993">
        <v>93.9</v>
      </c>
      <c r="K1993">
        <v>67.5</v>
      </c>
      <c r="L1993">
        <v>27.5</v>
      </c>
      <c r="M1993">
        <v>8</v>
      </c>
      <c r="N1993">
        <v>0.15185478030786101</v>
      </c>
      <c r="O1993">
        <v>0.29790175150749798</v>
      </c>
    </row>
    <row r="1994" spans="1:15" x14ac:dyDescent="0.3">
      <c r="A1994">
        <v>8511</v>
      </c>
      <c r="B1994">
        <v>48</v>
      </c>
      <c r="C1994">
        <v>66</v>
      </c>
      <c r="D1994" t="s">
        <v>23</v>
      </c>
      <c r="E1994" t="s">
        <v>20</v>
      </c>
      <c r="F1994" t="s">
        <v>17</v>
      </c>
      <c r="G1994" t="s">
        <v>25</v>
      </c>
      <c r="H1994">
        <v>276.2</v>
      </c>
      <c r="I1994">
        <v>258</v>
      </c>
      <c r="J1994">
        <v>95.8</v>
      </c>
      <c r="K1994">
        <v>63.5</v>
      </c>
      <c r="L1994">
        <v>26.4</v>
      </c>
      <c r="M1994">
        <v>7</v>
      </c>
      <c r="N1994">
        <v>0.18458414874678</v>
      </c>
      <c r="O1994">
        <v>0.23999564270329099</v>
      </c>
    </row>
    <row r="1995" spans="1:15" x14ac:dyDescent="0.3">
      <c r="A1995">
        <v>8512</v>
      </c>
      <c r="B1995">
        <v>48</v>
      </c>
      <c r="C1995">
        <v>66</v>
      </c>
      <c r="D1995" t="s">
        <v>23</v>
      </c>
      <c r="E1995" t="s">
        <v>20</v>
      </c>
      <c r="F1995" t="s">
        <v>17</v>
      </c>
      <c r="G1995" t="s">
        <v>25</v>
      </c>
      <c r="H1995">
        <v>276.2</v>
      </c>
      <c r="I1995">
        <v>258</v>
      </c>
      <c r="J1995">
        <v>95.8</v>
      </c>
      <c r="K1995">
        <v>63.5</v>
      </c>
      <c r="L1995">
        <v>26.4</v>
      </c>
      <c r="M1995">
        <v>7</v>
      </c>
      <c r="N1995">
        <v>0.17418212279628301</v>
      </c>
      <c r="O1995">
        <v>0.24110047588282699</v>
      </c>
    </row>
    <row r="1996" spans="1:15" x14ac:dyDescent="0.3">
      <c r="A1996">
        <v>8513</v>
      </c>
      <c r="B1996">
        <v>48</v>
      </c>
      <c r="C1996">
        <v>66</v>
      </c>
      <c r="D1996" t="s">
        <v>23</v>
      </c>
      <c r="E1996" t="s">
        <v>20</v>
      </c>
      <c r="F1996" t="s">
        <v>17</v>
      </c>
      <c r="G1996" t="s">
        <v>25</v>
      </c>
      <c r="H1996">
        <v>276.2</v>
      </c>
      <c r="I1996">
        <v>258</v>
      </c>
      <c r="J1996">
        <v>95.8</v>
      </c>
      <c r="K1996">
        <v>63.5</v>
      </c>
      <c r="L1996">
        <v>26.4</v>
      </c>
      <c r="M1996">
        <v>7</v>
      </c>
      <c r="N1996">
        <v>0.150806530865878</v>
      </c>
      <c r="O1996">
        <v>0.25222397972391197</v>
      </c>
    </row>
    <row r="1997" spans="1:15" x14ac:dyDescent="0.3">
      <c r="A1997">
        <v>8517</v>
      </c>
      <c r="B1997">
        <v>481</v>
      </c>
      <c r="C1997">
        <v>497</v>
      </c>
      <c r="D1997" t="s">
        <v>23</v>
      </c>
      <c r="E1997" t="s">
        <v>20</v>
      </c>
      <c r="F1997" t="s">
        <v>21</v>
      </c>
      <c r="G1997" t="s">
        <v>18</v>
      </c>
      <c r="H1997">
        <v>269.7</v>
      </c>
      <c r="I1997">
        <v>245</v>
      </c>
      <c r="J1997">
        <v>94</v>
      </c>
      <c r="K1997">
        <v>67</v>
      </c>
      <c r="L1997">
        <v>24.2</v>
      </c>
      <c r="M1997">
        <v>9</v>
      </c>
      <c r="N1997">
        <v>0.21328067839260201</v>
      </c>
      <c r="O1997">
        <v>0.39439926154271898</v>
      </c>
    </row>
    <row r="1998" spans="1:15" x14ac:dyDescent="0.3">
      <c r="A1998">
        <v>8518</v>
      </c>
      <c r="B1998">
        <v>481</v>
      </c>
      <c r="C1998">
        <v>497</v>
      </c>
      <c r="D1998" t="s">
        <v>23</v>
      </c>
      <c r="E1998" t="s">
        <v>20</v>
      </c>
      <c r="F1998" t="s">
        <v>21</v>
      </c>
      <c r="G1998" t="s">
        <v>18</v>
      </c>
      <c r="H1998">
        <v>269.7</v>
      </c>
      <c r="I1998">
        <v>245</v>
      </c>
      <c r="J1998">
        <v>94</v>
      </c>
      <c r="K1998">
        <v>67</v>
      </c>
      <c r="L1998">
        <v>24.2</v>
      </c>
      <c r="M1998">
        <v>9</v>
      </c>
      <c r="N1998">
        <v>0.20001521216797899</v>
      </c>
      <c r="O1998">
        <v>0.36126013242673399</v>
      </c>
    </row>
    <row r="1999" spans="1:15" x14ac:dyDescent="0.3">
      <c r="A1999">
        <v>8527</v>
      </c>
      <c r="B1999">
        <v>485</v>
      </c>
      <c r="C1999">
        <v>453</v>
      </c>
      <c r="D1999" t="s">
        <v>23</v>
      </c>
      <c r="E1999" t="s">
        <v>20</v>
      </c>
      <c r="F1999" t="s">
        <v>17</v>
      </c>
      <c r="G1999" t="s">
        <v>22</v>
      </c>
      <c r="H1999">
        <v>281.60000000000002</v>
      </c>
      <c r="I1999">
        <v>255.5</v>
      </c>
      <c r="J1999">
        <v>100.4</v>
      </c>
      <c r="K1999">
        <v>70</v>
      </c>
      <c r="L1999">
        <v>25.7</v>
      </c>
      <c r="M1999">
        <v>10</v>
      </c>
      <c r="N1999">
        <v>0.14873370646040099</v>
      </c>
      <c r="O1999">
        <v>0.403491031347123</v>
      </c>
    </row>
    <row r="2000" spans="1:15" x14ac:dyDescent="0.3">
      <c r="A2000">
        <v>8528</v>
      </c>
      <c r="B2000">
        <v>485</v>
      </c>
      <c r="C2000">
        <v>453</v>
      </c>
      <c r="D2000" t="s">
        <v>23</v>
      </c>
      <c r="E2000" t="s">
        <v>20</v>
      </c>
      <c r="F2000" t="s">
        <v>17</v>
      </c>
      <c r="G2000" t="s">
        <v>22</v>
      </c>
      <c r="H2000">
        <v>281.60000000000002</v>
      </c>
      <c r="I2000">
        <v>255.5</v>
      </c>
      <c r="J2000">
        <v>100.4</v>
      </c>
      <c r="K2000">
        <v>70</v>
      </c>
      <c r="L2000">
        <v>25.7</v>
      </c>
      <c r="M2000">
        <v>10</v>
      </c>
      <c r="N2000">
        <v>0.14433539013125399</v>
      </c>
      <c r="O2000">
        <v>0.41226840154713701</v>
      </c>
    </row>
    <row r="2001" spans="1:15" x14ac:dyDescent="0.3">
      <c r="A2001">
        <v>8534</v>
      </c>
      <c r="B2001">
        <v>488</v>
      </c>
      <c r="C2001">
        <v>345</v>
      </c>
      <c r="D2001" t="s">
        <v>19</v>
      </c>
      <c r="E2001" t="s">
        <v>20</v>
      </c>
      <c r="F2001" t="s">
        <v>21</v>
      </c>
      <c r="G2001" t="s">
        <v>18</v>
      </c>
      <c r="H2001">
        <v>277.60000000000002</v>
      </c>
      <c r="I2001">
        <v>252.5</v>
      </c>
      <c r="J2001">
        <v>98.4</v>
      </c>
      <c r="K2001">
        <v>67.5</v>
      </c>
      <c r="L2001">
        <v>25.8</v>
      </c>
      <c r="M2001">
        <v>13.5</v>
      </c>
      <c r="N2001">
        <v>0.12395276711780701</v>
      </c>
      <c r="O2001">
        <v>0.105127567582617</v>
      </c>
    </row>
    <row r="2002" spans="1:15" x14ac:dyDescent="0.3">
      <c r="A2002">
        <v>8535</v>
      </c>
      <c r="B2002">
        <v>488</v>
      </c>
      <c r="C2002">
        <v>345</v>
      </c>
      <c r="D2002" t="s">
        <v>19</v>
      </c>
      <c r="E2002" t="s">
        <v>20</v>
      </c>
      <c r="F2002" t="s">
        <v>21</v>
      </c>
      <c r="G2002" t="s">
        <v>18</v>
      </c>
      <c r="H2002">
        <v>277.60000000000002</v>
      </c>
      <c r="I2002">
        <v>252.5</v>
      </c>
      <c r="J2002">
        <v>98.4</v>
      </c>
      <c r="K2002">
        <v>67.5</v>
      </c>
      <c r="L2002">
        <v>25.8</v>
      </c>
      <c r="M2002">
        <v>13.5</v>
      </c>
      <c r="N2002">
        <v>0.12985235319101299</v>
      </c>
      <c r="O2002">
        <v>9.9040929387974597E-2</v>
      </c>
    </row>
    <row r="2003" spans="1:15" x14ac:dyDescent="0.3">
      <c r="A2003">
        <v>8549</v>
      </c>
      <c r="B2003">
        <v>492</v>
      </c>
      <c r="C2003">
        <v>337</v>
      </c>
      <c r="D2003" t="s">
        <v>23</v>
      </c>
      <c r="E2003" t="s">
        <v>20</v>
      </c>
      <c r="F2003" t="s">
        <v>17</v>
      </c>
      <c r="G2003" t="s">
        <v>25</v>
      </c>
      <c r="H2003">
        <v>279.7</v>
      </c>
      <c r="I2003">
        <v>255</v>
      </c>
      <c r="J2003">
        <v>95.2</v>
      </c>
      <c r="K2003">
        <v>68</v>
      </c>
      <c r="L2003">
        <v>25.3</v>
      </c>
      <c r="M2003">
        <v>5.5</v>
      </c>
      <c r="N2003">
        <v>0.21121357596807999</v>
      </c>
      <c r="O2003">
        <v>0.36773604964253298</v>
      </c>
    </row>
    <row r="2004" spans="1:15" x14ac:dyDescent="0.3">
      <c r="A2004">
        <v>8550</v>
      </c>
      <c r="B2004">
        <v>492</v>
      </c>
      <c r="C2004">
        <v>337</v>
      </c>
      <c r="D2004" t="s">
        <v>23</v>
      </c>
      <c r="E2004" t="s">
        <v>20</v>
      </c>
      <c r="F2004" t="s">
        <v>17</v>
      </c>
      <c r="G2004" t="s">
        <v>25</v>
      </c>
      <c r="H2004">
        <v>279.7</v>
      </c>
      <c r="I2004">
        <v>255</v>
      </c>
      <c r="J2004">
        <v>95.2</v>
      </c>
      <c r="K2004">
        <v>68</v>
      </c>
      <c r="L2004">
        <v>25.3</v>
      </c>
      <c r="M2004">
        <v>5.5</v>
      </c>
      <c r="N2004">
        <v>0.21269490990011</v>
      </c>
      <c r="O2004">
        <v>0.34218717811010702</v>
      </c>
    </row>
    <row r="2005" spans="1:15" x14ac:dyDescent="0.3">
      <c r="A2005">
        <v>8559</v>
      </c>
      <c r="B2005">
        <v>496</v>
      </c>
      <c r="C2005">
        <v>279</v>
      </c>
      <c r="D2005" t="s">
        <v>23</v>
      </c>
      <c r="E2005" t="s">
        <v>16</v>
      </c>
      <c r="F2005" t="s">
        <v>17</v>
      </c>
      <c r="G2005" t="s">
        <v>26</v>
      </c>
      <c r="H2005">
        <v>273.8</v>
      </c>
      <c r="I2005">
        <v>248.5</v>
      </c>
      <c r="J2005">
        <v>97.9</v>
      </c>
      <c r="K2005">
        <v>65.5</v>
      </c>
      <c r="L2005">
        <v>24.9</v>
      </c>
      <c r="M2005">
        <v>4</v>
      </c>
      <c r="N2005">
        <v>0.23364526275754699</v>
      </c>
      <c r="O2005">
        <v>0.38372460294972099</v>
      </c>
    </row>
    <row r="2006" spans="1:15" x14ac:dyDescent="0.3">
      <c r="A2006">
        <v>8572</v>
      </c>
      <c r="B2006">
        <v>500</v>
      </c>
      <c r="C2006">
        <v>261</v>
      </c>
      <c r="D2006" t="s">
        <v>23</v>
      </c>
      <c r="E2006" t="s">
        <v>20</v>
      </c>
      <c r="F2006" t="s">
        <v>21</v>
      </c>
      <c r="G2006" t="s">
        <v>18</v>
      </c>
      <c r="H2006">
        <v>276.60000000000002</v>
      </c>
      <c r="I2006">
        <v>246</v>
      </c>
      <c r="J2006">
        <v>96.1</v>
      </c>
      <c r="K2006">
        <v>65.5</v>
      </c>
      <c r="L2006">
        <v>29.4</v>
      </c>
      <c r="M2006">
        <v>12</v>
      </c>
      <c r="N2006">
        <v>3.0243559019719798E-2</v>
      </c>
      <c r="O2006">
        <v>0.36530459518207498</v>
      </c>
    </row>
    <row r="2007" spans="1:15" x14ac:dyDescent="0.3">
      <c r="A2007">
        <v>8573</v>
      </c>
      <c r="B2007">
        <v>500</v>
      </c>
      <c r="C2007">
        <v>261</v>
      </c>
      <c r="D2007" t="s">
        <v>23</v>
      </c>
      <c r="E2007" t="s">
        <v>20</v>
      </c>
      <c r="F2007" t="s">
        <v>21</v>
      </c>
      <c r="G2007" t="s">
        <v>18</v>
      </c>
      <c r="H2007">
        <v>276.60000000000002</v>
      </c>
      <c r="I2007">
        <v>246</v>
      </c>
      <c r="J2007">
        <v>96.1</v>
      </c>
      <c r="K2007">
        <v>65.5</v>
      </c>
      <c r="L2007">
        <v>29.4</v>
      </c>
      <c r="M2007">
        <v>12</v>
      </c>
      <c r="N2007">
        <v>4.7587819411003901E-2</v>
      </c>
      <c r="O2007">
        <v>0.342383222303415</v>
      </c>
    </row>
    <row r="2008" spans="1:15" x14ac:dyDescent="0.3">
      <c r="A2008">
        <v>8574</v>
      </c>
      <c r="B2008">
        <v>500</v>
      </c>
      <c r="C2008">
        <v>261</v>
      </c>
      <c r="D2008" t="s">
        <v>23</v>
      </c>
      <c r="E2008" t="s">
        <v>20</v>
      </c>
      <c r="F2008" t="s">
        <v>21</v>
      </c>
      <c r="G2008" t="s">
        <v>18</v>
      </c>
      <c r="H2008">
        <v>276.60000000000002</v>
      </c>
      <c r="I2008">
        <v>246</v>
      </c>
      <c r="J2008">
        <v>96.1</v>
      </c>
      <c r="K2008">
        <v>65.5</v>
      </c>
      <c r="L2008">
        <v>29.4</v>
      </c>
      <c r="M2008">
        <v>12</v>
      </c>
      <c r="N2008">
        <v>3.5860286328331603E-2</v>
      </c>
      <c r="O2008">
        <v>0.33538438613664001</v>
      </c>
    </row>
    <row r="2009" spans="1:15" x14ac:dyDescent="0.3">
      <c r="A2009">
        <v>8575</v>
      </c>
      <c r="B2009">
        <v>500</v>
      </c>
      <c r="C2009">
        <v>261</v>
      </c>
      <c r="D2009" t="s">
        <v>23</v>
      </c>
      <c r="E2009" t="s">
        <v>20</v>
      </c>
      <c r="F2009" t="s">
        <v>21</v>
      </c>
      <c r="G2009" t="s">
        <v>18</v>
      </c>
      <c r="H2009">
        <v>276.60000000000002</v>
      </c>
      <c r="I2009">
        <v>246</v>
      </c>
      <c r="J2009">
        <v>96.1</v>
      </c>
      <c r="K2009">
        <v>65.5</v>
      </c>
      <c r="L2009">
        <v>29.4</v>
      </c>
      <c r="M2009">
        <v>12</v>
      </c>
      <c r="N2009">
        <v>2.5852811497372601E-2</v>
      </c>
      <c r="O2009">
        <v>0.34246572262382602</v>
      </c>
    </row>
    <row r="2010" spans="1:15" x14ac:dyDescent="0.3">
      <c r="A2010">
        <v>8588</v>
      </c>
      <c r="B2010">
        <v>504</v>
      </c>
      <c r="C2010">
        <v>497</v>
      </c>
      <c r="D2010" t="s">
        <v>23</v>
      </c>
      <c r="E2010" t="s">
        <v>20</v>
      </c>
      <c r="F2010" t="s">
        <v>17</v>
      </c>
      <c r="G2010" t="s">
        <v>26</v>
      </c>
      <c r="H2010">
        <v>269.7</v>
      </c>
      <c r="I2010">
        <v>245</v>
      </c>
      <c r="J2010">
        <v>94</v>
      </c>
      <c r="K2010">
        <v>67</v>
      </c>
      <c r="L2010">
        <v>24.2</v>
      </c>
      <c r="M2010">
        <v>9</v>
      </c>
      <c r="N2010">
        <v>0.21897656161429799</v>
      </c>
      <c r="O2010">
        <v>0.37870352908071298</v>
      </c>
    </row>
    <row r="2011" spans="1:15" x14ac:dyDescent="0.3">
      <c r="A2011">
        <v>8589</v>
      </c>
      <c r="B2011">
        <v>504</v>
      </c>
      <c r="C2011">
        <v>497</v>
      </c>
      <c r="D2011" t="s">
        <v>23</v>
      </c>
      <c r="E2011" t="s">
        <v>20</v>
      </c>
      <c r="F2011" t="s">
        <v>17</v>
      </c>
      <c r="G2011" t="s">
        <v>26</v>
      </c>
      <c r="H2011">
        <v>269.7</v>
      </c>
      <c r="I2011">
        <v>245</v>
      </c>
      <c r="J2011">
        <v>94</v>
      </c>
      <c r="K2011">
        <v>67</v>
      </c>
      <c r="L2011">
        <v>24.2</v>
      </c>
      <c r="M2011">
        <v>9</v>
      </c>
      <c r="N2011">
        <v>0.20175360047287799</v>
      </c>
      <c r="O2011">
        <v>0.38936947623721302</v>
      </c>
    </row>
    <row r="2012" spans="1:15" x14ac:dyDescent="0.3">
      <c r="A2012">
        <v>8590</v>
      </c>
      <c r="B2012">
        <v>504</v>
      </c>
      <c r="C2012">
        <v>497</v>
      </c>
      <c r="D2012" t="s">
        <v>23</v>
      </c>
      <c r="E2012" t="s">
        <v>20</v>
      </c>
      <c r="F2012" t="s">
        <v>17</v>
      </c>
      <c r="G2012" t="s">
        <v>26</v>
      </c>
      <c r="H2012">
        <v>269.7</v>
      </c>
      <c r="I2012">
        <v>245</v>
      </c>
      <c r="J2012">
        <v>94</v>
      </c>
      <c r="K2012">
        <v>67</v>
      </c>
      <c r="L2012">
        <v>24.2</v>
      </c>
      <c r="M2012">
        <v>9</v>
      </c>
      <c r="N2012">
        <v>0.21874943732872101</v>
      </c>
      <c r="O2012">
        <v>0.37332104142932498</v>
      </c>
    </row>
    <row r="2013" spans="1:15" x14ac:dyDescent="0.3">
      <c r="A2013">
        <v>8620</v>
      </c>
      <c r="B2013">
        <v>514</v>
      </c>
      <c r="C2013">
        <v>99</v>
      </c>
      <c r="D2013" t="s">
        <v>19</v>
      </c>
      <c r="E2013" t="s">
        <v>20</v>
      </c>
      <c r="F2013" t="s">
        <v>17</v>
      </c>
      <c r="G2013" t="s">
        <v>18</v>
      </c>
      <c r="H2013">
        <v>277</v>
      </c>
      <c r="I2013">
        <v>257</v>
      </c>
      <c r="J2013">
        <v>99.7</v>
      </c>
      <c r="K2013">
        <v>69</v>
      </c>
      <c r="L2013">
        <v>26.4</v>
      </c>
      <c r="M2013">
        <v>7.5</v>
      </c>
      <c r="N2013">
        <v>0.106375427142285</v>
      </c>
      <c r="O2013">
        <v>3.11953033184269E-2</v>
      </c>
    </row>
    <row r="2014" spans="1:15" x14ac:dyDescent="0.3">
      <c r="A2014">
        <v>8621</v>
      </c>
      <c r="B2014">
        <v>514</v>
      </c>
      <c r="C2014">
        <v>99</v>
      </c>
      <c r="D2014" t="s">
        <v>19</v>
      </c>
      <c r="E2014" t="s">
        <v>20</v>
      </c>
      <c r="F2014" t="s">
        <v>17</v>
      </c>
      <c r="G2014" t="s">
        <v>18</v>
      </c>
      <c r="H2014">
        <v>277</v>
      </c>
      <c r="I2014">
        <v>257</v>
      </c>
      <c r="J2014">
        <v>99.7</v>
      </c>
      <c r="K2014">
        <v>69</v>
      </c>
      <c r="L2014">
        <v>26.4</v>
      </c>
      <c r="M2014">
        <v>7.5</v>
      </c>
      <c r="N2014">
        <v>8.7979727544087796E-2</v>
      </c>
      <c r="O2014">
        <v>4.8583448858091002E-2</v>
      </c>
    </row>
    <row r="2015" spans="1:15" x14ac:dyDescent="0.3">
      <c r="A2015">
        <v>8625</v>
      </c>
      <c r="B2015">
        <v>517</v>
      </c>
      <c r="C2015">
        <v>154</v>
      </c>
      <c r="D2015" t="s">
        <v>23</v>
      </c>
      <c r="E2015" t="s">
        <v>20</v>
      </c>
      <c r="F2015" t="s">
        <v>17</v>
      </c>
      <c r="G2015" t="s">
        <v>26</v>
      </c>
      <c r="H2015">
        <v>278.39999999999998</v>
      </c>
      <c r="I2015">
        <v>245</v>
      </c>
      <c r="J2015">
        <v>94.5</v>
      </c>
      <c r="K2015">
        <v>64</v>
      </c>
      <c r="L2015">
        <v>25.4</v>
      </c>
      <c r="M2015">
        <v>10.5</v>
      </c>
      <c r="N2015">
        <v>0.13972640724920199</v>
      </c>
      <c r="O2015">
        <v>0.33497361923234797</v>
      </c>
    </row>
    <row r="2016" spans="1:15" x14ac:dyDescent="0.3">
      <c r="A2016">
        <v>8626</v>
      </c>
      <c r="B2016">
        <v>517</v>
      </c>
      <c r="C2016">
        <v>154</v>
      </c>
      <c r="D2016" t="s">
        <v>23</v>
      </c>
      <c r="E2016" t="s">
        <v>20</v>
      </c>
      <c r="F2016" t="s">
        <v>17</v>
      </c>
      <c r="G2016" t="s">
        <v>26</v>
      </c>
      <c r="H2016">
        <v>278.39999999999998</v>
      </c>
      <c r="I2016">
        <v>245</v>
      </c>
      <c r="J2016">
        <v>94.5</v>
      </c>
      <c r="K2016">
        <v>64</v>
      </c>
      <c r="L2016">
        <v>25.4</v>
      </c>
      <c r="M2016">
        <v>10.5</v>
      </c>
      <c r="N2016">
        <v>0.117296298314984</v>
      </c>
      <c r="O2016">
        <v>0.33046206781068699</v>
      </c>
    </row>
    <row r="2017" spans="1:15" x14ac:dyDescent="0.3">
      <c r="A2017">
        <v>8627</v>
      </c>
      <c r="B2017">
        <v>517</v>
      </c>
      <c r="C2017">
        <v>154</v>
      </c>
      <c r="D2017" t="s">
        <v>23</v>
      </c>
      <c r="E2017" t="s">
        <v>20</v>
      </c>
      <c r="F2017" t="s">
        <v>17</v>
      </c>
      <c r="G2017" t="s">
        <v>26</v>
      </c>
      <c r="H2017">
        <v>278.39999999999998</v>
      </c>
      <c r="I2017">
        <v>245</v>
      </c>
      <c r="J2017">
        <v>94.5</v>
      </c>
      <c r="K2017">
        <v>64</v>
      </c>
      <c r="L2017">
        <v>25.4</v>
      </c>
      <c r="M2017">
        <v>10.5</v>
      </c>
      <c r="N2017">
        <v>0.126143419217736</v>
      </c>
      <c r="O2017">
        <v>0.32747266788021101</v>
      </c>
    </row>
    <row r="2018" spans="1:15" x14ac:dyDescent="0.3">
      <c r="A2018">
        <v>8629</v>
      </c>
      <c r="B2018">
        <v>518</v>
      </c>
      <c r="C2018">
        <v>233</v>
      </c>
      <c r="D2018" t="s">
        <v>19</v>
      </c>
      <c r="E2018" t="s">
        <v>20</v>
      </c>
      <c r="F2018" t="s">
        <v>21</v>
      </c>
      <c r="G2018" t="s">
        <v>25</v>
      </c>
      <c r="H2018">
        <v>274.7</v>
      </c>
      <c r="I2018">
        <v>248.5</v>
      </c>
      <c r="J2018">
        <v>95.9</v>
      </c>
      <c r="K2018">
        <v>63.5</v>
      </c>
      <c r="L2018">
        <v>27.6</v>
      </c>
      <c r="M2018">
        <v>11</v>
      </c>
      <c r="N2018">
        <v>2.0877706863967799E-2</v>
      </c>
      <c r="O2018">
        <v>0.109603475273174</v>
      </c>
    </row>
    <row r="2019" spans="1:15" x14ac:dyDescent="0.3">
      <c r="A2019">
        <v>8630</v>
      </c>
      <c r="B2019">
        <v>518</v>
      </c>
      <c r="C2019">
        <v>233</v>
      </c>
      <c r="D2019" t="s">
        <v>19</v>
      </c>
      <c r="E2019" t="s">
        <v>20</v>
      </c>
      <c r="F2019" t="s">
        <v>21</v>
      </c>
      <c r="G2019" t="s">
        <v>25</v>
      </c>
      <c r="H2019">
        <v>274.7</v>
      </c>
      <c r="I2019">
        <v>248.5</v>
      </c>
      <c r="J2019">
        <v>95.9</v>
      </c>
      <c r="K2019">
        <v>63.5</v>
      </c>
      <c r="L2019">
        <v>27.6</v>
      </c>
      <c r="M2019">
        <v>11</v>
      </c>
      <c r="N2019">
        <v>4.9377985031402102E-2</v>
      </c>
      <c r="O2019">
        <v>0.14612410597588399</v>
      </c>
    </row>
    <row r="2020" spans="1:15" x14ac:dyDescent="0.3">
      <c r="A2020">
        <v>8655</v>
      </c>
      <c r="B2020">
        <v>526</v>
      </c>
      <c r="C2020">
        <v>413</v>
      </c>
      <c r="D2020" t="s">
        <v>19</v>
      </c>
      <c r="E2020" t="s">
        <v>20</v>
      </c>
      <c r="F2020" t="s">
        <v>21</v>
      </c>
      <c r="G2020" t="s">
        <v>22</v>
      </c>
      <c r="H2020">
        <v>279</v>
      </c>
      <c r="I2020">
        <v>247.5</v>
      </c>
      <c r="J2020">
        <v>93.5</v>
      </c>
      <c r="K2020">
        <v>66</v>
      </c>
      <c r="L2020">
        <v>25.5</v>
      </c>
      <c r="M2020">
        <v>10</v>
      </c>
      <c r="N2020">
        <v>0.239172795606514</v>
      </c>
      <c r="O2020">
        <v>7.7724335637772202E-2</v>
      </c>
    </row>
    <row r="2021" spans="1:15" x14ac:dyDescent="0.3">
      <c r="A2021">
        <v>8656</v>
      </c>
      <c r="B2021">
        <v>526</v>
      </c>
      <c r="C2021">
        <v>413</v>
      </c>
      <c r="D2021" t="s">
        <v>19</v>
      </c>
      <c r="E2021" t="s">
        <v>20</v>
      </c>
      <c r="F2021" t="s">
        <v>21</v>
      </c>
      <c r="G2021" t="s">
        <v>22</v>
      </c>
      <c r="H2021">
        <v>279</v>
      </c>
      <c r="I2021">
        <v>247.5</v>
      </c>
      <c r="J2021">
        <v>93.5</v>
      </c>
      <c r="K2021">
        <v>66</v>
      </c>
      <c r="L2021">
        <v>25.5</v>
      </c>
      <c r="M2021">
        <v>10</v>
      </c>
      <c r="N2021">
        <v>0.240064479906961</v>
      </c>
      <c r="O2021">
        <v>6.0293447487858698E-2</v>
      </c>
    </row>
    <row r="2022" spans="1:15" x14ac:dyDescent="0.3">
      <c r="A2022">
        <v>8657</v>
      </c>
      <c r="B2022">
        <v>527</v>
      </c>
      <c r="C2022">
        <v>110</v>
      </c>
      <c r="D2022" t="s">
        <v>23</v>
      </c>
      <c r="E2022" t="s">
        <v>20</v>
      </c>
      <c r="F2022" t="s">
        <v>17</v>
      </c>
      <c r="G2022" t="s">
        <v>26</v>
      </c>
      <c r="H2022">
        <v>271.3</v>
      </c>
      <c r="I2022">
        <v>247.5</v>
      </c>
      <c r="J2022">
        <v>95</v>
      </c>
      <c r="K2022">
        <v>65.5</v>
      </c>
      <c r="L2022">
        <v>24.5</v>
      </c>
      <c r="M2022">
        <v>8</v>
      </c>
      <c r="N2022">
        <v>0.21756261280963399</v>
      </c>
      <c r="O2022">
        <v>0.35324316654916099</v>
      </c>
    </row>
    <row r="2023" spans="1:15" x14ac:dyDescent="0.3">
      <c r="A2023">
        <v>8658</v>
      </c>
      <c r="B2023">
        <v>527</v>
      </c>
      <c r="C2023">
        <v>110</v>
      </c>
      <c r="D2023" t="s">
        <v>23</v>
      </c>
      <c r="E2023" t="s">
        <v>20</v>
      </c>
      <c r="F2023" t="s">
        <v>17</v>
      </c>
      <c r="G2023" t="s">
        <v>26</v>
      </c>
      <c r="H2023">
        <v>271.3</v>
      </c>
      <c r="I2023">
        <v>247.5</v>
      </c>
      <c r="J2023">
        <v>95</v>
      </c>
      <c r="K2023">
        <v>65.5</v>
      </c>
      <c r="L2023">
        <v>24.5</v>
      </c>
      <c r="M2023">
        <v>8</v>
      </c>
      <c r="N2023">
        <v>0.226838113989763</v>
      </c>
      <c r="O2023">
        <v>0.35205468548582702</v>
      </c>
    </row>
    <row r="2024" spans="1:15" x14ac:dyDescent="0.3">
      <c r="A2024">
        <v>8659</v>
      </c>
      <c r="B2024">
        <v>527</v>
      </c>
      <c r="C2024">
        <v>110</v>
      </c>
      <c r="D2024" t="s">
        <v>23</v>
      </c>
      <c r="E2024" t="s">
        <v>20</v>
      </c>
      <c r="F2024" t="s">
        <v>17</v>
      </c>
      <c r="G2024" t="s">
        <v>26</v>
      </c>
      <c r="H2024">
        <v>271.3</v>
      </c>
      <c r="I2024">
        <v>247.5</v>
      </c>
      <c r="J2024">
        <v>95</v>
      </c>
      <c r="K2024">
        <v>65.5</v>
      </c>
      <c r="L2024">
        <v>24.5</v>
      </c>
      <c r="M2024">
        <v>8</v>
      </c>
      <c r="N2024">
        <v>0.20963033883349899</v>
      </c>
      <c r="O2024">
        <v>0.33728768100987</v>
      </c>
    </row>
    <row r="2025" spans="1:15" x14ac:dyDescent="0.3">
      <c r="A2025">
        <v>8666</v>
      </c>
      <c r="B2025">
        <v>530</v>
      </c>
      <c r="C2025">
        <v>32</v>
      </c>
      <c r="D2025" t="s">
        <v>19</v>
      </c>
      <c r="E2025" t="s">
        <v>20</v>
      </c>
      <c r="F2025" t="s">
        <v>21</v>
      </c>
      <c r="G2025" t="s">
        <v>22</v>
      </c>
      <c r="H2025">
        <v>274.8</v>
      </c>
      <c r="I2025">
        <v>261</v>
      </c>
      <c r="J2025">
        <v>101</v>
      </c>
      <c r="K2025">
        <v>66</v>
      </c>
      <c r="L2025">
        <v>24.4</v>
      </c>
      <c r="M2025">
        <v>8.5</v>
      </c>
      <c r="N2025">
        <v>0.13518463662115299</v>
      </c>
      <c r="O2025">
        <v>0.15958545379370101</v>
      </c>
    </row>
    <row r="2026" spans="1:15" x14ac:dyDescent="0.3">
      <c r="A2026">
        <v>8667</v>
      </c>
      <c r="B2026">
        <v>530</v>
      </c>
      <c r="C2026">
        <v>32</v>
      </c>
      <c r="D2026" t="s">
        <v>19</v>
      </c>
      <c r="E2026" t="s">
        <v>20</v>
      </c>
      <c r="F2026" t="s">
        <v>21</v>
      </c>
      <c r="G2026" t="s">
        <v>22</v>
      </c>
      <c r="H2026">
        <v>274.8</v>
      </c>
      <c r="I2026">
        <v>261</v>
      </c>
      <c r="J2026">
        <v>101</v>
      </c>
      <c r="K2026">
        <v>66</v>
      </c>
      <c r="L2026">
        <v>24.4</v>
      </c>
      <c r="M2026">
        <v>8.5</v>
      </c>
      <c r="N2026">
        <v>0.12333021806028301</v>
      </c>
      <c r="O2026">
        <v>0.16735462737083501</v>
      </c>
    </row>
    <row r="2027" spans="1:15" x14ac:dyDescent="0.3">
      <c r="A2027">
        <v>8668</v>
      </c>
      <c r="B2027">
        <v>530</v>
      </c>
      <c r="C2027">
        <v>32</v>
      </c>
      <c r="D2027" t="s">
        <v>19</v>
      </c>
      <c r="E2027" t="s">
        <v>20</v>
      </c>
      <c r="F2027" t="s">
        <v>21</v>
      </c>
      <c r="G2027" t="s">
        <v>22</v>
      </c>
      <c r="H2027">
        <v>274.8</v>
      </c>
      <c r="I2027">
        <v>261</v>
      </c>
      <c r="J2027">
        <v>101</v>
      </c>
      <c r="K2027">
        <v>66</v>
      </c>
      <c r="L2027">
        <v>24.4</v>
      </c>
      <c r="M2027">
        <v>8.5</v>
      </c>
      <c r="N2027">
        <v>0.13419246356551701</v>
      </c>
      <c r="O2027">
        <v>0.145499331223886</v>
      </c>
    </row>
    <row r="2028" spans="1:15" x14ac:dyDescent="0.3">
      <c r="A2028">
        <v>8669</v>
      </c>
      <c r="B2028">
        <v>530</v>
      </c>
      <c r="C2028">
        <v>32</v>
      </c>
      <c r="D2028" t="s">
        <v>19</v>
      </c>
      <c r="E2028" t="s">
        <v>20</v>
      </c>
      <c r="F2028" t="s">
        <v>21</v>
      </c>
      <c r="G2028" t="s">
        <v>22</v>
      </c>
      <c r="H2028">
        <v>274.8</v>
      </c>
      <c r="I2028">
        <v>261</v>
      </c>
      <c r="J2028">
        <v>101</v>
      </c>
      <c r="K2028">
        <v>66</v>
      </c>
      <c r="L2028">
        <v>24.4</v>
      </c>
      <c r="M2028">
        <v>8.5</v>
      </c>
      <c r="N2028">
        <v>0.12810572440042201</v>
      </c>
      <c r="O2028">
        <v>0.143729445491215</v>
      </c>
    </row>
    <row r="2029" spans="1:15" x14ac:dyDescent="0.3">
      <c r="A2029">
        <v>8670</v>
      </c>
      <c r="B2029">
        <v>530</v>
      </c>
      <c r="C2029">
        <v>32</v>
      </c>
      <c r="D2029" t="s">
        <v>19</v>
      </c>
      <c r="E2029" t="s">
        <v>20</v>
      </c>
      <c r="F2029" t="s">
        <v>21</v>
      </c>
      <c r="G2029" t="s">
        <v>22</v>
      </c>
      <c r="H2029">
        <v>274.8</v>
      </c>
      <c r="I2029">
        <v>261</v>
      </c>
      <c r="J2029">
        <v>101</v>
      </c>
      <c r="K2029">
        <v>66</v>
      </c>
      <c r="L2029">
        <v>24.4</v>
      </c>
      <c r="M2029">
        <v>8.5</v>
      </c>
      <c r="N2029">
        <v>0.14407876645136</v>
      </c>
      <c r="O2029">
        <v>0.15246433516324401</v>
      </c>
    </row>
    <row r="2030" spans="1:15" x14ac:dyDescent="0.3">
      <c r="A2030">
        <v>8671</v>
      </c>
      <c r="B2030">
        <v>531</v>
      </c>
      <c r="C2030">
        <v>366</v>
      </c>
      <c r="D2030" t="s">
        <v>19</v>
      </c>
      <c r="E2030" t="s">
        <v>20</v>
      </c>
      <c r="F2030" t="s">
        <v>21</v>
      </c>
      <c r="G2030" t="s">
        <v>25</v>
      </c>
      <c r="H2030">
        <v>275.89999999999998</v>
      </c>
      <c r="I2030">
        <v>255</v>
      </c>
      <c r="J2030">
        <v>94.9</v>
      </c>
      <c r="K2030">
        <v>64</v>
      </c>
      <c r="L2030">
        <v>26.8</v>
      </c>
      <c r="M2030">
        <v>17</v>
      </c>
      <c r="N2030">
        <v>0.18957099973953101</v>
      </c>
      <c r="O2030">
        <v>0.15064833323250101</v>
      </c>
    </row>
    <row r="2031" spans="1:15" x14ac:dyDescent="0.3">
      <c r="A2031">
        <v>8672</v>
      </c>
      <c r="B2031">
        <v>531</v>
      </c>
      <c r="C2031">
        <v>366</v>
      </c>
      <c r="D2031" t="s">
        <v>19</v>
      </c>
      <c r="E2031" t="s">
        <v>20</v>
      </c>
      <c r="F2031" t="s">
        <v>21</v>
      </c>
      <c r="G2031" t="s">
        <v>25</v>
      </c>
      <c r="H2031">
        <v>275.89999999999998</v>
      </c>
      <c r="I2031">
        <v>255</v>
      </c>
      <c r="J2031">
        <v>94.9</v>
      </c>
      <c r="K2031">
        <v>64</v>
      </c>
      <c r="L2031">
        <v>26.8</v>
      </c>
      <c r="M2031">
        <v>17</v>
      </c>
      <c r="N2031">
        <v>0.176902767413949</v>
      </c>
      <c r="O2031">
        <v>0.17607025255822101</v>
      </c>
    </row>
    <row r="2032" spans="1:15" x14ac:dyDescent="0.3">
      <c r="A2032">
        <v>8673</v>
      </c>
      <c r="B2032">
        <v>531</v>
      </c>
      <c r="C2032">
        <v>366</v>
      </c>
      <c r="D2032" t="s">
        <v>19</v>
      </c>
      <c r="E2032" t="s">
        <v>20</v>
      </c>
      <c r="F2032" t="s">
        <v>21</v>
      </c>
      <c r="G2032" t="s">
        <v>25</v>
      </c>
      <c r="H2032">
        <v>275.89999999999998</v>
      </c>
      <c r="I2032">
        <v>255</v>
      </c>
      <c r="J2032">
        <v>94.9</v>
      </c>
      <c r="K2032">
        <v>64</v>
      </c>
      <c r="L2032">
        <v>26.8</v>
      </c>
      <c r="M2032">
        <v>17</v>
      </c>
      <c r="N2032">
        <v>0.17433323113166499</v>
      </c>
      <c r="O2032">
        <v>0.161418203253437</v>
      </c>
    </row>
    <row r="2033" spans="1:15" x14ac:dyDescent="0.3">
      <c r="A2033">
        <v>8674</v>
      </c>
      <c r="B2033">
        <v>531</v>
      </c>
      <c r="C2033">
        <v>366</v>
      </c>
      <c r="D2033" t="s">
        <v>19</v>
      </c>
      <c r="E2033" t="s">
        <v>20</v>
      </c>
      <c r="F2033" t="s">
        <v>21</v>
      </c>
      <c r="G2033" t="s">
        <v>25</v>
      </c>
      <c r="H2033">
        <v>275.89999999999998</v>
      </c>
      <c r="I2033">
        <v>255</v>
      </c>
      <c r="J2033">
        <v>94.9</v>
      </c>
      <c r="K2033">
        <v>64</v>
      </c>
      <c r="L2033">
        <v>26.8</v>
      </c>
      <c r="M2033">
        <v>17</v>
      </c>
      <c r="N2033">
        <v>0.1736804003403</v>
      </c>
      <c r="O2033">
        <v>0.14507433987568899</v>
      </c>
    </row>
    <row r="2034" spans="1:15" x14ac:dyDescent="0.3">
      <c r="A2034">
        <v>8684</v>
      </c>
      <c r="B2034">
        <v>536</v>
      </c>
      <c r="C2034">
        <v>385</v>
      </c>
      <c r="D2034" t="s">
        <v>23</v>
      </c>
      <c r="E2034" t="s">
        <v>20</v>
      </c>
      <c r="F2034" t="s">
        <v>21</v>
      </c>
      <c r="G2034" t="s">
        <v>26</v>
      </c>
      <c r="H2034">
        <v>270</v>
      </c>
      <c r="I2034">
        <v>256</v>
      </c>
      <c r="J2034">
        <v>97.2</v>
      </c>
      <c r="K2034">
        <v>65.5</v>
      </c>
      <c r="L2034">
        <v>26</v>
      </c>
      <c r="M2034">
        <v>8</v>
      </c>
      <c r="N2034">
        <v>0.20978127130176299</v>
      </c>
      <c r="O2034">
        <v>0.36698611902381501</v>
      </c>
    </row>
    <row r="2035" spans="1:15" x14ac:dyDescent="0.3">
      <c r="A2035">
        <v>8685</v>
      </c>
      <c r="B2035">
        <v>536</v>
      </c>
      <c r="C2035">
        <v>385</v>
      </c>
      <c r="D2035" t="s">
        <v>23</v>
      </c>
      <c r="E2035" t="s">
        <v>20</v>
      </c>
      <c r="F2035" t="s">
        <v>21</v>
      </c>
      <c r="G2035" t="s">
        <v>26</v>
      </c>
      <c r="H2035">
        <v>270</v>
      </c>
      <c r="I2035">
        <v>256</v>
      </c>
      <c r="J2035">
        <v>97.2</v>
      </c>
      <c r="K2035">
        <v>65.5</v>
      </c>
      <c r="L2035">
        <v>26</v>
      </c>
      <c r="M2035">
        <v>8</v>
      </c>
      <c r="N2035">
        <v>0.184642914399127</v>
      </c>
      <c r="O2035">
        <v>0.37337177439563002</v>
      </c>
    </row>
    <row r="2036" spans="1:15" x14ac:dyDescent="0.3">
      <c r="A2036">
        <v>8695</v>
      </c>
      <c r="B2036">
        <v>54</v>
      </c>
      <c r="C2036">
        <v>256</v>
      </c>
      <c r="D2036" t="s">
        <v>23</v>
      </c>
      <c r="E2036" t="s">
        <v>16</v>
      </c>
      <c r="F2036" t="s">
        <v>17</v>
      </c>
      <c r="G2036" t="s">
        <v>24</v>
      </c>
      <c r="H2036">
        <v>276.89999999999998</v>
      </c>
      <c r="I2036">
        <v>246</v>
      </c>
      <c r="J2036">
        <v>94.3</v>
      </c>
      <c r="K2036">
        <v>65.5</v>
      </c>
      <c r="L2036">
        <v>25.1</v>
      </c>
      <c r="M2036">
        <v>6</v>
      </c>
      <c r="N2036">
        <v>0.20574177145613101</v>
      </c>
      <c r="O2036">
        <v>0.403578707616157</v>
      </c>
    </row>
    <row r="2037" spans="1:15" x14ac:dyDescent="0.3">
      <c r="A2037">
        <v>8696</v>
      </c>
      <c r="B2037">
        <v>54</v>
      </c>
      <c r="C2037">
        <v>256</v>
      </c>
      <c r="D2037" t="s">
        <v>23</v>
      </c>
      <c r="E2037" t="s">
        <v>16</v>
      </c>
      <c r="F2037" t="s">
        <v>17</v>
      </c>
      <c r="G2037" t="s">
        <v>24</v>
      </c>
      <c r="H2037">
        <v>276.89999999999998</v>
      </c>
      <c r="I2037">
        <v>246</v>
      </c>
      <c r="J2037">
        <v>94.3</v>
      </c>
      <c r="K2037">
        <v>65.5</v>
      </c>
      <c r="L2037">
        <v>25.1</v>
      </c>
      <c r="M2037">
        <v>6</v>
      </c>
      <c r="N2037">
        <v>0.228114237660382</v>
      </c>
      <c r="O2037">
        <v>0.42230319104867597</v>
      </c>
    </row>
    <row r="2038" spans="1:15" x14ac:dyDescent="0.3">
      <c r="A2038">
        <v>8697</v>
      </c>
      <c r="B2038">
        <v>54</v>
      </c>
      <c r="C2038">
        <v>256</v>
      </c>
      <c r="D2038" t="s">
        <v>23</v>
      </c>
      <c r="E2038" t="s">
        <v>16</v>
      </c>
      <c r="F2038" t="s">
        <v>17</v>
      </c>
      <c r="G2038" t="s">
        <v>24</v>
      </c>
      <c r="H2038">
        <v>276.89999999999998</v>
      </c>
      <c r="I2038">
        <v>246</v>
      </c>
      <c r="J2038">
        <v>94.3</v>
      </c>
      <c r="K2038">
        <v>65.5</v>
      </c>
      <c r="L2038">
        <v>25.1</v>
      </c>
      <c r="M2038">
        <v>6</v>
      </c>
      <c r="N2038">
        <v>0.19428793988545701</v>
      </c>
      <c r="O2038">
        <v>0.41546047899515598</v>
      </c>
    </row>
    <row r="2039" spans="1:15" x14ac:dyDescent="0.3">
      <c r="A2039">
        <v>8698</v>
      </c>
      <c r="B2039">
        <v>54</v>
      </c>
      <c r="C2039">
        <v>256</v>
      </c>
      <c r="D2039" t="s">
        <v>23</v>
      </c>
      <c r="E2039" t="s">
        <v>16</v>
      </c>
      <c r="F2039" t="s">
        <v>17</v>
      </c>
      <c r="G2039" t="s">
        <v>24</v>
      </c>
      <c r="H2039">
        <v>276.89999999999998</v>
      </c>
      <c r="I2039">
        <v>246</v>
      </c>
      <c r="J2039">
        <v>94.3</v>
      </c>
      <c r="K2039">
        <v>65.5</v>
      </c>
      <c r="L2039">
        <v>25.1</v>
      </c>
      <c r="M2039">
        <v>6</v>
      </c>
      <c r="N2039">
        <v>0.22791976132574199</v>
      </c>
      <c r="O2039">
        <v>0.42307090827238297</v>
      </c>
    </row>
    <row r="2040" spans="1:15" x14ac:dyDescent="0.3">
      <c r="A2040">
        <v>8699</v>
      </c>
      <c r="B2040">
        <v>54</v>
      </c>
      <c r="C2040">
        <v>256</v>
      </c>
      <c r="D2040" t="s">
        <v>23</v>
      </c>
      <c r="E2040" t="s">
        <v>16</v>
      </c>
      <c r="F2040" t="s">
        <v>17</v>
      </c>
      <c r="G2040" t="s">
        <v>24</v>
      </c>
      <c r="H2040">
        <v>276.89999999999998</v>
      </c>
      <c r="I2040">
        <v>246</v>
      </c>
      <c r="J2040">
        <v>94.3</v>
      </c>
      <c r="K2040">
        <v>65.5</v>
      </c>
      <c r="L2040">
        <v>25.1</v>
      </c>
      <c r="M2040">
        <v>6</v>
      </c>
      <c r="N2040">
        <v>0.21581181969090099</v>
      </c>
      <c r="O2040">
        <v>0.41388797141089501</v>
      </c>
    </row>
    <row r="2041" spans="1:15" x14ac:dyDescent="0.3">
      <c r="A2041">
        <v>8703</v>
      </c>
      <c r="B2041">
        <v>541</v>
      </c>
      <c r="C2041">
        <v>95</v>
      </c>
      <c r="D2041" t="s">
        <v>23</v>
      </c>
      <c r="E2041" t="s">
        <v>20</v>
      </c>
      <c r="F2041" t="s">
        <v>17</v>
      </c>
      <c r="G2041" t="s">
        <v>18</v>
      </c>
      <c r="H2041">
        <v>276.60000000000002</v>
      </c>
      <c r="I2041">
        <v>250.5</v>
      </c>
      <c r="J2041">
        <v>100</v>
      </c>
      <c r="K2041">
        <v>67</v>
      </c>
      <c r="L2041">
        <v>28.2</v>
      </c>
      <c r="M2041">
        <v>6.5</v>
      </c>
      <c r="N2041">
        <v>8.4705989519223396E-2</v>
      </c>
      <c r="O2041">
        <v>0.30432998551026502</v>
      </c>
    </row>
    <row r="2042" spans="1:15" x14ac:dyDescent="0.3">
      <c r="A2042">
        <v>8704</v>
      </c>
      <c r="B2042">
        <v>541</v>
      </c>
      <c r="C2042">
        <v>95</v>
      </c>
      <c r="D2042" t="s">
        <v>23</v>
      </c>
      <c r="E2042" t="s">
        <v>20</v>
      </c>
      <c r="F2042" t="s">
        <v>17</v>
      </c>
      <c r="G2042" t="s">
        <v>18</v>
      </c>
      <c r="H2042">
        <v>276.60000000000002</v>
      </c>
      <c r="I2042">
        <v>250.5</v>
      </c>
      <c r="J2042">
        <v>100</v>
      </c>
      <c r="K2042">
        <v>67</v>
      </c>
      <c r="L2042">
        <v>28.2</v>
      </c>
      <c r="M2042">
        <v>6.5</v>
      </c>
      <c r="N2042">
        <v>0.10890429363566401</v>
      </c>
      <c r="O2042">
        <v>0.337161330321819</v>
      </c>
    </row>
    <row r="2043" spans="1:15" x14ac:dyDescent="0.3">
      <c r="A2043">
        <v>8705</v>
      </c>
      <c r="B2043">
        <v>541</v>
      </c>
      <c r="C2043">
        <v>95</v>
      </c>
      <c r="D2043" t="s">
        <v>23</v>
      </c>
      <c r="E2043" t="s">
        <v>20</v>
      </c>
      <c r="F2043" t="s">
        <v>17</v>
      </c>
      <c r="G2043" t="s">
        <v>18</v>
      </c>
      <c r="H2043">
        <v>276.60000000000002</v>
      </c>
      <c r="I2043">
        <v>250.5</v>
      </c>
      <c r="J2043">
        <v>100</v>
      </c>
      <c r="K2043">
        <v>67</v>
      </c>
      <c r="L2043">
        <v>28.2</v>
      </c>
      <c r="M2043">
        <v>6.5</v>
      </c>
      <c r="N2043">
        <v>8.1557914336665996E-2</v>
      </c>
      <c r="O2043">
        <v>0.317985223625953</v>
      </c>
    </row>
    <row r="2044" spans="1:15" x14ac:dyDescent="0.3">
      <c r="A2044">
        <v>8706</v>
      </c>
      <c r="B2044">
        <v>541</v>
      </c>
      <c r="C2044">
        <v>95</v>
      </c>
      <c r="D2044" t="s">
        <v>23</v>
      </c>
      <c r="E2044" t="s">
        <v>20</v>
      </c>
      <c r="F2044" t="s">
        <v>17</v>
      </c>
      <c r="G2044" t="s">
        <v>18</v>
      </c>
      <c r="H2044">
        <v>276.60000000000002</v>
      </c>
      <c r="I2044">
        <v>250.5</v>
      </c>
      <c r="J2044">
        <v>100</v>
      </c>
      <c r="K2044">
        <v>67</v>
      </c>
      <c r="L2044">
        <v>28.2</v>
      </c>
      <c r="M2044">
        <v>6.5</v>
      </c>
      <c r="N2044">
        <v>0.100292903499468</v>
      </c>
      <c r="O2044">
        <v>0.34085105123702403</v>
      </c>
    </row>
    <row r="2045" spans="1:15" x14ac:dyDescent="0.3">
      <c r="A2045">
        <v>8712</v>
      </c>
      <c r="B2045">
        <v>548</v>
      </c>
      <c r="C2045">
        <v>26</v>
      </c>
      <c r="D2045" t="s">
        <v>23</v>
      </c>
      <c r="E2045" t="s">
        <v>20</v>
      </c>
      <c r="F2045" t="s">
        <v>21</v>
      </c>
      <c r="G2045" t="s">
        <v>25</v>
      </c>
      <c r="H2045">
        <v>270.5</v>
      </c>
      <c r="I2045">
        <v>243.5</v>
      </c>
      <c r="J2045">
        <v>95.9</v>
      </c>
      <c r="K2045">
        <v>66</v>
      </c>
      <c r="L2045">
        <v>26.9</v>
      </c>
      <c r="M2045">
        <v>6</v>
      </c>
      <c r="N2045">
        <v>0.18811243563246099</v>
      </c>
      <c r="O2045">
        <v>0.39933842343361903</v>
      </c>
    </row>
    <row r="2046" spans="1:15" x14ac:dyDescent="0.3">
      <c r="A2046">
        <v>8713</v>
      </c>
      <c r="B2046">
        <v>548</v>
      </c>
      <c r="C2046">
        <v>26</v>
      </c>
      <c r="D2046" t="s">
        <v>23</v>
      </c>
      <c r="E2046" t="s">
        <v>20</v>
      </c>
      <c r="F2046" t="s">
        <v>21</v>
      </c>
      <c r="G2046" t="s">
        <v>25</v>
      </c>
      <c r="H2046">
        <v>270.5</v>
      </c>
      <c r="I2046">
        <v>243.5</v>
      </c>
      <c r="J2046">
        <v>95.9</v>
      </c>
      <c r="K2046">
        <v>66</v>
      </c>
      <c r="L2046">
        <v>26.9</v>
      </c>
      <c r="M2046">
        <v>6</v>
      </c>
      <c r="N2046">
        <v>0.17507097949730899</v>
      </c>
      <c r="O2046">
        <v>0.36731121801574002</v>
      </c>
    </row>
    <row r="2047" spans="1:15" x14ac:dyDescent="0.3">
      <c r="A2047">
        <v>8714</v>
      </c>
      <c r="B2047">
        <v>548</v>
      </c>
      <c r="C2047">
        <v>26</v>
      </c>
      <c r="D2047" t="s">
        <v>23</v>
      </c>
      <c r="E2047" t="s">
        <v>20</v>
      </c>
      <c r="F2047" t="s">
        <v>21</v>
      </c>
      <c r="G2047" t="s">
        <v>25</v>
      </c>
      <c r="H2047">
        <v>270.5</v>
      </c>
      <c r="I2047">
        <v>243.5</v>
      </c>
      <c r="J2047">
        <v>95.9</v>
      </c>
      <c r="K2047">
        <v>66</v>
      </c>
      <c r="L2047">
        <v>26.9</v>
      </c>
      <c r="M2047">
        <v>6</v>
      </c>
      <c r="N2047">
        <v>0.20391525224592899</v>
      </c>
      <c r="O2047">
        <v>0.38659031247583198</v>
      </c>
    </row>
    <row r="2048" spans="1:15" x14ac:dyDescent="0.3">
      <c r="A2048">
        <v>8715</v>
      </c>
      <c r="B2048">
        <v>548</v>
      </c>
      <c r="C2048">
        <v>26</v>
      </c>
      <c r="D2048" t="s">
        <v>23</v>
      </c>
      <c r="E2048" t="s">
        <v>20</v>
      </c>
      <c r="F2048" t="s">
        <v>21</v>
      </c>
      <c r="G2048" t="s">
        <v>25</v>
      </c>
      <c r="H2048">
        <v>270.5</v>
      </c>
      <c r="I2048">
        <v>243.5</v>
      </c>
      <c r="J2048">
        <v>95.9</v>
      </c>
      <c r="K2048">
        <v>66</v>
      </c>
      <c r="L2048">
        <v>26.9</v>
      </c>
      <c r="M2048">
        <v>6</v>
      </c>
      <c r="N2048">
        <v>0.19416879427105499</v>
      </c>
      <c r="O2048">
        <v>0.37968350117008698</v>
      </c>
    </row>
    <row r="2049" spans="1:15" x14ac:dyDescent="0.3">
      <c r="A2049">
        <v>8716</v>
      </c>
      <c r="B2049">
        <v>548</v>
      </c>
      <c r="C2049">
        <v>26</v>
      </c>
      <c r="D2049" t="s">
        <v>23</v>
      </c>
      <c r="E2049" t="s">
        <v>20</v>
      </c>
      <c r="F2049" t="s">
        <v>21</v>
      </c>
      <c r="G2049" t="s">
        <v>25</v>
      </c>
      <c r="H2049">
        <v>270.5</v>
      </c>
      <c r="I2049">
        <v>243.5</v>
      </c>
      <c r="J2049">
        <v>95.9</v>
      </c>
      <c r="K2049">
        <v>66</v>
      </c>
      <c r="L2049">
        <v>26.9</v>
      </c>
      <c r="M2049">
        <v>6</v>
      </c>
      <c r="N2049">
        <v>0.19763998203823699</v>
      </c>
      <c r="O2049">
        <v>0.37518796070556498</v>
      </c>
    </row>
    <row r="2050" spans="1:15" x14ac:dyDescent="0.3">
      <c r="A2050">
        <v>8717</v>
      </c>
      <c r="B2050">
        <v>549</v>
      </c>
      <c r="C2050">
        <v>256</v>
      </c>
      <c r="D2050" t="s">
        <v>23</v>
      </c>
      <c r="E2050" t="s">
        <v>16</v>
      </c>
      <c r="F2050" t="s">
        <v>21</v>
      </c>
      <c r="G2050" t="s">
        <v>26</v>
      </c>
      <c r="H2050">
        <v>276.89999999999998</v>
      </c>
      <c r="I2050">
        <v>246</v>
      </c>
      <c r="J2050">
        <v>94.3</v>
      </c>
      <c r="K2050">
        <v>65.5</v>
      </c>
      <c r="L2050">
        <v>25.1</v>
      </c>
      <c r="M2050">
        <v>6</v>
      </c>
      <c r="N2050">
        <v>0.22388369210476899</v>
      </c>
      <c r="O2050">
        <v>0.39653333040994398</v>
      </c>
    </row>
    <row r="2051" spans="1:15" x14ac:dyDescent="0.3">
      <c r="A2051">
        <v>8718</v>
      </c>
      <c r="B2051">
        <v>549</v>
      </c>
      <c r="C2051">
        <v>256</v>
      </c>
      <c r="D2051" t="s">
        <v>23</v>
      </c>
      <c r="E2051" t="s">
        <v>16</v>
      </c>
      <c r="F2051" t="s">
        <v>21</v>
      </c>
      <c r="G2051" t="s">
        <v>26</v>
      </c>
      <c r="H2051">
        <v>276.89999999999998</v>
      </c>
      <c r="I2051">
        <v>246</v>
      </c>
      <c r="J2051">
        <v>94.3</v>
      </c>
      <c r="K2051">
        <v>65.5</v>
      </c>
      <c r="L2051">
        <v>25.1</v>
      </c>
      <c r="M2051">
        <v>6</v>
      </c>
      <c r="N2051">
        <v>0.20129444869024599</v>
      </c>
      <c r="O2051">
        <v>0.40468580343313498</v>
      </c>
    </row>
    <row r="2052" spans="1:15" x14ac:dyDescent="0.3">
      <c r="A2052">
        <v>8719</v>
      </c>
      <c r="B2052">
        <v>549</v>
      </c>
      <c r="C2052">
        <v>256</v>
      </c>
      <c r="D2052" t="s">
        <v>23</v>
      </c>
      <c r="E2052" t="s">
        <v>16</v>
      </c>
      <c r="F2052" t="s">
        <v>21</v>
      </c>
      <c r="G2052" t="s">
        <v>26</v>
      </c>
      <c r="H2052">
        <v>276.89999999999998</v>
      </c>
      <c r="I2052">
        <v>246</v>
      </c>
      <c r="J2052">
        <v>94.3</v>
      </c>
      <c r="K2052">
        <v>65.5</v>
      </c>
      <c r="L2052">
        <v>25.1</v>
      </c>
      <c r="M2052">
        <v>6</v>
      </c>
      <c r="N2052">
        <v>0.221968526262349</v>
      </c>
      <c r="O2052">
        <v>0.41433282128246302</v>
      </c>
    </row>
    <row r="2053" spans="1:15" x14ac:dyDescent="0.3">
      <c r="A2053">
        <v>8730</v>
      </c>
      <c r="B2053">
        <v>551</v>
      </c>
      <c r="C2053">
        <v>255</v>
      </c>
      <c r="D2053" t="s">
        <v>19</v>
      </c>
      <c r="E2053" t="s">
        <v>16</v>
      </c>
      <c r="F2053" t="s">
        <v>17</v>
      </c>
      <c r="G2053" t="s">
        <v>25</v>
      </c>
      <c r="H2053">
        <v>278.2</v>
      </c>
      <c r="I2053">
        <v>254.5</v>
      </c>
      <c r="J2053">
        <v>94.5</v>
      </c>
      <c r="K2053">
        <v>67</v>
      </c>
      <c r="L2053">
        <v>27.9</v>
      </c>
      <c r="M2053">
        <v>11.5</v>
      </c>
      <c r="N2053">
        <v>0.26231979790367299</v>
      </c>
      <c r="O2053">
        <v>0.127069257381874</v>
      </c>
    </row>
    <row r="2054" spans="1:15" x14ac:dyDescent="0.3">
      <c r="A2054">
        <v>8732</v>
      </c>
      <c r="B2054">
        <v>551</v>
      </c>
      <c r="C2054">
        <v>255</v>
      </c>
      <c r="D2054" t="s">
        <v>19</v>
      </c>
      <c r="E2054" t="s">
        <v>16</v>
      </c>
      <c r="F2054" t="s">
        <v>17</v>
      </c>
      <c r="G2054" t="s">
        <v>25</v>
      </c>
      <c r="H2054">
        <v>278.2</v>
      </c>
      <c r="I2054">
        <v>254.5</v>
      </c>
      <c r="J2054">
        <v>94.5</v>
      </c>
      <c r="K2054">
        <v>67</v>
      </c>
      <c r="L2054">
        <v>27.9</v>
      </c>
      <c r="M2054">
        <v>11.5</v>
      </c>
      <c r="N2054">
        <v>0.284677061718977</v>
      </c>
      <c r="O2054">
        <v>0.110891608512085</v>
      </c>
    </row>
    <row r="2055" spans="1:15" x14ac:dyDescent="0.3">
      <c r="A2055">
        <v>8733</v>
      </c>
      <c r="B2055">
        <v>552</v>
      </c>
      <c r="C2055">
        <v>341</v>
      </c>
      <c r="D2055" t="s">
        <v>19</v>
      </c>
      <c r="E2055" t="s">
        <v>20</v>
      </c>
      <c r="F2055" t="s">
        <v>17</v>
      </c>
      <c r="G2055" t="s">
        <v>22</v>
      </c>
      <c r="H2055">
        <v>273</v>
      </c>
      <c r="I2055">
        <v>246.5</v>
      </c>
      <c r="J2055">
        <v>95.4</v>
      </c>
      <c r="K2055">
        <v>66.5</v>
      </c>
      <c r="L2055">
        <v>26.4</v>
      </c>
      <c r="M2055">
        <v>11</v>
      </c>
      <c r="N2055">
        <v>0.28200225744073198</v>
      </c>
      <c r="O2055">
        <v>7.0001134197991199E-2</v>
      </c>
    </row>
    <row r="2056" spans="1:15" x14ac:dyDescent="0.3">
      <c r="A2056">
        <v>8734</v>
      </c>
      <c r="B2056">
        <v>552</v>
      </c>
      <c r="C2056">
        <v>341</v>
      </c>
      <c r="D2056" t="s">
        <v>19</v>
      </c>
      <c r="E2056" t="s">
        <v>20</v>
      </c>
      <c r="F2056" t="s">
        <v>17</v>
      </c>
      <c r="G2056" t="s">
        <v>22</v>
      </c>
      <c r="H2056">
        <v>273</v>
      </c>
      <c r="I2056">
        <v>246.5</v>
      </c>
      <c r="J2056">
        <v>95.4</v>
      </c>
      <c r="K2056">
        <v>66.5</v>
      </c>
      <c r="L2056">
        <v>26.4</v>
      </c>
      <c r="M2056">
        <v>11</v>
      </c>
      <c r="N2056">
        <v>0.29724919739366601</v>
      </c>
      <c r="O2056">
        <v>7.5546762575385104E-2</v>
      </c>
    </row>
    <row r="2057" spans="1:15" x14ac:dyDescent="0.3">
      <c r="A2057">
        <v>8735</v>
      </c>
      <c r="B2057">
        <v>552</v>
      </c>
      <c r="C2057">
        <v>341</v>
      </c>
      <c r="D2057" t="s">
        <v>19</v>
      </c>
      <c r="E2057" t="s">
        <v>20</v>
      </c>
      <c r="F2057" t="s">
        <v>17</v>
      </c>
      <c r="G2057" t="s">
        <v>22</v>
      </c>
      <c r="H2057">
        <v>273</v>
      </c>
      <c r="I2057">
        <v>246.5</v>
      </c>
      <c r="J2057">
        <v>95.4</v>
      </c>
      <c r="K2057">
        <v>66.5</v>
      </c>
      <c r="L2057">
        <v>26.4</v>
      </c>
      <c r="M2057">
        <v>11</v>
      </c>
      <c r="N2057">
        <v>0.286503801552563</v>
      </c>
      <c r="O2057">
        <v>7.8947637235987397E-2</v>
      </c>
    </row>
    <row r="2058" spans="1:15" x14ac:dyDescent="0.3">
      <c r="A2058">
        <v>8767</v>
      </c>
      <c r="B2058">
        <v>564</v>
      </c>
      <c r="C2058">
        <v>314</v>
      </c>
      <c r="D2058" t="s">
        <v>19</v>
      </c>
      <c r="E2058" t="s">
        <v>20</v>
      </c>
      <c r="F2058" t="s">
        <v>17</v>
      </c>
      <c r="G2058" t="s">
        <v>18</v>
      </c>
      <c r="H2058">
        <v>273.5</v>
      </c>
      <c r="I2058">
        <v>251.5</v>
      </c>
      <c r="J2058">
        <v>97.5</v>
      </c>
      <c r="K2058">
        <v>65</v>
      </c>
      <c r="L2058">
        <v>25.5</v>
      </c>
      <c r="M2058">
        <v>13</v>
      </c>
      <c r="N2058">
        <v>0.219083284540562</v>
      </c>
      <c r="O2058">
        <v>8.69745200744724E-2</v>
      </c>
    </row>
    <row r="2059" spans="1:15" x14ac:dyDescent="0.3">
      <c r="A2059">
        <v>8768</v>
      </c>
      <c r="B2059">
        <v>564</v>
      </c>
      <c r="C2059">
        <v>314</v>
      </c>
      <c r="D2059" t="s">
        <v>19</v>
      </c>
      <c r="E2059" t="s">
        <v>20</v>
      </c>
      <c r="F2059" t="s">
        <v>17</v>
      </c>
      <c r="G2059" t="s">
        <v>18</v>
      </c>
      <c r="H2059">
        <v>273.5</v>
      </c>
      <c r="I2059">
        <v>251.5</v>
      </c>
      <c r="J2059">
        <v>97.5</v>
      </c>
      <c r="K2059">
        <v>65</v>
      </c>
      <c r="L2059">
        <v>25.5</v>
      </c>
      <c r="M2059">
        <v>13</v>
      </c>
      <c r="N2059">
        <v>0.228006578863169</v>
      </c>
      <c r="O2059">
        <v>9.3007030979333299E-2</v>
      </c>
    </row>
    <row r="2060" spans="1:15" x14ac:dyDescent="0.3">
      <c r="A2060">
        <v>8773</v>
      </c>
      <c r="B2060">
        <v>566</v>
      </c>
      <c r="C2060">
        <v>400</v>
      </c>
      <c r="D2060" t="s">
        <v>19</v>
      </c>
      <c r="E2060" t="s">
        <v>20</v>
      </c>
      <c r="F2060" t="s">
        <v>21</v>
      </c>
      <c r="G2060" t="s">
        <v>26</v>
      </c>
      <c r="H2060">
        <v>274.10000000000002</v>
      </c>
      <c r="I2060">
        <v>253</v>
      </c>
      <c r="J2060">
        <v>96.6</v>
      </c>
      <c r="K2060">
        <v>66.5</v>
      </c>
      <c r="L2060">
        <v>25.5</v>
      </c>
      <c r="M2060">
        <v>12</v>
      </c>
      <c r="N2060">
        <v>8.2393272600257E-2</v>
      </c>
      <c r="O2060">
        <v>9.5461621121893506E-2</v>
      </c>
    </row>
    <row r="2061" spans="1:15" x14ac:dyDescent="0.3">
      <c r="A2061">
        <v>8781</v>
      </c>
      <c r="B2061">
        <v>569</v>
      </c>
      <c r="C2061">
        <v>180</v>
      </c>
      <c r="D2061" t="s">
        <v>19</v>
      </c>
      <c r="E2061" t="s">
        <v>16</v>
      </c>
      <c r="F2061" t="s">
        <v>21</v>
      </c>
      <c r="G2061" t="s">
        <v>18</v>
      </c>
      <c r="H2061">
        <v>277.3</v>
      </c>
      <c r="I2061">
        <v>253.5</v>
      </c>
      <c r="J2061">
        <v>97.5</v>
      </c>
      <c r="K2061">
        <v>67</v>
      </c>
      <c r="L2061">
        <v>29.4</v>
      </c>
      <c r="M2061">
        <v>9</v>
      </c>
      <c r="N2061">
        <v>4.9013630766653202E-2</v>
      </c>
      <c r="O2061">
        <v>0.10671820582045199</v>
      </c>
    </row>
    <row r="2062" spans="1:15" x14ac:dyDescent="0.3">
      <c r="A2062">
        <v>8785</v>
      </c>
      <c r="B2062">
        <v>570</v>
      </c>
      <c r="C2062">
        <v>345</v>
      </c>
      <c r="D2062" t="s">
        <v>19</v>
      </c>
      <c r="E2062" t="s">
        <v>20</v>
      </c>
      <c r="F2062" t="s">
        <v>21</v>
      </c>
      <c r="G2062" t="s">
        <v>18</v>
      </c>
      <c r="H2062">
        <v>277.60000000000002</v>
      </c>
      <c r="I2062">
        <v>252.5</v>
      </c>
      <c r="J2062">
        <v>98.4</v>
      </c>
      <c r="K2062">
        <v>67.5</v>
      </c>
      <c r="L2062">
        <v>25.8</v>
      </c>
      <c r="M2062">
        <v>13.5</v>
      </c>
      <c r="N2062">
        <v>0.14297116414034899</v>
      </c>
      <c r="O2062">
        <v>0.103476628161906</v>
      </c>
    </row>
    <row r="2063" spans="1:15" x14ac:dyDescent="0.3">
      <c r="A2063">
        <v>8786</v>
      </c>
      <c r="B2063">
        <v>570</v>
      </c>
      <c r="C2063">
        <v>345</v>
      </c>
      <c r="D2063" t="s">
        <v>19</v>
      </c>
      <c r="E2063" t="s">
        <v>20</v>
      </c>
      <c r="F2063" t="s">
        <v>21</v>
      </c>
      <c r="G2063" t="s">
        <v>18</v>
      </c>
      <c r="H2063">
        <v>277.60000000000002</v>
      </c>
      <c r="I2063">
        <v>252.5</v>
      </c>
      <c r="J2063">
        <v>98.4</v>
      </c>
      <c r="K2063">
        <v>67.5</v>
      </c>
      <c r="L2063">
        <v>25.8</v>
      </c>
      <c r="M2063">
        <v>13.5</v>
      </c>
      <c r="N2063">
        <v>0.10583764538665801</v>
      </c>
      <c r="O2063">
        <v>0.125970414555413</v>
      </c>
    </row>
    <row r="2064" spans="1:15" x14ac:dyDescent="0.3">
      <c r="A2064">
        <v>8787</v>
      </c>
      <c r="B2064">
        <v>570</v>
      </c>
      <c r="C2064">
        <v>345</v>
      </c>
      <c r="D2064" t="s">
        <v>19</v>
      </c>
      <c r="E2064" t="s">
        <v>20</v>
      </c>
      <c r="F2064" t="s">
        <v>21</v>
      </c>
      <c r="G2064" t="s">
        <v>18</v>
      </c>
      <c r="H2064">
        <v>277.60000000000002</v>
      </c>
      <c r="I2064">
        <v>252.5</v>
      </c>
      <c r="J2064">
        <v>98.4</v>
      </c>
      <c r="K2064">
        <v>67.5</v>
      </c>
      <c r="L2064">
        <v>25.8</v>
      </c>
      <c r="M2064">
        <v>13.5</v>
      </c>
      <c r="N2064">
        <v>0.11808274831977</v>
      </c>
      <c r="O2064">
        <v>0.10583870038063201</v>
      </c>
    </row>
    <row r="2065" spans="1:15" x14ac:dyDescent="0.3">
      <c r="A2065">
        <v>8788</v>
      </c>
      <c r="B2065">
        <v>570</v>
      </c>
      <c r="C2065">
        <v>345</v>
      </c>
      <c r="D2065" t="s">
        <v>19</v>
      </c>
      <c r="E2065" t="s">
        <v>20</v>
      </c>
      <c r="F2065" t="s">
        <v>21</v>
      </c>
      <c r="G2065" t="s">
        <v>18</v>
      </c>
      <c r="H2065">
        <v>277.60000000000002</v>
      </c>
      <c r="I2065">
        <v>252.5</v>
      </c>
      <c r="J2065">
        <v>98.4</v>
      </c>
      <c r="K2065">
        <v>67.5</v>
      </c>
      <c r="L2065">
        <v>25.8</v>
      </c>
      <c r="M2065">
        <v>13.5</v>
      </c>
      <c r="N2065">
        <v>0.12880130788962499</v>
      </c>
      <c r="O2065">
        <v>0.12084173724614999</v>
      </c>
    </row>
    <row r="2066" spans="1:15" x14ac:dyDescent="0.3">
      <c r="A2066">
        <v>8789</v>
      </c>
      <c r="B2066">
        <v>570</v>
      </c>
      <c r="C2066">
        <v>345</v>
      </c>
      <c r="D2066" t="s">
        <v>19</v>
      </c>
      <c r="E2066" t="s">
        <v>20</v>
      </c>
      <c r="F2066" t="s">
        <v>21</v>
      </c>
      <c r="G2066" t="s">
        <v>18</v>
      </c>
      <c r="H2066">
        <v>277.60000000000002</v>
      </c>
      <c r="I2066">
        <v>252.5</v>
      </c>
      <c r="J2066">
        <v>98.4</v>
      </c>
      <c r="K2066">
        <v>67.5</v>
      </c>
      <c r="L2066">
        <v>25.8</v>
      </c>
      <c r="M2066">
        <v>13.5</v>
      </c>
      <c r="N2066">
        <v>0.107497180782786</v>
      </c>
      <c r="O2066">
        <v>0.124620141493707</v>
      </c>
    </row>
    <row r="2067" spans="1:15" x14ac:dyDescent="0.3">
      <c r="A2067">
        <v>8790</v>
      </c>
      <c r="B2067">
        <v>571</v>
      </c>
      <c r="C2067">
        <v>122</v>
      </c>
      <c r="D2067" t="s">
        <v>23</v>
      </c>
      <c r="E2067" t="s">
        <v>20</v>
      </c>
      <c r="F2067" t="s">
        <v>21</v>
      </c>
      <c r="G2067" t="s">
        <v>25</v>
      </c>
      <c r="H2067">
        <v>276.60000000000002</v>
      </c>
      <c r="I2067">
        <v>246.5</v>
      </c>
      <c r="J2067">
        <v>96.7</v>
      </c>
      <c r="K2067">
        <v>65.5</v>
      </c>
      <c r="L2067">
        <v>30.9</v>
      </c>
      <c r="M2067">
        <v>8.5</v>
      </c>
      <c r="N2067">
        <v>7.6073882395860604E-2</v>
      </c>
      <c r="O2067">
        <v>0.28880519920438502</v>
      </c>
    </row>
    <row r="2068" spans="1:15" x14ac:dyDescent="0.3">
      <c r="A2068">
        <v>8793</v>
      </c>
      <c r="B2068">
        <v>573</v>
      </c>
      <c r="C2068">
        <v>497</v>
      </c>
      <c r="D2068" t="s">
        <v>23</v>
      </c>
      <c r="E2068" t="s">
        <v>20</v>
      </c>
      <c r="F2068" t="s">
        <v>17</v>
      </c>
      <c r="G2068" t="s">
        <v>24</v>
      </c>
      <c r="H2068">
        <v>269.7</v>
      </c>
      <c r="I2068">
        <v>245</v>
      </c>
      <c r="J2068">
        <v>94</v>
      </c>
      <c r="K2068">
        <v>67</v>
      </c>
      <c r="L2068">
        <v>24.2</v>
      </c>
      <c r="M2068">
        <v>9</v>
      </c>
      <c r="N2068">
        <v>0.210532477344404</v>
      </c>
      <c r="O2068">
        <v>0.37261843427462898</v>
      </c>
    </row>
    <row r="2069" spans="1:15" x14ac:dyDescent="0.3">
      <c r="A2069">
        <v>8794</v>
      </c>
      <c r="B2069">
        <v>573</v>
      </c>
      <c r="C2069">
        <v>497</v>
      </c>
      <c r="D2069" t="s">
        <v>23</v>
      </c>
      <c r="E2069" t="s">
        <v>20</v>
      </c>
      <c r="F2069" t="s">
        <v>17</v>
      </c>
      <c r="G2069" t="s">
        <v>24</v>
      </c>
      <c r="H2069">
        <v>269.7</v>
      </c>
      <c r="I2069">
        <v>245</v>
      </c>
      <c r="J2069">
        <v>94</v>
      </c>
      <c r="K2069">
        <v>67</v>
      </c>
      <c r="L2069">
        <v>24.2</v>
      </c>
      <c r="M2069">
        <v>9</v>
      </c>
      <c r="N2069">
        <v>0.21033895206124301</v>
      </c>
      <c r="O2069">
        <v>0.36601037958371602</v>
      </c>
    </row>
    <row r="2070" spans="1:15" x14ac:dyDescent="0.3">
      <c r="A2070">
        <v>8795</v>
      </c>
      <c r="B2070">
        <v>574</v>
      </c>
      <c r="C2070">
        <v>66</v>
      </c>
      <c r="D2070" t="s">
        <v>23</v>
      </c>
      <c r="E2070" t="s">
        <v>20</v>
      </c>
      <c r="F2070" t="s">
        <v>21</v>
      </c>
      <c r="G2070" t="s">
        <v>18</v>
      </c>
      <c r="H2070">
        <v>276.2</v>
      </c>
      <c r="I2070">
        <v>258</v>
      </c>
      <c r="J2070">
        <v>95.8</v>
      </c>
      <c r="K2070">
        <v>63.5</v>
      </c>
      <c r="L2070">
        <v>26.4</v>
      </c>
      <c r="M2070">
        <v>7</v>
      </c>
      <c r="N2070">
        <v>0.17234172241163701</v>
      </c>
      <c r="O2070">
        <v>0.27207313524529902</v>
      </c>
    </row>
    <row r="2071" spans="1:15" x14ac:dyDescent="0.3">
      <c r="A2071">
        <v>8798</v>
      </c>
      <c r="B2071">
        <v>577</v>
      </c>
      <c r="C2071">
        <v>497</v>
      </c>
      <c r="D2071" t="s">
        <v>23</v>
      </c>
      <c r="E2071" t="s">
        <v>20</v>
      </c>
      <c r="F2071" t="s">
        <v>17</v>
      </c>
      <c r="G2071" t="s">
        <v>25</v>
      </c>
      <c r="H2071">
        <v>269.7</v>
      </c>
      <c r="I2071">
        <v>245</v>
      </c>
      <c r="J2071">
        <v>94</v>
      </c>
      <c r="K2071">
        <v>67</v>
      </c>
      <c r="L2071">
        <v>24.2</v>
      </c>
      <c r="M2071">
        <v>9</v>
      </c>
      <c r="N2071">
        <v>0.22298978488792101</v>
      </c>
      <c r="O2071">
        <v>0.39180957144422202</v>
      </c>
    </row>
    <row r="2072" spans="1:15" x14ac:dyDescent="0.3">
      <c r="A2072">
        <v>8799</v>
      </c>
      <c r="B2072">
        <v>577</v>
      </c>
      <c r="C2072">
        <v>497</v>
      </c>
      <c r="D2072" t="s">
        <v>23</v>
      </c>
      <c r="E2072" t="s">
        <v>20</v>
      </c>
      <c r="F2072" t="s">
        <v>17</v>
      </c>
      <c r="G2072" t="s">
        <v>25</v>
      </c>
      <c r="H2072">
        <v>269.7</v>
      </c>
      <c r="I2072">
        <v>245</v>
      </c>
      <c r="J2072">
        <v>94</v>
      </c>
      <c r="K2072">
        <v>67</v>
      </c>
      <c r="L2072">
        <v>24.2</v>
      </c>
      <c r="M2072">
        <v>9</v>
      </c>
      <c r="N2072">
        <v>0.206777193338056</v>
      </c>
      <c r="O2072">
        <v>0.35851281548521102</v>
      </c>
    </row>
    <row r="2073" spans="1:15" x14ac:dyDescent="0.3">
      <c r="A2073">
        <v>8800</v>
      </c>
      <c r="B2073">
        <v>577</v>
      </c>
      <c r="C2073">
        <v>497</v>
      </c>
      <c r="D2073" t="s">
        <v>23</v>
      </c>
      <c r="E2073" t="s">
        <v>20</v>
      </c>
      <c r="F2073" t="s">
        <v>17</v>
      </c>
      <c r="G2073" t="s">
        <v>25</v>
      </c>
      <c r="H2073">
        <v>269.7</v>
      </c>
      <c r="I2073">
        <v>245</v>
      </c>
      <c r="J2073">
        <v>94</v>
      </c>
      <c r="K2073">
        <v>67</v>
      </c>
      <c r="L2073">
        <v>24.2</v>
      </c>
      <c r="M2073">
        <v>9</v>
      </c>
      <c r="N2073">
        <v>0.20836745902314399</v>
      </c>
      <c r="O2073">
        <v>0.35678031848896702</v>
      </c>
    </row>
    <row r="2074" spans="1:15" x14ac:dyDescent="0.3">
      <c r="A2074">
        <v>8801</v>
      </c>
      <c r="B2074">
        <v>577</v>
      </c>
      <c r="C2074">
        <v>497</v>
      </c>
      <c r="D2074" t="s">
        <v>23</v>
      </c>
      <c r="E2074" t="s">
        <v>20</v>
      </c>
      <c r="F2074" t="s">
        <v>17</v>
      </c>
      <c r="G2074" t="s">
        <v>25</v>
      </c>
      <c r="H2074">
        <v>269.7</v>
      </c>
      <c r="I2074">
        <v>245</v>
      </c>
      <c r="J2074">
        <v>94</v>
      </c>
      <c r="K2074">
        <v>67</v>
      </c>
      <c r="L2074">
        <v>24.2</v>
      </c>
      <c r="M2074">
        <v>9</v>
      </c>
      <c r="N2074">
        <v>0.225594559983398</v>
      </c>
      <c r="O2074">
        <v>0.38834969348604997</v>
      </c>
    </row>
    <row r="2075" spans="1:15" x14ac:dyDescent="0.3">
      <c r="A2075">
        <v>8802</v>
      </c>
      <c r="B2075">
        <v>577</v>
      </c>
      <c r="C2075">
        <v>497</v>
      </c>
      <c r="D2075" t="s">
        <v>23</v>
      </c>
      <c r="E2075" t="s">
        <v>20</v>
      </c>
      <c r="F2075" t="s">
        <v>17</v>
      </c>
      <c r="G2075" t="s">
        <v>25</v>
      </c>
      <c r="H2075">
        <v>269.7</v>
      </c>
      <c r="I2075">
        <v>245</v>
      </c>
      <c r="J2075">
        <v>94</v>
      </c>
      <c r="K2075">
        <v>67</v>
      </c>
      <c r="L2075">
        <v>24.2</v>
      </c>
      <c r="M2075">
        <v>9</v>
      </c>
      <c r="N2075">
        <v>0.20177259982335499</v>
      </c>
      <c r="O2075">
        <v>0.38981605791606</v>
      </c>
    </row>
    <row r="2076" spans="1:15" x14ac:dyDescent="0.3">
      <c r="A2076">
        <v>8815</v>
      </c>
      <c r="B2076">
        <v>582</v>
      </c>
      <c r="C2076">
        <v>99</v>
      </c>
      <c r="D2076" t="s">
        <v>19</v>
      </c>
      <c r="E2076" t="s">
        <v>20</v>
      </c>
      <c r="F2076" t="s">
        <v>21</v>
      </c>
      <c r="G2076" t="s">
        <v>24</v>
      </c>
      <c r="H2076">
        <v>277</v>
      </c>
      <c r="I2076">
        <v>257</v>
      </c>
      <c r="J2076">
        <v>99.7</v>
      </c>
      <c r="K2076">
        <v>69</v>
      </c>
      <c r="L2076">
        <v>26.4</v>
      </c>
      <c r="M2076">
        <v>7.5</v>
      </c>
      <c r="N2076">
        <v>0.10444850243532</v>
      </c>
      <c r="O2076">
        <v>6.1088863425104098E-2</v>
      </c>
    </row>
    <row r="2077" spans="1:15" x14ac:dyDescent="0.3">
      <c r="A2077">
        <v>8816</v>
      </c>
      <c r="B2077">
        <v>582</v>
      </c>
      <c r="C2077">
        <v>99</v>
      </c>
      <c r="D2077" t="s">
        <v>19</v>
      </c>
      <c r="E2077" t="s">
        <v>20</v>
      </c>
      <c r="F2077" t="s">
        <v>21</v>
      </c>
      <c r="G2077" t="s">
        <v>24</v>
      </c>
      <c r="H2077">
        <v>277</v>
      </c>
      <c r="I2077">
        <v>257</v>
      </c>
      <c r="J2077">
        <v>99.7</v>
      </c>
      <c r="K2077">
        <v>69</v>
      </c>
      <c r="L2077">
        <v>26.4</v>
      </c>
      <c r="M2077">
        <v>7.5</v>
      </c>
      <c r="N2077">
        <v>9.8463786177959103E-2</v>
      </c>
      <c r="O2077">
        <v>3.1936022839598198E-2</v>
      </c>
    </row>
    <row r="2078" spans="1:15" x14ac:dyDescent="0.3">
      <c r="A2078">
        <v>8824</v>
      </c>
      <c r="B2078">
        <v>585</v>
      </c>
      <c r="C2078">
        <v>366</v>
      </c>
      <c r="D2078" t="s">
        <v>19</v>
      </c>
      <c r="E2078" t="s">
        <v>20</v>
      </c>
      <c r="F2078" t="s">
        <v>21</v>
      </c>
      <c r="G2078" t="s">
        <v>24</v>
      </c>
      <c r="H2078">
        <v>275.89999999999998</v>
      </c>
      <c r="I2078">
        <v>255</v>
      </c>
      <c r="J2078">
        <v>94.9</v>
      </c>
      <c r="K2078">
        <v>64</v>
      </c>
      <c r="L2078">
        <v>26.8</v>
      </c>
      <c r="M2078">
        <v>17</v>
      </c>
      <c r="N2078">
        <v>0.16452452325585701</v>
      </c>
      <c r="O2078">
        <v>0.15508768701233699</v>
      </c>
    </row>
    <row r="2079" spans="1:15" x14ac:dyDescent="0.3">
      <c r="A2079">
        <v>8839</v>
      </c>
      <c r="B2079">
        <v>59</v>
      </c>
      <c r="C2079">
        <v>31</v>
      </c>
      <c r="D2079" t="s">
        <v>23</v>
      </c>
      <c r="E2079" t="s">
        <v>16</v>
      </c>
      <c r="F2079" t="s">
        <v>17</v>
      </c>
      <c r="G2079" t="s">
        <v>24</v>
      </c>
      <c r="H2079">
        <v>274</v>
      </c>
      <c r="I2079">
        <v>250</v>
      </c>
      <c r="J2079">
        <v>99.4</v>
      </c>
      <c r="K2079">
        <v>68.5</v>
      </c>
      <c r="L2079">
        <v>23.2</v>
      </c>
      <c r="M2079">
        <v>10</v>
      </c>
      <c r="N2079">
        <v>0.199477734928037</v>
      </c>
      <c r="O2079">
        <v>0.176864935152548</v>
      </c>
    </row>
    <row r="2080" spans="1:15" x14ac:dyDescent="0.3">
      <c r="A2080">
        <v>8840</v>
      </c>
      <c r="B2080">
        <v>59</v>
      </c>
      <c r="C2080">
        <v>31</v>
      </c>
      <c r="D2080" t="s">
        <v>23</v>
      </c>
      <c r="E2080" t="s">
        <v>16</v>
      </c>
      <c r="F2080" t="s">
        <v>17</v>
      </c>
      <c r="G2080" t="s">
        <v>24</v>
      </c>
      <c r="H2080">
        <v>274</v>
      </c>
      <c r="I2080">
        <v>250</v>
      </c>
      <c r="J2080">
        <v>99.4</v>
      </c>
      <c r="K2080">
        <v>68.5</v>
      </c>
      <c r="L2080">
        <v>23.2</v>
      </c>
      <c r="M2080">
        <v>10</v>
      </c>
      <c r="N2080">
        <v>0.20895218597179399</v>
      </c>
      <c r="O2080">
        <v>0.151011664561921</v>
      </c>
    </row>
    <row r="2081" spans="1:15" x14ac:dyDescent="0.3">
      <c r="A2081">
        <v>8841</v>
      </c>
      <c r="B2081">
        <v>59</v>
      </c>
      <c r="C2081">
        <v>31</v>
      </c>
      <c r="D2081" t="s">
        <v>23</v>
      </c>
      <c r="E2081" t="s">
        <v>16</v>
      </c>
      <c r="F2081" t="s">
        <v>17</v>
      </c>
      <c r="G2081" t="s">
        <v>24</v>
      </c>
      <c r="H2081">
        <v>274</v>
      </c>
      <c r="I2081">
        <v>250</v>
      </c>
      <c r="J2081">
        <v>99.4</v>
      </c>
      <c r="K2081">
        <v>68.5</v>
      </c>
      <c r="L2081">
        <v>23.2</v>
      </c>
      <c r="M2081">
        <v>10</v>
      </c>
      <c r="N2081">
        <v>0.183382608918018</v>
      </c>
      <c r="O2081">
        <v>0.15411520403988899</v>
      </c>
    </row>
    <row r="2082" spans="1:15" x14ac:dyDescent="0.3">
      <c r="A2082">
        <v>8843</v>
      </c>
      <c r="B2082">
        <v>590</v>
      </c>
      <c r="C2082">
        <v>274</v>
      </c>
      <c r="D2082" t="s">
        <v>19</v>
      </c>
      <c r="E2082" t="s">
        <v>20</v>
      </c>
      <c r="F2082" t="s">
        <v>21</v>
      </c>
      <c r="G2082" t="s">
        <v>26</v>
      </c>
      <c r="H2082">
        <v>270.8</v>
      </c>
      <c r="I2082">
        <v>241</v>
      </c>
      <c r="J2082">
        <v>93</v>
      </c>
      <c r="K2082">
        <v>61.5</v>
      </c>
      <c r="L2082">
        <v>24.5</v>
      </c>
      <c r="M2082">
        <v>11.5</v>
      </c>
      <c r="N2082">
        <v>0.11608839160065899</v>
      </c>
      <c r="O2082">
        <v>0.21110884506306599</v>
      </c>
    </row>
    <row r="2083" spans="1:15" x14ac:dyDescent="0.3">
      <c r="A2083">
        <v>8844</v>
      </c>
      <c r="B2083">
        <v>591</v>
      </c>
      <c r="C2083">
        <v>417</v>
      </c>
      <c r="D2083" t="s">
        <v>19</v>
      </c>
      <c r="E2083" t="s">
        <v>16</v>
      </c>
      <c r="F2083" t="s">
        <v>17</v>
      </c>
      <c r="G2083" t="s">
        <v>26</v>
      </c>
      <c r="H2083">
        <v>268.60000000000002</v>
      </c>
      <c r="I2083">
        <v>234.5</v>
      </c>
      <c r="J2083">
        <v>92.8</v>
      </c>
      <c r="K2083">
        <v>64</v>
      </c>
      <c r="L2083">
        <v>24.3</v>
      </c>
      <c r="M2083">
        <v>5</v>
      </c>
      <c r="N2083">
        <v>0.22499965903702401</v>
      </c>
      <c r="O2083">
        <v>0.14069981605749299</v>
      </c>
    </row>
    <row r="2084" spans="1:15" x14ac:dyDescent="0.3">
      <c r="A2084">
        <v>8845</v>
      </c>
      <c r="B2084">
        <v>591</v>
      </c>
      <c r="C2084">
        <v>417</v>
      </c>
      <c r="D2084" t="s">
        <v>19</v>
      </c>
      <c r="E2084" t="s">
        <v>16</v>
      </c>
      <c r="F2084" t="s">
        <v>17</v>
      </c>
      <c r="G2084" t="s">
        <v>26</v>
      </c>
      <c r="H2084">
        <v>268.60000000000002</v>
      </c>
      <c r="I2084">
        <v>234.5</v>
      </c>
      <c r="J2084">
        <v>92.8</v>
      </c>
      <c r="K2084">
        <v>64</v>
      </c>
      <c r="L2084">
        <v>24.3</v>
      </c>
      <c r="M2084">
        <v>5</v>
      </c>
      <c r="N2084">
        <v>0.226327323075179</v>
      </c>
      <c r="O2084">
        <v>0.154361297085613</v>
      </c>
    </row>
    <row r="2085" spans="1:15" x14ac:dyDescent="0.3">
      <c r="A2085">
        <v>8846</v>
      </c>
      <c r="B2085">
        <v>591</v>
      </c>
      <c r="C2085">
        <v>417</v>
      </c>
      <c r="D2085" t="s">
        <v>19</v>
      </c>
      <c r="E2085" t="s">
        <v>16</v>
      </c>
      <c r="F2085" t="s">
        <v>17</v>
      </c>
      <c r="G2085" t="s">
        <v>26</v>
      </c>
      <c r="H2085">
        <v>268.60000000000002</v>
      </c>
      <c r="I2085">
        <v>234.5</v>
      </c>
      <c r="J2085">
        <v>92.8</v>
      </c>
      <c r="K2085">
        <v>64</v>
      </c>
      <c r="L2085">
        <v>24.3</v>
      </c>
      <c r="M2085">
        <v>5</v>
      </c>
      <c r="N2085">
        <v>0.21642415413032101</v>
      </c>
      <c r="O2085">
        <v>0.158820089955447</v>
      </c>
    </row>
    <row r="2086" spans="1:15" x14ac:dyDescent="0.3">
      <c r="A2086">
        <v>8877</v>
      </c>
      <c r="B2086">
        <v>602</v>
      </c>
      <c r="C2086">
        <v>497</v>
      </c>
      <c r="D2086" t="s">
        <v>23</v>
      </c>
      <c r="E2086" t="s">
        <v>20</v>
      </c>
      <c r="F2086" t="s">
        <v>17</v>
      </c>
      <c r="G2086" t="s">
        <v>25</v>
      </c>
      <c r="H2086">
        <v>269.7</v>
      </c>
      <c r="I2086">
        <v>245</v>
      </c>
      <c r="J2086">
        <v>94</v>
      </c>
      <c r="K2086">
        <v>67</v>
      </c>
      <c r="L2086">
        <v>24.2</v>
      </c>
      <c r="M2086">
        <v>9</v>
      </c>
      <c r="N2086">
        <v>0.222509689985318</v>
      </c>
      <c r="O2086">
        <v>0.36202713074717502</v>
      </c>
    </row>
    <row r="2087" spans="1:15" x14ac:dyDescent="0.3">
      <c r="A2087">
        <v>8878</v>
      </c>
      <c r="B2087">
        <v>602</v>
      </c>
      <c r="C2087">
        <v>497</v>
      </c>
      <c r="D2087" t="s">
        <v>23</v>
      </c>
      <c r="E2087" t="s">
        <v>20</v>
      </c>
      <c r="F2087" t="s">
        <v>17</v>
      </c>
      <c r="G2087" t="s">
        <v>25</v>
      </c>
      <c r="H2087">
        <v>269.7</v>
      </c>
      <c r="I2087">
        <v>245</v>
      </c>
      <c r="J2087">
        <v>94</v>
      </c>
      <c r="K2087">
        <v>67</v>
      </c>
      <c r="L2087">
        <v>24.2</v>
      </c>
      <c r="M2087">
        <v>9</v>
      </c>
      <c r="N2087">
        <v>0.199214489973248</v>
      </c>
      <c r="O2087">
        <v>0.36330989022930599</v>
      </c>
    </row>
    <row r="2088" spans="1:15" x14ac:dyDescent="0.3">
      <c r="A2088">
        <v>8879</v>
      </c>
      <c r="B2088">
        <v>602</v>
      </c>
      <c r="C2088">
        <v>497</v>
      </c>
      <c r="D2088" t="s">
        <v>23</v>
      </c>
      <c r="E2088" t="s">
        <v>20</v>
      </c>
      <c r="F2088" t="s">
        <v>17</v>
      </c>
      <c r="G2088" t="s">
        <v>25</v>
      </c>
      <c r="H2088">
        <v>269.7</v>
      </c>
      <c r="I2088">
        <v>245</v>
      </c>
      <c r="J2088">
        <v>94</v>
      </c>
      <c r="K2088">
        <v>67</v>
      </c>
      <c r="L2088">
        <v>24.2</v>
      </c>
      <c r="M2088">
        <v>9</v>
      </c>
      <c r="N2088">
        <v>0.22961351242891001</v>
      </c>
      <c r="O2088">
        <v>0.36742800058289898</v>
      </c>
    </row>
    <row r="2089" spans="1:15" x14ac:dyDescent="0.3">
      <c r="A2089">
        <v>8880</v>
      </c>
      <c r="B2089">
        <v>602</v>
      </c>
      <c r="C2089">
        <v>497</v>
      </c>
      <c r="D2089" t="s">
        <v>23</v>
      </c>
      <c r="E2089" t="s">
        <v>20</v>
      </c>
      <c r="F2089" t="s">
        <v>17</v>
      </c>
      <c r="G2089" t="s">
        <v>25</v>
      </c>
      <c r="H2089">
        <v>269.7</v>
      </c>
      <c r="I2089">
        <v>245</v>
      </c>
      <c r="J2089">
        <v>94</v>
      </c>
      <c r="K2089">
        <v>67</v>
      </c>
      <c r="L2089">
        <v>24.2</v>
      </c>
      <c r="M2089">
        <v>9</v>
      </c>
      <c r="N2089">
        <v>0.213151351085064</v>
      </c>
      <c r="O2089">
        <v>0.37354981186570901</v>
      </c>
    </row>
    <row r="2090" spans="1:15" x14ac:dyDescent="0.3">
      <c r="A2090">
        <v>8894</v>
      </c>
      <c r="B2090">
        <v>607</v>
      </c>
      <c r="C2090">
        <v>32</v>
      </c>
      <c r="D2090" t="s">
        <v>19</v>
      </c>
      <c r="E2090" t="s">
        <v>20</v>
      </c>
      <c r="F2090" t="s">
        <v>17</v>
      </c>
      <c r="G2090" t="s">
        <v>25</v>
      </c>
      <c r="H2090">
        <v>274.8</v>
      </c>
      <c r="I2090">
        <v>261</v>
      </c>
      <c r="J2090">
        <v>101</v>
      </c>
      <c r="K2090">
        <v>66</v>
      </c>
      <c r="L2090">
        <v>24.4</v>
      </c>
      <c r="M2090">
        <v>8.5</v>
      </c>
      <c r="N2090">
        <v>0.11431237689877401</v>
      </c>
      <c r="O2090">
        <v>0.15632219056059901</v>
      </c>
    </row>
    <row r="2091" spans="1:15" x14ac:dyDescent="0.3">
      <c r="A2091">
        <v>8895</v>
      </c>
      <c r="B2091">
        <v>607</v>
      </c>
      <c r="C2091">
        <v>32</v>
      </c>
      <c r="D2091" t="s">
        <v>19</v>
      </c>
      <c r="E2091" t="s">
        <v>20</v>
      </c>
      <c r="F2091" t="s">
        <v>17</v>
      </c>
      <c r="G2091" t="s">
        <v>25</v>
      </c>
      <c r="H2091">
        <v>274.8</v>
      </c>
      <c r="I2091">
        <v>261</v>
      </c>
      <c r="J2091">
        <v>101</v>
      </c>
      <c r="K2091">
        <v>66</v>
      </c>
      <c r="L2091">
        <v>24.4</v>
      </c>
      <c r="M2091">
        <v>8.5</v>
      </c>
      <c r="N2091">
        <v>9.8095051818963303E-2</v>
      </c>
      <c r="O2091">
        <v>0.15514358474693199</v>
      </c>
    </row>
    <row r="2092" spans="1:15" x14ac:dyDescent="0.3">
      <c r="A2092">
        <v>8896</v>
      </c>
      <c r="B2092">
        <v>607</v>
      </c>
      <c r="C2092">
        <v>32</v>
      </c>
      <c r="D2092" t="s">
        <v>19</v>
      </c>
      <c r="E2092" t="s">
        <v>20</v>
      </c>
      <c r="F2092" t="s">
        <v>17</v>
      </c>
      <c r="G2092" t="s">
        <v>25</v>
      </c>
      <c r="H2092">
        <v>274.8</v>
      </c>
      <c r="I2092">
        <v>261</v>
      </c>
      <c r="J2092">
        <v>101</v>
      </c>
      <c r="K2092">
        <v>66</v>
      </c>
      <c r="L2092">
        <v>24.4</v>
      </c>
      <c r="M2092">
        <v>8.5</v>
      </c>
      <c r="N2092">
        <v>0.132155531447428</v>
      </c>
      <c r="O2092">
        <v>0.12799274068493399</v>
      </c>
    </row>
    <row r="2093" spans="1:15" x14ac:dyDescent="0.3">
      <c r="A2093">
        <v>8897</v>
      </c>
      <c r="B2093">
        <v>608</v>
      </c>
      <c r="C2093">
        <v>227</v>
      </c>
      <c r="D2093" t="s">
        <v>15</v>
      </c>
      <c r="E2093" t="s">
        <v>20</v>
      </c>
      <c r="F2093" t="s">
        <v>21</v>
      </c>
      <c r="G2093" t="s">
        <v>18</v>
      </c>
      <c r="H2093">
        <v>281.2</v>
      </c>
      <c r="I2093">
        <v>257</v>
      </c>
      <c r="J2093">
        <v>100.5</v>
      </c>
      <c r="K2093">
        <v>67</v>
      </c>
      <c r="L2093">
        <v>25.4</v>
      </c>
      <c r="M2093">
        <v>12.5</v>
      </c>
      <c r="N2093">
        <v>7.4211251818245602E-2</v>
      </c>
      <c r="O2093">
        <v>0.14401214608618501</v>
      </c>
    </row>
    <row r="2094" spans="1:15" x14ac:dyDescent="0.3">
      <c r="A2094">
        <v>8898</v>
      </c>
      <c r="B2094">
        <v>608</v>
      </c>
      <c r="C2094">
        <v>227</v>
      </c>
      <c r="D2094" t="s">
        <v>15</v>
      </c>
      <c r="E2094" t="s">
        <v>20</v>
      </c>
      <c r="F2094" t="s">
        <v>21</v>
      </c>
      <c r="G2094" t="s">
        <v>18</v>
      </c>
      <c r="H2094">
        <v>281.2</v>
      </c>
      <c r="I2094">
        <v>257</v>
      </c>
      <c r="J2094">
        <v>100.5</v>
      </c>
      <c r="K2094">
        <v>67</v>
      </c>
      <c r="L2094">
        <v>25.4</v>
      </c>
      <c r="M2094">
        <v>12.5</v>
      </c>
      <c r="N2094">
        <v>7.2163477207046398E-2</v>
      </c>
      <c r="O2094">
        <v>0.14800128597855899</v>
      </c>
    </row>
    <row r="2095" spans="1:15" x14ac:dyDescent="0.3">
      <c r="A2095">
        <v>8913</v>
      </c>
      <c r="B2095">
        <v>614</v>
      </c>
      <c r="C2095">
        <v>388</v>
      </c>
      <c r="D2095" t="s">
        <v>19</v>
      </c>
      <c r="E2095" t="s">
        <v>16</v>
      </c>
      <c r="F2095" t="s">
        <v>17</v>
      </c>
      <c r="G2095" t="s">
        <v>25</v>
      </c>
      <c r="H2095">
        <v>277.10000000000002</v>
      </c>
      <c r="I2095">
        <v>244.5</v>
      </c>
      <c r="J2095">
        <v>91.9</v>
      </c>
      <c r="K2095">
        <v>62.5</v>
      </c>
      <c r="L2095">
        <v>25.9</v>
      </c>
      <c r="M2095">
        <v>7</v>
      </c>
      <c r="N2095">
        <v>9.2611065687658894E-2</v>
      </c>
      <c r="O2095">
        <v>6.0253097101780499E-2</v>
      </c>
    </row>
    <row r="2096" spans="1:15" x14ac:dyDescent="0.3">
      <c r="A2096">
        <v>8914</v>
      </c>
      <c r="B2096">
        <v>614</v>
      </c>
      <c r="C2096">
        <v>388</v>
      </c>
      <c r="D2096" t="s">
        <v>19</v>
      </c>
      <c r="E2096" t="s">
        <v>16</v>
      </c>
      <c r="F2096" t="s">
        <v>17</v>
      </c>
      <c r="G2096" t="s">
        <v>25</v>
      </c>
      <c r="H2096">
        <v>277.10000000000002</v>
      </c>
      <c r="I2096">
        <v>244.5</v>
      </c>
      <c r="J2096">
        <v>91.9</v>
      </c>
      <c r="K2096">
        <v>62.5</v>
      </c>
      <c r="L2096">
        <v>25.9</v>
      </c>
      <c r="M2096">
        <v>7</v>
      </c>
      <c r="N2096">
        <v>8.3923326209359994E-2</v>
      </c>
      <c r="O2096">
        <v>8.2800314718746798E-2</v>
      </c>
    </row>
    <row r="2097" spans="1:15" x14ac:dyDescent="0.3">
      <c r="A2097">
        <v>8915</v>
      </c>
      <c r="B2097">
        <v>614</v>
      </c>
      <c r="C2097">
        <v>388</v>
      </c>
      <c r="D2097" t="s">
        <v>19</v>
      </c>
      <c r="E2097" t="s">
        <v>16</v>
      </c>
      <c r="F2097" t="s">
        <v>17</v>
      </c>
      <c r="G2097" t="s">
        <v>25</v>
      </c>
      <c r="H2097">
        <v>277.10000000000002</v>
      </c>
      <c r="I2097">
        <v>244.5</v>
      </c>
      <c r="J2097">
        <v>91.9</v>
      </c>
      <c r="K2097">
        <v>62.5</v>
      </c>
      <c r="L2097">
        <v>25.9</v>
      </c>
      <c r="M2097">
        <v>7</v>
      </c>
      <c r="N2097">
        <v>8.3031155751584707E-2</v>
      </c>
      <c r="O2097">
        <v>8.8519842059859993E-2</v>
      </c>
    </row>
    <row r="2098" spans="1:15" x14ac:dyDescent="0.3">
      <c r="A2098">
        <v>8916</v>
      </c>
      <c r="B2098">
        <v>614</v>
      </c>
      <c r="C2098">
        <v>388</v>
      </c>
      <c r="D2098" t="s">
        <v>19</v>
      </c>
      <c r="E2098" t="s">
        <v>16</v>
      </c>
      <c r="F2098" t="s">
        <v>17</v>
      </c>
      <c r="G2098" t="s">
        <v>25</v>
      </c>
      <c r="H2098">
        <v>277.10000000000002</v>
      </c>
      <c r="I2098">
        <v>244.5</v>
      </c>
      <c r="J2098">
        <v>91.9</v>
      </c>
      <c r="K2098">
        <v>62.5</v>
      </c>
      <c r="L2098">
        <v>25.9</v>
      </c>
      <c r="M2098">
        <v>7</v>
      </c>
      <c r="N2098">
        <v>0.113518340800262</v>
      </c>
      <c r="O2098">
        <v>5.4124957349298203E-2</v>
      </c>
    </row>
    <row r="2099" spans="1:15" x14ac:dyDescent="0.3">
      <c r="A2099">
        <v>8924</v>
      </c>
      <c r="B2099">
        <v>618</v>
      </c>
      <c r="C2099">
        <v>322</v>
      </c>
      <c r="D2099" t="s">
        <v>23</v>
      </c>
      <c r="E2099" t="s">
        <v>20</v>
      </c>
      <c r="F2099" t="s">
        <v>17</v>
      </c>
      <c r="G2099" t="s">
        <v>26</v>
      </c>
      <c r="H2099">
        <v>276.7</v>
      </c>
      <c r="I2099">
        <v>250</v>
      </c>
      <c r="J2099">
        <v>99.1</v>
      </c>
      <c r="K2099">
        <v>67.5</v>
      </c>
      <c r="L2099">
        <v>26</v>
      </c>
      <c r="M2099">
        <v>5.5</v>
      </c>
      <c r="N2099">
        <v>0.18765957065185099</v>
      </c>
      <c r="O2099">
        <v>0.34280456086100403</v>
      </c>
    </row>
    <row r="2100" spans="1:15" x14ac:dyDescent="0.3">
      <c r="A2100">
        <v>8925</v>
      </c>
      <c r="B2100">
        <v>618</v>
      </c>
      <c r="C2100">
        <v>322</v>
      </c>
      <c r="D2100" t="s">
        <v>23</v>
      </c>
      <c r="E2100" t="s">
        <v>20</v>
      </c>
      <c r="F2100" t="s">
        <v>17</v>
      </c>
      <c r="G2100" t="s">
        <v>26</v>
      </c>
      <c r="H2100">
        <v>276.7</v>
      </c>
      <c r="I2100">
        <v>250</v>
      </c>
      <c r="J2100">
        <v>99.1</v>
      </c>
      <c r="K2100">
        <v>67.5</v>
      </c>
      <c r="L2100">
        <v>26</v>
      </c>
      <c r="M2100">
        <v>5.5</v>
      </c>
      <c r="N2100">
        <v>0.193297373784969</v>
      </c>
      <c r="O2100">
        <v>0.319434981181139</v>
      </c>
    </row>
    <row r="2101" spans="1:15" x14ac:dyDescent="0.3">
      <c r="A2101">
        <v>8927</v>
      </c>
      <c r="B2101">
        <v>619</v>
      </c>
      <c r="C2101">
        <v>483</v>
      </c>
      <c r="D2101" t="s">
        <v>23</v>
      </c>
      <c r="E2101" t="s">
        <v>20</v>
      </c>
      <c r="F2101" t="s">
        <v>21</v>
      </c>
      <c r="G2101" t="s">
        <v>25</v>
      </c>
      <c r="H2101">
        <v>271.89999999999998</v>
      </c>
      <c r="I2101">
        <v>246</v>
      </c>
      <c r="J2101">
        <v>94.4</v>
      </c>
      <c r="K2101">
        <v>60.5</v>
      </c>
      <c r="L2101">
        <v>27.6</v>
      </c>
      <c r="M2101">
        <v>13.5</v>
      </c>
      <c r="N2101">
        <v>0.11893739748920699</v>
      </c>
      <c r="O2101">
        <v>0.188628913301291</v>
      </c>
    </row>
    <row r="2102" spans="1:15" x14ac:dyDescent="0.3">
      <c r="A2102">
        <v>8928</v>
      </c>
      <c r="B2102">
        <v>619</v>
      </c>
      <c r="C2102">
        <v>483</v>
      </c>
      <c r="D2102" t="s">
        <v>23</v>
      </c>
      <c r="E2102" t="s">
        <v>20</v>
      </c>
      <c r="F2102" t="s">
        <v>21</v>
      </c>
      <c r="G2102" t="s">
        <v>25</v>
      </c>
      <c r="H2102">
        <v>271.89999999999998</v>
      </c>
      <c r="I2102">
        <v>246</v>
      </c>
      <c r="J2102">
        <v>94.4</v>
      </c>
      <c r="K2102">
        <v>60.5</v>
      </c>
      <c r="L2102">
        <v>27.6</v>
      </c>
      <c r="M2102">
        <v>13.5</v>
      </c>
      <c r="N2102">
        <v>0.120641194857236</v>
      </c>
      <c r="O2102">
        <v>0.21010260792724</v>
      </c>
    </row>
    <row r="2103" spans="1:15" x14ac:dyDescent="0.3">
      <c r="A2103">
        <v>8929</v>
      </c>
      <c r="B2103">
        <v>62</v>
      </c>
      <c r="C2103">
        <v>443</v>
      </c>
      <c r="D2103" t="s">
        <v>19</v>
      </c>
      <c r="E2103" t="s">
        <v>20</v>
      </c>
      <c r="F2103" t="s">
        <v>21</v>
      </c>
      <c r="G2103" t="s">
        <v>26</v>
      </c>
      <c r="H2103">
        <v>272.5</v>
      </c>
      <c r="I2103">
        <v>239.5</v>
      </c>
      <c r="J2103">
        <v>96</v>
      </c>
      <c r="K2103">
        <v>64.5</v>
      </c>
      <c r="L2103">
        <v>20.399999999999999</v>
      </c>
      <c r="M2103">
        <v>10</v>
      </c>
      <c r="N2103">
        <v>0.25242556275537997</v>
      </c>
      <c r="O2103">
        <v>6.8441335089503105E-2</v>
      </c>
    </row>
    <row r="2104" spans="1:15" x14ac:dyDescent="0.3">
      <c r="A2104">
        <v>8930</v>
      </c>
      <c r="B2104">
        <v>62</v>
      </c>
      <c r="C2104">
        <v>443</v>
      </c>
      <c r="D2104" t="s">
        <v>19</v>
      </c>
      <c r="E2104" t="s">
        <v>20</v>
      </c>
      <c r="F2104" t="s">
        <v>21</v>
      </c>
      <c r="G2104" t="s">
        <v>26</v>
      </c>
      <c r="H2104">
        <v>272.5</v>
      </c>
      <c r="I2104">
        <v>239.5</v>
      </c>
      <c r="J2104">
        <v>96</v>
      </c>
      <c r="K2104">
        <v>64.5</v>
      </c>
      <c r="L2104">
        <v>20.399999999999999</v>
      </c>
      <c r="M2104">
        <v>10</v>
      </c>
      <c r="N2104">
        <v>0.26902594503169103</v>
      </c>
      <c r="O2104">
        <v>7.6652369479617899E-2</v>
      </c>
    </row>
    <row r="2105" spans="1:15" x14ac:dyDescent="0.3">
      <c r="A2105">
        <v>8931</v>
      </c>
      <c r="B2105">
        <v>62</v>
      </c>
      <c r="C2105">
        <v>443</v>
      </c>
      <c r="D2105" t="s">
        <v>19</v>
      </c>
      <c r="E2105" t="s">
        <v>20</v>
      </c>
      <c r="F2105" t="s">
        <v>21</v>
      </c>
      <c r="G2105" t="s">
        <v>26</v>
      </c>
      <c r="H2105">
        <v>272.5</v>
      </c>
      <c r="I2105">
        <v>239.5</v>
      </c>
      <c r="J2105">
        <v>96</v>
      </c>
      <c r="K2105">
        <v>64.5</v>
      </c>
      <c r="L2105">
        <v>20.399999999999999</v>
      </c>
      <c r="M2105">
        <v>10</v>
      </c>
      <c r="N2105">
        <v>0.24006093031176101</v>
      </c>
      <c r="O2105">
        <v>5.5864926512667598E-2</v>
      </c>
    </row>
    <row r="2106" spans="1:15" x14ac:dyDescent="0.3">
      <c r="A2106">
        <v>8938</v>
      </c>
      <c r="B2106">
        <v>623</v>
      </c>
      <c r="C2106">
        <v>322</v>
      </c>
      <c r="D2106" t="s">
        <v>23</v>
      </c>
      <c r="E2106" t="s">
        <v>20</v>
      </c>
      <c r="F2106" t="s">
        <v>21</v>
      </c>
      <c r="G2106" t="s">
        <v>18</v>
      </c>
      <c r="H2106">
        <v>276.7</v>
      </c>
      <c r="I2106">
        <v>250</v>
      </c>
      <c r="J2106">
        <v>99.1</v>
      </c>
      <c r="K2106">
        <v>67.5</v>
      </c>
      <c r="L2106">
        <v>26</v>
      </c>
      <c r="M2106">
        <v>5.5</v>
      </c>
      <c r="N2106">
        <v>0.17547281741433399</v>
      </c>
      <c r="O2106">
        <v>0.33345549344772202</v>
      </c>
    </row>
    <row r="2107" spans="1:15" x14ac:dyDescent="0.3">
      <c r="A2107">
        <v>8939</v>
      </c>
      <c r="B2107">
        <v>623</v>
      </c>
      <c r="C2107">
        <v>322</v>
      </c>
      <c r="D2107" t="s">
        <v>23</v>
      </c>
      <c r="E2107" t="s">
        <v>20</v>
      </c>
      <c r="F2107" t="s">
        <v>21</v>
      </c>
      <c r="G2107" t="s">
        <v>18</v>
      </c>
      <c r="H2107">
        <v>276.7</v>
      </c>
      <c r="I2107">
        <v>250</v>
      </c>
      <c r="J2107">
        <v>99.1</v>
      </c>
      <c r="K2107">
        <v>67.5</v>
      </c>
      <c r="L2107">
        <v>26</v>
      </c>
      <c r="M2107">
        <v>5.5</v>
      </c>
      <c r="N2107">
        <v>0.19032248418310299</v>
      </c>
      <c r="O2107">
        <v>0.35069805778614899</v>
      </c>
    </row>
    <row r="2108" spans="1:15" x14ac:dyDescent="0.3">
      <c r="A2108">
        <v>8940</v>
      </c>
      <c r="B2108">
        <v>623</v>
      </c>
      <c r="C2108">
        <v>322</v>
      </c>
      <c r="D2108" t="s">
        <v>23</v>
      </c>
      <c r="E2108" t="s">
        <v>20</v>
      </c>
      <c r="F2108" t="s">
        <v>21</v>
      </c>
      <c r="G2108" t="s">
        <v>18</v>
      </c>
      <c r="H2108">
        <v>276.7</v>
      </c>
      <c r="I2108">
        <v>250</v>
      </c>
      <c r="J2108">
        <v>99.1</v>
      </c>
      <c r="K2108">
        <v>67.5</v>
      </c>
      <c r="L2108">
        <v>26</v>
      </c>
      <c r="M2108">
        <v>5.5</v>
      </c>
      <c r="N2108">
        <v>0.20052880673727</v>
      </c>
      <c r="O2108">
        <v>0.33929476097084899</v>
      </c>
    </row>
    <row r="2109" spans="1:15" x14ac:dyDescent="0.3">
      <c r="A2109">
        <v>8941</v>
      </c>
      <c r="B2109">
        <v>623</v>
      </c>
      <c r="C2109">
        <v>322</v>
      </c>
      <c r="D2109" t="s">
        <v>23</v>
      </c>
      <c r="E2109" t="s">
        <v>20</v>
      </c>
      <c r="F2109" t="s">
        <v>21</v>
      </c>
      <c r="G2109" t="s">
        <v>18</v>
      </c>
      <c r="H2109">
        <v>276.7</v>
      </c>
      <c r="I2109">
        <v>250</v>
      </c>
      <c r="J2109">
        <v>99.1</v>
      </c>
      <c r="K2109">
        <v>67.5</v>
      </c>
      <c r="L2109">
        <v>26</v>
      </c>
      <c r="M2109">
        <v>5.5</v>
      </c>
      <c r="N2109">
        <v>0.174817441093403</v>
      </c>
      <c r="O2109">
        <v>0.33319305033382102</v>
      </c>
    </row>
    <row r="2110" spans="1:15" x14ac:dyDescent="0.3">
      <c r="A2110">
        <v>8950</v>
      </c>
      <c r="B2110">
        <v>627</v>
      </c>
      <c r="C2110">
        <v>79</v>
      </c>
      <c r="D2110" t="s">
        <v>23</v>
      </c>
      <c r="E2110" t="s">
        <v>20</v>
      </c>
      <c r="F2110" t="s">
        <v>17</v>
      </c>
      <c r="G2110" t="s">
        <v>26</v>
      </c>
      <c r="H2110">
        <v>276.8</v>
      </c>
      <c r="I2110">
        <v>258.5</v>
      </c>
      <c r="J2110">
        <v>101.8</v>
      </c>
      <c r="K2110">
        <v>65</v>
      </c>
      <c r="L2110">
        <v>24.9</v>
      </c>
      <c r="M2110">
        <v>11.5</v>
      </c>
      <c r="N2110">
        <v>0.14469976686689401</v>
      </c>
      <c r="O2110">
        <v>0.213846302562685</v>
      </c>
    </row>
    <row r="2111" spans="1:15" x14ac:dyDescent="0.3">
      <c r="A2111">
        <v>8951</v>
      </c>
      <c r="B2111">
        <v>628</v>
      </c>
      <c r="C2111">
        <v>310</v>
      </c>
      <c r="D2111" t="s">
        <v>19</v>
      </c>
      <c r="E2111" t="s">
        <v>20</v>
      </c>
      <c r="F2111" t="s">
        <v>17</v>
      </c>
      <c r="G2111" t="s">
        <v>26</v>
      </c>
      <c r="H2111">
        <v>273.60000000000002</v>
      </c>
      <c r="I2111">
        <v>255</v>
      </c>
      <c r="J2111">
        <v>95.2</v>
      </c>
      <c r="K2111">
        <v>63.5</v>
      </c>
      <c r="L2111">
        <v>27</v>
      </c>
      <c r="M2111">
        <v>11.5</v>
      </c>
      <c r="N2111">
        <v>3.0890019627872901E-2</v>
      </c>
      <c r="O2111">
        <v>0.102234232687913</v>
      </c>
    </row>
    <row r="2112" spans="1:15" x14ac:dyDescent="0.3">
      <c r="A2112">
        <v>8952</v>
      </c>
      <c r="B2112">
        <v>628</v>
      </c>
      <c r="C2112">
        <v>310</v>
      </c>
      <c r="D2112" t="s">
        <v>19</v>
      </c>
      <c r="E2112" t="s">
        <v>20</v>
      </c>
      <c r="F2112" t="s">
        <v>17</v>
      </c>
      <c r="G2112" t="s">
        <v>26</v>
      </c>
      <c r="H2112">
        <v>273.60000000000002</v>
      </c>
      <c r="I2112">
        <v>255</v>
      </c>
      <c r="J2112">
        <v>95.2</v>
      </c>
      <c r="K2112">
        <v>63.5</v>
      </c>
      <c r="L2112">
        <v>27</v>
      </c>
      <c r="M2112">
        <v>11.5</v>
      </c>
      <c r="N2112">
        <v>3.9371071908625398E-2</v>
      </c>
      <c r="O2112">
        <v>0.10447605065429</v>
      </c>
    </row>
    <row r="2113" spans="1:15" x14ac:dyDescent="0.3">
      <c r="A2113">
        <v>8954</v>
      </c>
      <c r="B2113">
        <v>628</v>
      </c>
      <c r="C2113">
        <v>310</v>
      </c>
      <c r="D2113" t="s">
        <v>19</v>
      </c>
      <c r="E2113" t="s">
        <v>20</v>
      </c>
      <c r="F2113" t="s">
        <v>17</v>
      </c>
      <c r="G2113" t="s">
        <v>26</v>
      </c>
      <c r="H2113">
        <v>273.60000000000002</v>
      </c>
      <c r="I2113">
        <v>255</v>
      </c>
      <c r="J2113">
        <v>95.2</v>
      </c>
      <c r="K2113">
        <v>63.5</v>
      </c>
      <c r="L2113">
        <v>27</v>
      </c>
      <c r="M2113">
        <v>11.5</v>
      </c>
      <c r="N2113">
        <v>3.15881029487802E-2</v>
      </c>
      <c r="O2113">
        <v>0.12796314511973</v>
      </c>
    </row>
    <row r="2114" spans="1:15" x14ac:dyDescent="0.3">
      <c r="A2114">
        <v>8955</v>
      </c>
      <c r="B2114">
        <v>628</v>
      </c>
      <c r="C2114">
        <v>310</v>
      </c>
      <c r="D2114" t="s">
        <v>19</v>
      </c>
      <c r="E2114" t="s">
        <v>20</v>
      </c>
      <c r="F2114" t="s">
        <v>17</v>
      </c>
      <c r="G2114" t="s">
        <v>26</v>
      </c>
      <c r="H2114">
        <v>273.60000000000002</v>
      </c>
      <c r="I2114">
        <v>255</v>
      </c>
      <c r="J2114">
        <v>95.2</v>
      </c>
      <c r="K2114">
        <v>63.5</v>
      </c>
      <c r="L2114">
        <v>27</v>
      </c>
      <c r="M2114">
        <v>11.5</v>
      </c>
      <c r="N2114">
        <v>3.4987820183885597E-2</v>
      </c>
      <c r="O2114">
        <v>9.4581139796351493E-2</v>
      </c>
    </row>
    <row r="2115" spans="1:15" x14ac:dyDescent="0.3">
      <c r="A2115">
        <v>8960</v>
      </c>
      <c r="B2115">
        <v>63</v>
      </c>
      <c r="C2115">
        <v>454</v>
      </c>
      <c r="D2115" t="s">
        <v>23</v>
      </c>
      <c r="E2115" t="s">
        <v>16</v>
      </c>
      <c r="F2115" t="s">
        <v>17</v>
      </c>
      <c r="G2115" t="s">
        <v>26</v>
      </c>
      <c r="H2115">
        <v>272.8</v>
      </c>
      <c r="I2115">
        <v>242.5</v>
      </c>
      <c r="J2115">
        <v>92.2</v>
      </c>
      <c r="K2115">
        <v>67</v>
      </c>
      <c r="L2115">
        <v>26.4</v>
      </c>
      <c r="M2115">
        <v>6</v>
      </c>
      <c r="N2115">
        <v>0.19330075997129201</v>
      </c>
      <c r="O2115">
        <v>0.32267189799837298</v>
      </c>
    </row>
    <row r="2116" spans="1:15" x14ac:dyDescent="0.3">
      <c r="A2116">
        <v>8961</v>
      </c>
      <c r="B2116">
        <v>63</v>
      </c>
      <c r="C2116">
        <v>454</v>
      </c>
      <c r="D2116" t="s">
        <v>23</v>
      </c>
      <c r="E2116" t="s">
        <v>16</v>
      </c>
      <c r="F2116" t="s">
        <v>17</v>
      </c>
      <c r="G2116" t="s">
        <v>26</v>
      </c>
      <c r="H2116">
        <v>272.8</v>
      </c>
      <c r="I2116">
        <v>242.5</v>
      </c>
      <c r="J2116">
        <v>92.2</v>
      </c>
      <c r="K2116">
        <v>67</v>
      </c>
      <c r="L2116">
        <v>26.4</v>
      </c>
      <c r="M2116">
        <v>6</v>
      </c>
      <c r="N2116">
        <v>0.18788827381083101</v>
      </c>
      <c r="O2116">
        <v>0.30422785951551201</v>
      </c>
    </row>
    <row r="2117" spans="1:15" x14ac:dyDescent="0.3">
      <c r="A2117">
        <v>8962</v>
      </c>
      <c r="B2117">
        <v>63</v>
      </c>
      <c r="C2117">
        <v>454</v>
      </c>
      <c r="D2117" t="s">
        <v>23</v>
      </c>
      <c r="E2117" t="s">
        <v>16</v>
      </c>
      <c r="F2117" t="s">
        <v>17</v>
      </c>
      <c r="G2117" t="s">
        <v>26</v>
      </c>
      <c r="H2117">
        <v>272.8</v>
      </c>
      <c r="I2117">
        <v>242.5</v>
      </c>
      <c r="J2117">
        <v>92.2</v>
      </c>
      <c r="K2117">
        <v>67</v>
      </c>
      <c r="L2117">
        <v>26.4</v>
      </c>
      <c r="M2117">
        <v>6</v>
      </c>
      <c r="N2117">
        <v>0.20236254609239199</v>
      </c>
      <c r="O2117">
        <v>0.31784502387076402</v>
      </c>
    </row>
    <row r="2118" spans="1:15" x14ac:dyDescent="0.3">
      <c r="A2118">
        <v>8963</v>
      </c>
      <c r="B2118">
        <v>63</v>
      </c>
      <c r="C2118">
        <v>454</v>
      </c>
      <c r="D2118" t="s">
        <v>23</v>
      </c>
      <c r="E2118" t="s">
        <v>16</v>
      </c>
      <c r="F2118" t="s">
        <v>17</v>
      </c>
      <c r="G2118" t="s">
        <v>26</v>
      </c>
      <c r="H2118">
        <v>272.8</v>
      </c>
      <c r="I2118">
        <v>242.5</v>
      </c>
      <c r="J2118">
        <v>92.2</v>
      </c>
      <c r="K2118">
        <v>67</v>
      </c>
      <c r="L2118">
        <v>26.4</v>
      </c>
      <c r="M2118">
        <v>6</v>
      </c>
      <c r="N2118">
        <v>0.18523962341734301</v>
      </c>
      <c r="O2118">
        <v>0.31536440774766</v>
      </c>
    </row>
    <row r="2119" spans="1:15" x14ac:dyDescent="0.3">
      <c r="A2119">
        <v>8964</v>
      </c>
      <c r="B2119">
        <v>63</v>
      </c>
      <c r="C2119">
        <v>454</v>
      </c>
      <c r="D2119" t="s">
        <v>23</v>
      </c>
      <c r="E2119" t="s">
        <v>16</v>
      </c>
      <c r="F2119" t="s">
        <v>17</v>
      </c>
      <c r="G2119" t="s">
        <v>26</v>
      </c>
      <c r="H2119">
        <v>272.8</v>
      </c>
      <c r="I2119">
        <v>242.5</v>
      </c>
      <c r="J2119">
        <v>92.2</v>
      </c>
      <c r="K2119">
        <v>67</v>
      </c>
      <c r="L2119">
        <v>26.4</v>
      </c>
      <c r="M2119">
        <v>6</v>
      </c>
      <c r="N2119">
        <v>0.21438951253420299</v>
      </c>
      <c r="O2119">
        <v>0.31523479860647002</v>
      </c>
    </row>
    <row r="2120" spans="1:15" x14ac:dyDescent="0.3">
      <c r="A2120">
        <v>8969</v>
      </c>
      <c r="B2120">
        <v>632</v>
      </c>
      <c r="C2120">
        <v>95</v>
      </c>
      <c r="D2120" t="s">
        <v>23</v>
      </c>
      <c r="E2120" t="s">
        <v>20</v>
      </c>
      <c r="F2120" t="s">
        <v>21</v>
      </c>
      <c r="G2120" t="s">
        <v>22</v>
      </c>
      <c r="H2120">
        <v>276.60000000000002</v>
      </c>
      <c r="I2120">
        <v>250.5</v>
      </c>
      <c r="J2120">
        <v>100</v>
      </c>
      <c r="K2120">
        <v>67</v>
      </c>
      <c r="L2120">
        <v>28.2</v>
      </c>
      <c r="M2120">
        <v>6.5</v>
      </c>
      <c r="N2120">
        <v>8.5983915078502296E-2</v>
      </c>
      <c r="O2120">
        <v>0.31223157355450198</v>
      </c>
    </row>
    <row r="2121" spans="1:15" x14ac:dyDescent="0.3">
      <c r="A2121">
        <v>8970</v>
      </c>
      <c r="B2121">
        <v>632</v>
      </c>
      <c r="C2121">
        <v>95</v>
      </c>
      <c r="D2121" t="s">
        <v>23</v>
      </c>
      <c r="E2121" t="s">
        <v>20</v>
      </c>
      <c r="F2121" t="s">
        <v>21</v>
      </c>
      <c r="G2121" t="s">
        <v>22</v>
      </c>
      <c r="H2121">
        <v>276.60000000000002</v>
      </c>
      <c r="I2121">
        <v>250.5</v>
      </c>
      <c r="J2121">
        <v>100</v>
      </c>
      <c r="K2121">
        <v>67</v>
      </c>
      <c r="L2121">
        <v>28.2</v>
      </c>
      <c r="M2121">
        <v>6.5</v>
      </c>
      <c r="N2121">
        <v>0.111380084708615</v>
      </c>
      <c r="O2121">
        <v>0.31925172505558003</v>
      </c>
    </row>
    <row r="2122" spans="1:15" x14ac:dyDescent="0.3">
      <c r="A2122">
        <v>8971</v>
      </c>
      <c r="B2122">
        <v>633</v>
      </c>
      <c r="C2122">
        <v>461</v>
      </c>
      <c r="D2122" t="s">
        <v>23</v>
      </c>
      <c r="E2122" t="s">
        <v>16</v>
      </c>
      <c r="F2122" t="s">
        <v>21</v>
      </c>
      <c r="G2122" t="s">
        <v>22</v>
      </c>
      <c r="H2122">
        <v>276.60000000000002</v>
      </c>
      <c r="I2122">
        <v>260.5</v>
      </c>
      <c r="J2122">
        <v>98.2</v>
      </c>
      <c r="K2122">
        <v>68</v>
      </c>
      <c r="L2122">
        <v>26.5</v>
      </c>
      <c r="M2122">
        <v>6</v>
      </c>
      <c r="N2122">
        <v>0.21198941145882799</v>
      </c>
      <c r="O2122">
        <v>0.26211654829820402</v>
      </c>
    </row>
    <row r="2123" spans="1:15" x14ac:dyDescent="0.3">
      <c r="A2123">
        <v>8972</v>
      </c>
      <c r="B2123">
        <v>633</v>
      </c>
      <c r="C2123">
        <v>461</v>
      </c>
      <c r="D2123" t="s">
        <v>23</v>
      </c>
      <c r="E2123" t="s">
        <v>16</v>
      </c>
      <c r="F2123" t="s">
        <v>21</v>
      </c>
      <c r="G2123" t="s">
        <v>22</v>
      </c>
      <c r="H2123">
        <v>276.60000000000002</v>
      </c>
      <c r="I2123">
        <v>260.5</v>
      </c>
      <c r="J2123">
        <v>98.2</v>
      </c>
      <c r="K2123">
        <v>68</v>
      </c>
      <c r="L2123">
        <v>26.5</v>
      </c>
      <c r="M2123">
        <v>6</v>
      </c>
      <c r="N2123">
        <v>0.19814222791140901</v>
      </c>
      <c r="O2123">
        <v>0.27015765715485901</v>
      </c>
    </row>
    <row r="2124" spans="1:15" x14ac:dyDescent="0.3">
      <c r="A2124">
        <v>8973</v>
      </c>
      <c r="B2124">
        <v>633</v>
      </c>
      <c r="C2124">
        <v>461</v>
      </c>
      <c r="D2124" t="s">
        <v>23</v>
      </c>
      <c r="E2124" t="s">
        <v>16</v>
      </c>
      <c r="F2124" t="s">
        <v>21</v>
      </c>
      <c r="G2124" t="s">
        <v>22</v>
      </c>
      <c r="H2124">
        <v>276.60000000000002</v>
      </c>
      <c r="I2124">
        <v>260.5</v>
      </c>
      <c r="J2124">
        <v>98.2</v>
      </c>
      <c r="K2124">
        <v>68</v>
      </c>
      <c r="L2124">
        <v>26.5</v>
      </c>
      <c r="M2124">
        <v>6</v>
      </c>
      <c r="N2124">
        <v>0.20929956003651801</v>
      </c>
      <c r="O2124">
        <v>0.26084219072257903</v>
      </c>
    </row>
    <row r="2125" spans="1:15" x14ac:dyDescent="0.3">
      <c r="A2125">
        <v>8974</v>
      </c>
      <c r="B2125">
        <v>633</v>
      </c>
      <c r="C2125">
        <v>461</v>
      </c>
      <c r="D2125" t="s">
        <v>23</v>
      </c>
      <c r="E2125" t="s">
        <v>16</v>
      </c>
      <c r="F2125" t="s">
        <v>21</v>
      </c>
      <c r="G2125" t="s">
        <v>22</v>
      </c>
      <c r="H2125">
        <v>276.60000000000002</v>
      </c>
      <c r="I2125">
        <v>260.5</v>
      </c>
      <c r="J2125">
        <v>98.2</v>
      </c>
      <c r="K2125">
        <v>68</v>
      </c>
      <c r="L2125">
        <v>26.5</v>
      </c>
      <c r="M2125">
        <v>6</v>
      </c>
      <c r="N2125">
        <v>0.22183598790646999</v>
      </c>
      <c r="O2125">
        <v>0.25513084515850398</v>
      </c>
    </row>
    <row r="2126" spans="1:15" x14ac:dyDescent="0.3">
      <c r="A2126">
        <v>8979</v>
      </c>
      <c r="B2126">
        <v>636</v>
      </c>
      <c r="C2126">
        <v>68</v>
      </c>
      <c r="D2126" t="s">
        <v>19</v>
      </c>
      <c r="E2126" t="s">
        <v>20</v>
      </c>
      <c r="F2126" t="s">
        <v>21</v>
      </c>
      <c r="G2126" t="s">
        <v>24</v>
      </c>
      <c r="H2126">
        <v>275.60000000000002</v>
      </c>
      <c r="I2126">
        <v>254.5</v>
      </c>
      <c r="J2126">
        <v>95.5</v>
      </c>
      <c r="K2126">
        <v>65.5</v>
      </c>
      <c r="L2126">
        <v>29.1</v>
      </c>
      <c r="M2126">
        <v>10</v>
      </c>
      <c r="N2126">
        <v>0.206612460053791</v>
      </c>
      <c r="O2126">
        <v>0.17164062708245401</v>
      </c>
    </row>
    <row r="2127" spans="1:15" x14ac:dyDescent="0.3">
      <c r="A2127">
        <v>8980</v>
      </c>
      <c r="B2127">
        <v>636</v>
      </c>
      <c r="C2127">
        <v>68</v>
      </c>
      <c r="D2127" t="s">
        <v>19</v>
      </c>
      <c r="E2127" t="s">
        <v>20</v>
      </c>
      <c r="F2127" t="s">
        <v>21</v>
      </c>
      <c r="G2127" t="s">
        <v>24</v>
      </c>
      <c r="H2127">
        <v>275.60000000000002</v>
      </c>
      <c r="I2127">
        <v>254.5</v>
      </c>
      <c r="J2127">
        <v>95.5</v>
      </c>
      <c r="K2127">
        <v>65.5</v>
      </c>
      <c r="L2127">
        <v>29.1</v>
      </c>
      <c r="M2127">
        <v>10</v>
      </c>
      <c r="N2127">
        <v>0.230312676159623</v>
      </c>
      <c r="O2127">
        <v>0.166567636866919</v>
      </c>
    </row>
    <row r="2128" spans="1:15" x14ac:dyDescent="0.3">
      <c r="A2128">
        <v>8992</v>
      </c>
      <c r="B2128">
        <v>640</v>
      </c>
      <c r="C2128">
        <v>31</v>
      </c>
      <c r="D2128" t="s">
        <v>23</v>
      </c>
      <c r="E2128" t="s">
        <v>16</v>
      </c>
      <c r="F2128" t="s">
        <v>21</v>
      </c>
      <c r="G2128" t="s">
        <v>24</v>
      </c>
      <c r="H2128">
        <v>274</v>
      </c>
      <c r="I2128">
        <v>250</v>
      </c>
      <c r="J2128">
        <v>99.4</v>
      </c>
      <c r="K2128">
        <v>68.5</v>
      </c>
      <c r="L2128">
        <v>23.2</v>
      </c>
      <c r="M2128">
        <v>10</v>
      </c>
      <c r="N2128">
        <v>0.20352115014594899</v>
      </c>
      <c r="O2128">
        <v>0.175408047810995</v>
      </c>
    </row>
    <row r="2129" spans="1:15" x14ac:dyDescent="0.3">
      <c r="A2129">
        <v>8999</v>
      </c>
      <c r="B2129">
        <v>643</v>
      </c>
      <c r="C2129">
        <v>176</v>
      </c>
      <c r="D2129" t="s">
        <v>23</v>
      </c>
      <c r="E2129" t="s">
        <v>20</v>
      </c>
      <c r="F2129" t="s">
        <v>17</v>
      </c>
      <c r="G2129" t="s">
        <v>25</v>
      </c>
      <c r="H2129">
        <v>274.5</v>
      </c>
      <c r="I2129">
        <v>261.5</v>
      </c>
      <c r="J2129">
        <v>100.7</v>
      </c>
      <c r="K2129">
        <v>67</v>
      </c>
      <c r="L2129">
        <v>26.6</v>
      </c>
      <c r="M2129">
        <v>10</v>
      </c>
      <c r="N2129">
        <v>0.147785907557798</v>
      </c>
      <c r="O2129">
        <v>0.410113611186115</v>
      </c>
    </row>
    <row r="2130" spans="1:15" x14ac:dyDescent="0.3">
      <c r="A2130">
        <v>9000</v>
      </c>
      <c r="B2130">
        <v>643</v>
      </c>
      <c r="C2130">
        <v>176</v>
      </c>
      <c r="D2130" t="s">
        <v>23</v>
      </c>
      <c r="E2130" t="s">
        <v>20</v>
      </c>
      <c r="F2130" t="s">
        <v>17</v>
      </c>
      <c r="G2130" t="s">
        <v>25</v>
      </c>
      <c r="H2130">
        <v>274.5</v>
      </c>
      <c r="I2130">
        <v>261.5</v>
      </c>
      <c r="J2130">
        <v>100.7</v>
      </c>
      <c r="K2130">
        <v>67</v>
      </c>
      <c r="L2130">
        <v>26.6</v>
      </c>
      <c r="M2130">
        <v>10</v>
      </c>
      <c r="N2130">
        <v>0.13728832784697101</v>
      </c>
      <c r="O2130">
        <v>0.41918623112540698</v>
      </c>
    </row>
    <row r="2131" spans="1:15" x14ac:dyDescent="0.3">
      <c r="A2131">
        <v>9001</v>
      </c>
      <c r="B2131">
        <v>643</v>
      </c>
      <c r="C2131">
        <v>176</v>
      </c>
      <c r="D2131" t="s">
        <v>23</v>
      </c>
      <c r="E2131" t="s">
        <v>20</v>
      </c>
      <c r="F2131" t="s">
        <v>17</v>
      </c>
      <c r="G2131" t="s">
        <v>25</v>
      </c>
      <c r="H2131">
        <v>274.5</v>
      </c>
      <c r="I2131">
        <v>261.5</v>
      </c>
      <c r="J2131">
        <v>100.7</v>
      </c>
      <c r="K2131">
        <v>67</v>
      </c>
      <c r="L2131">
        <v>26.6</v>
      </c>
      <c r="M2131">
        <v>10</v>
      </c>
      <c r="N2131">
        <v>0.150192045821924</v>
      </c>
      <c r="O2131">
        <v>0.38877172296399498</v>
      </c>
    </row>
    <row r="2132" spans="1:15" x14ac:dyDescent="0.3">
      <c r="A2132">
        <v>9002</v>
      </c>
      <c r="B2132">
        <v>643</v>
      </c>
      <c r="C2132">
        <v>176</v>
      </c>
      <c r="D2132" t="s">
        <v>23</v>
      </c>
      <c r="E2132" t="s">
        <v>20</v>
      </c>
      <c r="F2132" t="s">
        <v>17</v>
      </c>
      <c r="G2132" t="s">
        <v>25</v>
      </c>
      <c r="H2132">
        <v>274.5</v>
      </c>
      <c r="I2132">
        <v>261.5</v>
      </c>
      <c r="J2132">
        <v>100.7</v>
      </c>
      <c r="K2132">
        <v>67</v>
      </c>
      <c r="L2132">
        <v>26.6</v>
      </c>
      <c r="M2132">
        <v>10</v>
      </c>
      <c r="N2132">
        <v>0.113798010767609</v>
      </c>
      <c r="O2132">
        <v>0.39327266982812298</v>
      </c>
    </row>
    <row r="2133" spans="1:15" x14ac:dyDescent="0.3">
      <c r="A2133">
        <v>9003</v>
      </c>
      <c r="B2133">
        <v>643</v>
      </c>
      <c r="C2133">
        <v>176</v>
      </c>
      <c r="D2133" t="s">
        <v>23</v>
      </c>
      <c r="E2133" t="s">
        <v>20</v>
      </c>
      <c r="F2133" t="s">
        <v>17</v>
      </c>
      <c r="G2133" t="s">
        <v>25</v>
      </c>
      <c r="H2133">
        <v>274.5</v>
      </c>
      <c r="I2133">
        <v>261.5</v>
      </c>
      <c r="J2133">
        <v>100.7</v>
      </c>
      <c r="K2133">
        <v>67</v>
      </c>
      <c r="L2133">
        <v>26.6</v>
      </c>
      <c r="M2133">
        <v>10</v>
      </c>
      <c r="N2133">
        <v>0.119267301603148</v>
      </c>
      <c r="O2133">
        <v>0.39576348930116401</v>
      </c>
    </row>
    <row r="2134" spans="1:15" x14ac:dyDescent="0.3">
      <c r="A2134">
        <v>9004</v>
      </c>
      <c r="B2134">
        <v>643</v>
      </c>
      <c r="C2134">
        <v>176</v>
      </c>
      <c r="D2134" t="s">
        <v>23</v>
      </c>
      <c r="E2134" t="s">
        <v>20</v>
      </c>
      <c r="F2134" t="s">
        <v>17</v>
      </c>
      <c r="G2134" t="s">
        <v>25</v>
      </c>
      <c r="H2134">
        <v>274.5</v>
      </c>
      <c r="I2134">
        <v>261.5</v>
      </c>
      <c r="J2134">
        <v>100.7</v>
      </c>
      <c r="K2134">
        <v>67</v>
      </c>
      <c r="L2134">
        <v>26.6</v>
      </c>
      <c r="M2134">
        <v>10</v>
      </c>
      <c r="N2134">
        <v>0.149077270601394</v>
      </c>
      <c r="O2134">
        <v>0.41372354018769503</v>
      </c>
    </row>
    <row r="2135" spans="1:15" x14ac:dyDescent="0.3">
      <c r="A2135">
        <v>9005</v>
      </c>
      <c r="B2135">
        <v>643</v>
      </c>
      <c r="C2135">
        <v>176</v>
      </c>
      <c r="D2135" t="s">
        <v>23</v>
      </c>
      <c r="E2135" t="s">
        <v>20</v>
      </c>
      <c r="F2135" t="s">
        <v>17</v>
      </c>
      <c r="G2135" t="s">
        <v>25</v>
      </c>
      <c r="H2135">
        <v>274.5</v>
      </c>
      <c r="I2135">
        <v>261.5</v>
      </c>
      <c r="J2135">
        <v>100.7</v>
      </c>
      <c r="K2135">
        <v>67</v>
      </c>
      <c r="L2135">
        <v>26.6</v>
      </c>
      <c r="M2135">
        <v>10</v>
      </c>
      <c r="N2135">
        <v>0.14155648351363101</v>
      </c>
      <c r="O2135">
        <v>0.41718650629142201</v>
      </c>
    </row>
    <row r="2136" spans="1:15" x14ac:dyDescent="0.3">
      <c r="A2136">
        <v>9006</v>
      </c>
      <c r="B2136">
        <v>644</v>
      </c>
      <c r="C2136">
        <v>246</v>
      </c>
      <c r="D2136" t="s">
        <v>23</v>
      </c>
      <c r="E2136" t="s">
        <v>16</v>
      </c>
      <c r="F2136" t="s">
        <v>17</v>
      </c>
      <c r="G2136" t="s">
        <v>24</v>
      </c>
      <c r="H2136">
        <v>278.2</v>
      </c>
      <c r="I2136">
        <v>257</v>
      </c>
      <c r="J2136">
        <v>97.9</v>
      </c>
      <c r="K2136">
        <v>67</v>
      </c>
      <c r="L2136">
        <v>24.3</v>
      </c>
      <c r="M2136">
        <v>12.5</v>
      </c>
      <c r="N2136">
        <v>0.174308628659399</v>
      </c>
      <c r="O2136">
        <v>0.403061326263219</v>
      </c>
    </row>
    <row r="2137" spans="1:15" x14ac:dyDescent="0.3">
      <c r="A2137">
        <v>9007</v>
      </c>
      <c r="B2137">
        <v>644</v>
      </c>
      <c r="C2137">
        <v>246</v>
      </c>
      <c r="D2137" t="s">
        <v>23</v>
      </c>
      <c r="E2137" t="s">
        <v>16</v>
      </c>
      <c r="F2137" t="s">
        <v>17</v>
      </c>
      <c r="G2137" t="s">
        <v>24</v>
      </c>
      <c r="H2137">
        <v>278.2</v>
      </c>
      <c r="I2137">
        <v>257</v>
      </c>
      <c r="J2137">
        <v>97.9</v>
      </c>
      <c r="K2137">
        <v>67</v>
      </c>
      <c r="L2137">
        <v>24.3</v>
      </c>
      <c r="M2137">
        <v>12.5</v>
      </c>
      <c r="N2137">
        <v>0.158789042090032</v>
      </c>
      <c r="O2137">
        <v>0.39928323958157502</v>
      </c>
    </row>
    <row r="2138" spans="1:15" x14ac:dyDescent="0.3">
      <c r="A2138">
        <v>9008</v>
      </c>
      <c r="B2138">
        <v>644</v>
      </c>
      <c r="C2138">
        <v>246</v>
      </c>
      <c r="D2138" t="s">
        <v>23</v>
      </c>
      <c r="E2138" t="s">
        <v>16</v>
      </c>
      <c r="F2138" t="s">
        <v>17</v>
      </c>
      <c r="G2138" t="s">
        <v>24</v>
      </c>
      <c r="H2138">
        <v>278.2</v>
      </c>
      <c r="I2138">
        <v>257</v>
      </c>
      <c r="J2138">
        <v>97.9</v>
      </c>
      <c r="K2138">
        <v>67</v>
      </c>
      <c r="L2138">
        <v>24.3</v>
      </c>
      <c r="M2138">
        <v>12.5</v>
      </c>
      <c r="N2138">
        <v>0.16925136935193699</v>
      </c>
      <c r="O2138">
        <v>0.38732915576135901</v>
      </c>
    </row>
    <row r="2139" spans="1:15" x14ac:dyDescent="0.3">
      <c r="A2139">
        <v>9029</v>
      </c>
      <c r="B2139">
        <v>65</v>
      </c>
      <c r="C2139">
        <v>84</v>
      </c>
      <c r="D2139" t="s">
        <v>15</v>
      </c>
      <c r="E2139" t="s">
        <v>16</v>
      </c>
      <c r="F2139" t="s">
        <v>21</v>
      </c>
      <c r="G2139" t="s">
        <v>18</v>
      </c>
      <c r="H2139">
        <v>270.89999999999998</v>
      </c>
      <c r="I2139">
        <v>244</v>
      </c>
      <c r="J2139">
        <v>95.8</v>
      </c>
      <c r="K2139">
        <v>64.5</v>
      </c>
      <c r="L2139">
        <v>22.8</v>
      </c>
      <c r="M2139">
        <v>8</v>
      </c>
      <c r="N2139">
        <v>0.27529870117872601</v>
      </c>
      <c r="O2139">
        <v>3.04586079026084E-2</v>
      </c>
    </row>
    <row r="2140" spans="1:15" x14ac:dyDescent="0.3">
      <c r="A2140">
        <v>9039</v>
      </c>
      <c r="B2140">
        <v>651</v>
      </c>
      <c r="C2140">
        <v>366</v>
      </c>
      <c r="D2140" t="s">
        <v>19</v>
      </c>
      <c r="E2140" t="s">
        <v>20</v>
      </c>
      <c r="F2140" t="s">
        <v>17</v>
      </c>
      <c r="G2140" t="s">
        <v>24</v>
      </c>
      <c r="H2140">
        <v>275.89999999999998</v>
      </c>
      <c r="I2140">
        <v>255</v>
      </c>
      <c r="J2140">
        <v>94.9</v>
      </c>
      <c r="K2140">
        <v>64</v>
      </c>
      <c r="L2140">
        <v>26.8</v>
      </c>
      <c r="M2140">
        <v>17</v>
      </c>
      <c r="N2140">
        <v>0.16745487668995199</v>
      </c>
      <c r="O2140">
        <v>0.157694383101907</v>
      </c>
    </row>
    <row r="2141" spans="1:15" x14ac:dyDescent="0.3">
      <c r="A2141">
        <v>9040</v>
      </c>
      <c r="B2141">
        <v>651</v>
      </c>
      <c r="C2141">
        <v>366</v>
      </c>
      <c r="D2141" t="s">
        <v>19</v>
      </c>
      <c r="E2141" t="s">
        <v>20</v>
      </c>
      <c r="F2141" t="s">
        <v>17</v>
      </c>
      <c r="G2141" t="s">
        <v>24</v>
      </c>
      <c r="H2141">
        <v>275.89999999999998</v>
      </c>
      <c r="I2141">
        <v>255</v>
      </c>
      <c r="J2141">
        <v>94.9</v>
      </c>
      <c r="K2141">
        <v>64</v>
      </c>
      <c r="L2141">
        <v>26.8</v>
      </c>
      <c r="M2141">
        <v>17</v>
      </c>
      <c r="N2141">
        <v>0.15973033563848801</v>
      </c>
      <c r="O2141">
        <v>0.15704101829918601</v>
      </c>
    </row>
    <row r="2142" spans="1:15" x14ac:dyDescent="0.3">
      <c r="A2142">
        <v>9065</v>
      </c>
      <c r="B2142">
        <v>659</v>
      </c>
      <c r="C2142">
        <v>42</v>
      </c>
      <c r="D2142" t="s">
        <v>23</v>
      </c>
      <c r="E2142" t="s">
        <v>20</v>
      </c>
      <c r="F2142" t="s">
        <v>17</v>
      </c>
      <c r="G2142" t="s">
        <v>25</v>
      </c>
      <c r="H2142">
        <v>280.10000000000002</v>
      </c>
      <c r="I2142">
        <v>241.5</v>
      </c>
      <c r="J2142">
        <v>94.5</v>
      </c>
      <c r="K2142">
        <v>66</v>
      </c>
      <c r="L2142">
        <v>29.4</v>
      </c>
      <c r="M2142">
        <v>8.5</v>
      </c>
      <c r="N2142">
        <v>6.1173890750089201E-2</v>
      </c>
      <c r="O2142">
        <v>0.392840425109311</v>
      </c>
    </row>
    <row r="2143" spans="1:15" x14ac:dyDescent="0.3">
      <c r="A2143">
        <v>9068</v>
      </c>
      <c r="B2143">
        <v>659</v>
      </c>
      <c r="C2143">
        <v>42</v>
      </c>
      <c r="D2143" t="s">
        <v>23</v>
      </c>
      <c r="E2143" t="s">
        <v>20</v>
      </c>
      <c r="F2143" t="s">
        <v>17</v>
      </c>
      <c r="G2143" t="s">
        <v>25</v>
      </c>
      <c r="H2143">
        <v>280.10000000000002</v>
      </c>
      <c r="I2143">
        <v>241.5</v>
      </c>
      <c r="J2143">
        <v>94.5</v>
      </c>
      <c r="K2143">
        <v>66</v>
      </c>
      <c r="L2143">
        <v>29.4</v>
      </c>
      <c r="M2143">
        <v>8.5</v>
      </c>
      <c r="N2143">
        <v>3.9627010815026197E-2</v>
      </c>
      <c r="O2143">
        <v>0.37299637943694303</v>
      </c>
    </row>
    <row r="2144" spans="1:15" x14ac:dyDescent="0.3">
      <c r="A2144">
        <v>9069</v>
      </c>
      <c r="B2144">
        <v>659</v>
      </c>
      <c r="C2144">
        <v>42</v>
      </c>
      <c r="D2144" t="s">
        <v>23</v>
      </c>
      <c r="E2144" t="s">
        <v>20</v>
      </c>
      <c r="F2144" t="s">
        <v>17</v>
      </c>
      <c r="G2144" t="s">
        <v>25</v>
      </c>
      <c r="H2144">
        <v>280.10000000000002</v>
      </c>
      <c r="I2144">
        <v>241.5</v>
      </c>
      <c r="J2144">
        <v>94.5</v>
      </c>
      <c r="K2144">
        <v>66</v>
      </c>
      <c r="L2144">
        <v>29.4</v>
      </c>
      <c r="M2144">
        <v>8.5</v>
      </c>
      <c r="N2144">
        <v>5.7609753227294003E-2</v>
      </c>
      <c r="O2144">
        <v>0.38969953625341403</v>
      </c>
    </row>
    <row r="2145" spans="1:15" x14ac:dyDescent="0.3">
      <c r="A2145">
        <v>9075</v>
      </c>
      <c r="B2145">
        <v>662</v>
      </c>
      <c r="C2145">
        <v>95</v>
      </c>
      <c r="D2145" t="s">
        <v>23</v>
      </c>
      <c r="E2145" t="s">
        <v>20</v>
      </c>
      <c r="F2145" t="s">
        <v>21</v>
      </c>
      <c r="G2145" t="s">
        <v>25</v>
      </c>
      <c r="H2145">
        <v>276.60000000000002</v>
      </c>
      <c r="I2145">
        <v>250.5</v>
      </c>
      <c r="J2145">
        <v>100</v>
      </c>
      <c r="K2145">
        <v>67</v>
      </c>
      <c r="L2145">
        <v>28.2</v>
      </c>
      <c r="M2145">
        <v>6.5</v>
      </c>
      <c r="N2145">
        <v>0.104279334463389</v>
      </c>
      <c r="O2145">
        <v>0.339900305298514</v>
      </c>
    </row>
    <row r="2146" spans="1:15" x14ac:dyDescent="0.3">
      <c r="A2146">
        <v>9076</v>
      </c>
      <c r="B2146">
        <v>662</v>
      </c>
      <c r="C2146">
        <v>95</v>
      </c>
      <c r="D2146" t="s">
        <v>23</v>
      </c>
      <c r="E2146" t="s">
        <v>20</v>
      </c>
      <c r="F2146" t="s">
        <v>21</v>
      </c>
      <c r="G2146" t="s">
        <v>25</v>
      </c>
      <c r="H2146">
        <v>276.60000000000002</v>
      </c>
      <c r="I2146">
        <v>250.5</v>
      </c>
      <c r="J2146">
        <v>100</v>
      </c>
      <c r="K2146">
        <v>67</v>
      </c>
      <c r="L2146">
        <v>28.2</v>
      </c>
      <c r="M2146">
        <v>6.5</v>
      </c>
      <c r="N2146">
        <v>9.63496136892108E-2</v>
      </c>
      <c r="O2146">
        <v>0.35088316259286001</v>
      </c>
    </row>
    <row r="2147" spans="1:15" x14ac:dyDescent="0.3">
      <c r="A2147">
        <v>9077</v>
      </c>
      <c r="B2147">
        <v>662</v>
      </c>
      <c r="C2147">
        <v>95</v>
      </c>
      <c r="D2147" t="s">
        <v>23</v>
      </c>
      <c r="E2147" t="s">
        <v>20</v>
      </c>
      <c r="F2147" t="s">
        <v>21</v>
      </c>
      <c r="G2147" t="s">
        <v>25</v>
      </c>
      <c r="H2147">
        <v>276.60000000000002</v>
      </c>
      <c r="I2147">
        <v>250.5</v>
      </c>
      <c r="J2147">
        <v>100</v>
      </c>
      <c r="K2147">
        <v>67</v>
      </c>
      <c r="L2147">
        <v>28.2</v>
      </c>
      <c r="M2147">
        <v>6.5</v>
      </c>
      <c r="N2147">
        <v>8.8537334607845297E-2</v>
      </c>
      <c r="O2147">
        <v>0.31457023704749698</v>
      </c>
    </row>
    <row r="2148" spans="1:15" x14ac:dyDescent="0.3">
      <c r="A2148">
        <v>9078</v>
      </c>
      <c r="B2148">
        <v>662</v>
      </c>
      <c r="C2148">
        <v>95</v>
      </c>
      <c r="D2148" t="s">
        <v>23</v>
      </c>
      <c r="E2148" t="s">
        <v>20</v>
      </c>
      <c r="F2148" t="s">
        <v>21</v>
      </c>
      <c r="G2148" t="s">
        <v>25</v>
      </c>
      <c r="H2148">
        <v>276.60000000000002</v>
      </c>
      <c r="I2148">
        <v>250.5</v>
      </c>
      <c r="J2148">
        <v>100</v>
      </c>
      <c r="K2148">
        <v>67</v>
      </c>
      <c r="L2148">
        <v>28.2</v>
      </c>
      <c r="M2148">
        <v>6.5</v>
      </c>
      <c r="N2148">
        <v>0.102681009641264</v>
      </c>
      <c r="O2148">
        <v>0.34274309081437798</v>
      </c>
    </row>
    <row r="2149" spans="1:15" x14ac:dyDescent="0.3">
      <c r="A2149">
        <v>9079</v>
      </c>
      <c r="B2149">
        <v>662</v>
      </c>
      <c r="C2149">
        <v>95</v>
      </c>
      <c r="D2149" t="s">
        <v>23</v>
      </c>
      <c r="E2149" t="s">
        <v>20</v>
      </c>
      <c r="F2149" t="s">
        <v>21</v>
      </c>
      <c r="G2149" t="s">
        <v>25</v>
      </c>
      <c r="H2149">
        <v>276.60000000000002</v>
      </c>
      <c r="I2149">
        <v>250.5</v>
      </c>
      <c r="J2149">
        <v>100</v>
      </c>
      <c r="K2149">
        <v>67</v>
      </c>
      <c r="L2149">
        <v>28.2</v>
      </c>
      <c r="M2149">
        <v>6.5</v>
      </c>
      <c r="N2149">
        <v>0.117742306400067</v>
      </c>
      <c r="O2149">
        <v>0.35123906354085399</v>
      </c>
    </row>
    <row r="2150" spans="1:15" x14ac:dyDescent="0.3">
      <c r="A2150">
        <v>9080</v>
      </c>
      <c r="B2150">
        <v>663</v>
      </c>
      <c r="C2150">
        <v>71</v>
      </c>
      <c r="D2150" t="s">
        <v>23</v>
      </c>
      <c r="E2150" t="s">
        <v>20</v>
      </c>
      <c r="F2150" t="s">
        <v>17</v>
      </c>
      <c r="G2150" t="s">
        <v>22</v>
      </c>
      <c r="H2150">
        <v>281</v>
      </c>
      <c r="I2150">
        <v>265.5</v>
      </c>
      <c r="J2150">
        <v>100.2</v>
      </c>
      <c r="K2150">
        <v>66.5</v>
      </c>
      <c r="L2150">
        <v>25.2</v>
      </c>
      <c r="M2150">
        <v>8</v>
      </c>
      <c r="N2150">
        <v>0.16142512639539799</v>
      </c>
      <c r="O2150">
        <v>0.14969413287257599</v>
      </c>
    </row>
    <row r="2151" spans="1:15" x14ac:dyDescent="0.3">
      <c r="A2151">
        <v>9083</v>
      </c>
      <c r="B2151">
        <v>663</v>
      </c>
      <c r="C2151">
        <v>71</v>
      </c>
      <c r="D2151" t="s">
        <v>23</v>
      </c>
      <c r="E2151" t="s">
        <v>20</v>
      </c>
      <c r="F2151" t="s">
        <v>17</v>
      </c>
      <c r="G2151" t="s">
        <v>22</v>
      </c>
      <c r="H2151">
        <v>281</v>
      </c>
      <c r="I2151">
        <v>265.5</v>
      </c>
      <c r="J2151">
        <v>100.2</v>
      </c>
      <c r="K2151">
        <v>66.5</v>
      </c>
      <c r="L2151">
        <v>25.2</v>
      </c>
      <c r="M2151">
        <v>8</v>
      </c>
      <c r="N2151">
        <v>0.16671723250487999</v>
      </c>
      <c r="O2151">
        <v>0.15442127846037901</v>
      </c>
    </row>
    <row r="2152" spans="1:15" x14ac:dyDescent="0.3">
      <c r="A2152">
        <v>9097</v>
      </c>
      <c r="B2152">
        <v>670</v>
      </c>
      <c r="C2152">
        <v>71</v>
      </c>
      <c r="D2152" t="s">
        <v>23</v>
      </c>
      <c r="E2152" t="s">
        <v>20</v>
      </c>
      <c r="F2152" t="s">
        <v>21</v>
      </c>
      <c r="G2152" t="s">
        <v>26</v>
      </c>
      <c r="H2152">
        <v>281</v>
      </c>
      <c r="I2152">
        <v>265.5</v>
      </c>
      <c r="J2152">
        <v>100.2</v>
      </c>
      <c r="K2152">
        <v>66.5</v>
      </c>
      <c r="L2152">
        <v>25.2</v>
      </c>
      <c r="M2152">
        <v>8</v>
      </c>
      <c r="N2152">
        <v>0.18965392858765401</v>
      </c>
      <c r="O2152">
        <v>0.15316840409985699</v>
      </c>
    </row>
    <row r="2153" spans="1:15" x14ac:dyDescent="0.3">
      <c r="A2153">
        <v>9098</v>
      </c>
      <c r="B2153">
        <v>670</v>
      </c>
      <c r="C2153">
        <v>71</v>
      </c>
      <c r="D2153" t="s">
        <v>23</v>
      </c>
      <c r="E2153" t="s">
        <v>20</v>
      </c>
      <c r="F2153" t="s">
        <v>21</v>
      </c>
      <c r="G2153" t="s">
        <v>26</v>
      </c>
      <c r="H2153">
        <v>281</v>
      </c>
      <c r="I2153">
        <v>265.5</v>
      </c>
      <c r="J2153">
        <v>100.2</v>
      </c>
      <c r="K2153">
        <v>66.5</v>
      </c>
      <c r="L2153">
        <v>25.2</v>
      </c>
      <c r="M2153">
        <v>8</v>
      </c>
      <c r="N2153">
        <v>0.16273568897940799</v>
      </c>
      <c r="O2153">
        <v>0.16097667696756701</v>
      </c>
    </row>
    <row r="2154" spans="1:15" x14ac:dyDescent="0.3">
      <c r="A2154">
        <v>9102</v>
      </c>
      <c r="B2154">
        <v>672</v>
      </c>
      <c r="C2154">
        <v>12</v>
      </c>
      <c r="D2154" t="s">
        <v>19</v>
      </c>
      <c r="E2154" t="s">
        <v>16</v>
      </c>
      <c r="F2154" t="s">
        <v>21</v>
      </c>
      <c r="G2154" t="s">
        <v>26</v>
      </c>
      <c r="H2154">
        <v>280.39999999999998</v>
      </c>
      <c r="I2154">
        <v>260</v>
      </c>
      <c r="J2154">
        <v>102.4</v>
      </c>
      <c r="K2154">
        <v>69.5</v>
      </c>
      <c r="L2154">
        <v>28.2</v>
      </c>
      <c r="M2154">
        <v>9</v>
      </c>
      <c r="N2154">
        <v>0.144292374293083</v>
      </c>
      <c r="O2154">
        <v>0.113305957015811</v>
      </c>
    </row>
    <row r="2155" spans="1:15" x14ac:dyDescent="0.3">
      <c r="A2155">
        <v>9117</v>
      </c>
      <c r="B2155">
        <v>679</v>
      </c>
      <c r="C2155">
        <v>480</v>
      </c>
      <c r="D2155" t="s">
        <v>19</v>
      </c>
      <c r="E2155" t="s">
        <v>20</v>
      </c>
      <c r="F2155" t="s">
        <v>17</v>
      </c>
      <c r="G2155" t="s">
        <v>25</v>
      </c>
      <c r="H2155">
        <v>275.8</v>
      </c>
      <c r="I2155">
        <v>244</v>
      </c>
      <c r="J2155">
        <v>94.4</v>
      </c>
      <c r="K2155">
        <v>67.5</v>
      </c>
      <c r="L2155">
        <v>24.4</v>
      </c>
      <c r="M2155">
        <v>6</v>
      </c>
      <c r="N2155">
        <v>0.16353089503819601</v>
      </c>
      <c r="O2155">
        <v>0.186086785296042</v>
      </c>
    </row>
    <row r="2156" spans="1:15" x14ac:dyDescent="0.3">
      <c r="A2156">
        <v>9121</v>
      </c>
      <c r="B2156">
        <v>680</v>
      </c>
      <c r="C2156">
        <v>279</v>
      </c>
      <c r="D2156" t="s">
        <v>23</v>
      </c>
      <c r="E2156" t="s">
        <v>16</v>
      </c>
      <c r="F2156" t="s">
        <v>17</v>
      </c>
      <c r="G2156" t="s">
        <v>22</v>
      </c>
      <c r="H2156">
        <v>273.8</v>
      </c>
      <c r="I2156">
        <v>248.5</v>
      </c>
      <c r="J2156">
        <v>97.9</v>
      </c>
      <c r="K2156">
        <v>65.5</v>
      </c>
      <c r="L2156">
        <v>24.9</v>
      </c>
      <c r="M2156">
        <v>4</v>
      </c>
      <c r="N2156">
        <v>0.24240033498528801</v>
      </c>
      <c r="O2156">
        <v>0.35960507677909698</v>
      </c>
    </row>
    <row r="2157" spans="1:15" x14ac:dyDescent="0.3">
      <c r="A2157">
        <v>9122</v>
      </c>
      <c r="B2157">
        <v>680</v>
      </c>
      <c r="C2157">
        <v>279</v>
      </c>
      <c r="D2157" t="s">
        <v>23</v>
      </c>
      <c r="E2157" t="s">
        <v>16</v>
      </c>
      <c r="F2157" t="s">
        <v>17</v>
      </c>
      <c r="G2157" t="s">
        <v>22</v>
      </c>
      <c r="H2157">
        <v>273.8</v>
      </c>
      <c r="I2157">
        <v>248.5</v>
      </c>
      <c r="J2157">
        <v>97.9</v>
      </c>
      <c r="K2157">
        <v>65.5</v>
      </c>
      <c r="L2157">
        <v>24.9</v>
      </c>
      <c r="M2157">
        <v>4</v>
      </c>
      <c r="N2157">
        <v>0.22473033022599001</v>
      </c>
      <c r="O2157">
        <v>0.39041408070622802</v>
      </c>
    </row>
    <row r="2158" spans="1:15" x14ac:dyDescent="0.3">
      <c r="A2158">
        <v>9123</v>
      </c>
      <c r="B2158">
        <v>680</v>
      </c>
      <c r="C2158">
        <v>279</v>
      </c>
      <c r="D2158" t="s">
        <v>23</v>
      </c>
      <c r="E2158" t="s">
        <v>16</v>
      </c>
      <c r="F2158" t="s">
        <v>17</v>
      </c>
      <c r="G2158" t="s">
        <v>22</v>
      </c>
      <c r="H2158">
        <v>273.8</v>
      </c>
      <c r="I2158">
        <v>248.5</v>
      </c>
      <c r="J2158">
        <v>97.9</v>
      </c>
      <c r="K2158">
        <v>65.5</v>
      </c>
      <c r="L2158">
        <v>24.9</v>
      </c>
      <c r="M2158">
        <v>4</v>
      </c>
      <c r="N2158">
        <v>0.23986712798408699</v>
      </c>
      <c r="O2158">
        <v>0.365943445045181</v>
      </c>
    </row>
    <row r="2159" spans="1:15" x14ac:dyDescent="0.3">
      <c r="A2159">
        <v>9127</v>
      </c>
      <c r="B2159">
        <v>683</v>
      </c>
      <c r="C2159">
        <v>387</v>
      </c>
      <c r="D2159" t="s">
        <v>19</v>
      </c>
      <c r="E2159" t="s">
        <v>16</v>
      </c>
      <c r="F2159" t="s">
        <v>17</v>
      </c>
      <c r="G2159" t="s">
        <v>26</v>
      </c>
      <c r="H2159">
        <v>275.2</v>
      </c>
      <c r="I2159">
        <v>249.5</v>
      </c>
      <c r="J2159">
        <v>96.8</v>
      </c>
      <c r="K2159">
        <v>66</v>
      </c>
      <c r="L2159">
        <v>25.3</v>
      </c>
      <c r="M2159">
        <v>8.5</v>
      </c>
      <c r="N2159">
        <v>8.5363986230837005E-2</v>
      </c>
      <c r="O2159">
        <v>9.0094995813730899E-2</v>
      </c>
    </row>
    <row r="2160" spans="1:15" x14ac:dyDescent="0.3">
      <c r="A2160">
        <v>9128</v>
      </c>
      <c r="B2160">
        <v>683</v>
      </c>
      <c r="C2160">
        <v>387</v>
      </c>
      <c r="D2160" t="s">
        <v>19</v>
      </c>
      <c r="E2160" t="s">
        <v>16</v>
      </c>
      <c r="F2160" t="s">
        <v>17</v>
      </c>
      <c r="G2160" t="s">
        <v>26</v>
      </c>
      <c r="H2160">
        <v>275.2</v>
      </c>
      <c r="I2160">
        <v>249.5</v>
      </c>
      <c r="J2160">
        <v>96.8</v>
      </c>
      <c r="K2160">
        <v>66</v>
      </c>
      <c r="L2160">
        <v>25.3</v>
      </c>
      <c r="M2160">
        <v>8.5</v>
      </c>
      <c r="N2160">
        <v>9.5710959360498102E-2</v>
      </c>
      <c r="O2160">
        <v>6.8584811872169499E-2</v>
      </c>
    </row>
    <row r="2161" spans="1:15" x14ac:dyDescent="0.3">
      <c r="A2161">
        <v>9129</v>
      </c>
      <c r="B2161">
        <v>683</v>
      </c>
      <c r="C2161">
        <v>387</v>
      </c>
      <c r="D2161" t="s">
        <v>19</v>
      </c>
      <c r="E2161" t="s">
        <v>16</v>
      </c>
      <c r="F2161" t="s">
        <v>17</v>
      </c>
      <c r="G2161" t="s">
        <v>26</v>
      </c>
      <c r="H2161">
        <v>275.2</v>
      </c>
      <c r="I2161">
        <v>249.5</v>
      </c>
      <c r="J2161">
        <v>96.8</v>
      </c>
      <c r="K2161">
        <v>66</v>
      </c>
      <c r="L2161">
        <v>25.3</v>
      </c>
      <c r="M2161">
        <v>8.5</v>
      </c>
      <c r="N2161">
        <v>8.8666927183242095E-2</v>
      </c>
      <c r="O2161">
        <v>8.3542954953034695E-2</v>
      </c>
    </row>
    <row r="2162" spans="1:15" x14ac:dyDescent="0.3">
      <c r="A2162">
        <v>9130</v>
      </c>
      <c r="B2162">
        <v>683</v>
      </c>
      <c r="C2162">
        <v>387</v>
      </c>
      <c r="D2162" t="s">
        <v>19</v>
      </c>
      <c r="E2162" t="s">
        <v>16</v>
      </c>
      <c r="F2162" t="s">
        <v>17</v>
      </c>
      <c r="G2162" t="s">
        <v>26</v>
      </c>
      <c r="H2162">
        <v>275.2</v>
      </c>
      <c r="I2162">
        <v>249.5</v>
      </c>
      <c r="J2162">
        <v>96.8</v>
      </c>
      <c r="K2162">
        <v>66</v>
      </c>
      <c r="L2162">
        <v>25.3</v>
      </c>
      <c r="M2162">
        <v>8.5</v>
      </c>
      <c r="N2162">
        <v>8.7942541486515896E-2</v>
      </c>
      <c r="O2162">
        <v>6.5104589118452405E-2</v>
      </c>
    </row>
    <row r="2163" spans="1:15" x14ac:dyDescent="0.3">
      <c r="A2163">
        <v>9131</v>
      </c>
      <c r="B2163">
        <v>683</v>
      </c>
      <c r="C2163">
        <v>387</v>
      </c>
      <c r="D2163" t="s">
        <v>19</v>
      </c>
      <c r="E2163" t="s">
        <v>16</v>
      </c>
      <c r="F2163" t="s">
        <v>17</v>
      </c>
      <c r="G2163" t="s">
        <v>26</v>
      </c>
      <c r="H2163">
        <v>275.2</v>
      </c>
      <c r="I2163">
        <v>249.5</v>
      </c>
      <c r="J2163">
        <v>96.8</v>
      </c>
      <c r="K2163">
        <v>66</v>
      </c>
      <c r="L2163">
        <v>25.3</v>
      </c>
      <c r="M2163">
        <v>8.5</v>
      </c>
      <c r="N2163">
        <v>6.6567439933806996E-2</v>
      </c>
      <c r="O2163">
        <v>5.4954007057110399E-2</v>
      </c>
    </row>
    <row r="2164" spans="1:15" x14ac:dyDescent="0.3">
      <c r="A2164">
        <v>9132</v>
      </c>
      <c r="B2164">
        <v>683</v>
      </c>
      <c r="C2164">
        <v>387</v>
      </c>
      <c r="D2164" t="s">
        <v>19</v>
      </c>
      <c r="E2164" t="s">
        <v>16</v>
      </c>
      <c r="F2164" t="s">
        <v>17</v>
      </c>
      <c r="G2164" t="s">
        <v>26</v>
      </c>
      <c r="H2164">
        <v>275.2</v>
      </c>
      <c r="I2164">
        <v>249.5</v>
      </c>
      <c r="J2164">
        <v>96.8</v>
      </c>
      <c r="K2164">
        <v>66</v>
      </c>
      <c r="L2164">
        <v>25.3</v>
      </c>
      <c r="M2164">
        <v>8.5</v>
      </c>
      <c r="N2164">
        <v>8.3717969387375996E-2</v>
      </c>
      <c r="O2164">
        <v>8.2614986695718901E-2</v>
      </c>
    </row>
    <row r="2165" spans="1:15" x14ac:dyDescent="0.3">
      <c r="A2165">
        <v>9136</v>
      </c>
      <c r="B2165">
        <v>684</v>
      </c>
      <c r="C2165">
        <v>61</v>
      </c>
      <c r="D2165" t="s">
        <v>23</v>
      </c>
      <c r="E2165" t="s">
        <v>20</v>
      </c>
      <c r="F2165" t="s">
        <v>21</v>
      </c>
      <c r="G2165" t="s">
        <v>24</v>
      </c>
      <c r="H2165">
        <v>272.3</v>
      </c>
      <c r="I2165">
        <v>239</v>
      </c>
      <c r="J2165">
        <v>94.1</v>
      </c>
      <c r="K2165">
        <v>68</v>
      </c>
      <c r="L2165">
        <v>23.9</v>
      </c>
      <c r="M2165">
        <v>4.5</v>
      </c>
      <c r="N2165">
        <v>0.30544700013742698</v>
      </c>
      <c r="O2165">
        <v>0.39041774417221198</v>
      </c>
    </row>
    <row r="2166" spans="1:15" x14ac:dyDescent="0.3">
      <c r="A2166">
        <v>9151</v>
      </c>
      <c r="B2166">
        <v>690</v>
      </c>
      <c r="C2166">
        <v>335</v>
      </c>
      <c r="D2166" t="s">
        <v>19</v>
      </c>
      <c r="E2166" t="s">
        <v>20</v>
      </c>
      <c r="F2166" t="s">
        <v>17</v>
      </c>
      <c r="G2166" t="s">
        <v>22</v>
      </c>
      <c r="H2166">
        <v>278.5</v>
      </c>
      <c r="I2166">
        <v>240.5</v>
      </c>
      <c r="J2166">
        <v>94.4</v>
      </c>
      <c r="K2166">
        <v>69</v>
      </c>
      <c r="L2166">
        <v>25.8</v>
      </c>
      <c r="M2166">
        <v>8.5</v>
      </c>
      <c r="N2166">
        <v>4.7251269871050203E-2</v>
      </c>
      <c r="O2166">
        <v>1.60914579036367E-2</v>
      </c>
    </row>
    <row r="2167" spans="1:15" x14ac:dyDescent="0.3">
      <c r="A2167">
        <v>9152</v>
      </c>
      <c r="B2167">
        <v>690</v>
      </c>
      <c r="C2167">
        <v>335</v>
      </c>
      <c r="D2167" t="s">
        <v>19</v>
      </c>
      <c r="E2167" t="s">
        <v>20</v>
      </c>
      <c r="F2167" t="s">
        <v>17</v>
      </c>
      <c r="G2167" t="s">
        <v>22</v>
      </c>
      <c r="H2167">
        <v>278.5</v>
      </c>
      <c r="I2167">
        <v>240.5</v>
      </c>
      <c r="J2167">
        <v>94.4</v>
      </c>
      <c r="K2167">
        <v>69</v>
      </c>
      <c r="L2167">
        <v>25.8</v>
      </c>
      <c r="M2167">
        <v>8.5</v>
      </c>
      <c r="N2167">
        <v>4.6431035223424497E-2</v>
      </c>
      <c r="O2167">
        <v>3.2978944938003803E-2</v>
      </c>
    </row>
    <row r="2168" spans="1:15" x14ac:dyDescent="0.3">
      <c r="A2168">
        <v>9154</v>
      </c>
      <c r="B2168">
        <v>692</v>
      </c>
      <c r="C2168">
        <v>314</v>
      </c>
      <c r="D2168" t="s">
        <v>19</v>
      </c>
      <c r="E2168" t="s">
        <v>20</v>
      </c>
      <c r="F2168" t="s">
        <v>21</v>
      </c>
      <c r="G2168" t="s">
        <v>18</v>
      </c>
      <c r="H2168">
        <v>273.5</v>
      </c>
      <c r="I2168">
        <v>251.5</v>
      </c>
      <c r="J2168">
        <v>97.5</v>
      </c>
      <c r="K2168">
        <v>65</v>
      </c>
      <c r="L2168">
        <v>25.5</v>
      </c>
      <c r="M2168">
        <v>13</v>
      </c>
      <c r="N2168">
        <v>0.24824201577631999</v>
      </c>
      <c r="O2168">
        <v>8.5532179005109898E-2</v>
      </c>
    </row>
    <row r="2169" spans="1:15" x14ac:dyDescent="0.3">
      <c r="A2169">
        <v>9155</v>
      </c>
      <c r="B2169">
        <v>692</v>
      </c>
      <c r="C2169">
        <v>314</v>
      </c>
      <c r="D2169" t="s">
        <v>19</v>
      </c>
      <c r="E2169" t="s">
        <v>20</v>
      </c>
      <c r="F2169" t="s">
        <v>21</v>
      </c>
      <c r="G2169" t="s">
        <v>18</v>
      </c>
      <c r="H2169">
        <v>273.5</v>
      </c>
      <c r="I2169">
        <v>251.5</v>
      </c>
      <c r="J2169">
        <v>97.5</v>
      </c>
      <c r="K2169">
        <v>65</v>
      </c>
      <c r="L2169">
        <v>25.5</v>
      </c>
      <c r="M2169">
        <v>13</v>
      </c>
      <c r="N2169">
        <v>0.244280418875997</v>
      </c>
      <c r="O2169">
        <v>9.3013246757945603E-2</v>
      </c>
    </row>
    <row r="2170" spans="1:15" x14ac:dyDescent="0.3">
      <c r="A2170">
        <v>9156</v>
      </c>
      <c r="B2170">
        <v>692</v>
      </c>
      <c r="C2170">
        <v>314</v>
      </c>
      <c r="D2170" t="s">
        <v>19</v>
      </c>
      <c r="E2170" t="s">
        <v>20</v>
      </c>
      <c r="F2170" t="s">
        <v>21</v>
      </c>
      <c r="G2170" t="s">
        <v>18</v>
      </c>
      <c r="H2170">
        <v>273.5</v>
      </c>
      <c r="I2170">
        <v>251.5</v>
      </c>
      <c r="J2170">
        <v>97.5</v>
      </c>
      <c r="K2170">
        <v>65</v>
      </c>
      <c r="L2170">
        <v>25.5</v>
      </c>
      <c r="M2170">
        <v>13</v>
      </c>
      <c r="N2170">
        <v>0.25055640417399899</v>
      </c>
      <c r="O2170">
        <v>9.2969217017465605E-2</v>
      </c>
    </row>
    <row r="2171" spans="1:15" x14ac:dyDescent="0.3">
      <c r="A2171">
        <v>9169</v>
      </c>
      <c r="B2171">
        <v>697</v>
      </c>
      <c r="C2171">
        <v>300</v>
      </c>
      <c r="D2171" t="s">
        <v>23</v>
      </c>
      <c r="E2171" t="s">
        <v>16</v>
      </c>
      <c r="F2171" t="s">
        <v>17</v>
      </c>
      <c r="G2171" t="s">
        <v>26</v>
      </c>
      <c r="H2171">
        <v>271.5</v>
      </c>
      <c r="I2171">
        <v>258.5</v>
      </c>
      <c r="J2171">
        <v>98.7</v>
      </c>
      <c r="K2171">
        <v>64</v>
      </c>
      <c r="L2171">
        <v>23.3</v>
      </c>
      <c r="M2171">
        <v>8.5</v>
      </c>
      <c r="N2171">
        <v>0.24347708950152799</v>
      </c>
      <c r="O2171">
        <v>0.21588114973014599</v>
      </c>
    </row>
    <row r="2172" spans="1:15" x14ac:dyDescent="0.3">
      <c r="A2172">
        <v>9170</v>
      </c>
      <c r="B2172">
        <v>697</v>
      </c>
      <c r="C2172">
        <v>300</v>
      </c>
      <c r="D2172" t="s">
        <v>23</v>
      </c>
      <c r="E2172" t="s">
        <v>16</v>
      </c>
      <c r="F2172" t="s">
        <v>17</v>
      </c>
      <c r="G2172" t="s">
        <v>26</v>
      </c>
      <c r="H2172">
        <v>271.5</v>
      </c>
      <c r="I2172">
        <v>258.5</v>
      </c>
      <c r="J2172">
        <v>98.7</v>
      </c>
      <c r="K2172">
        <v>64</v>
      </c>
      <c r="L2172">
        <v>23.3</v>
      </c>
      <c r="M2172">
        <v>8.5</v>
      </c>
      <c r="N2172">
        <v>0.22234622995659201</v>
      </c>
      <c r="O2172">
        <v>0.20455177100566499</v>
      </c>
    </row>
    <row r="2173" spans="1:15" x14ac:dyDescent="0.3">
      <c r="A2173">
        <v>9200</v>
      </c>
      <c r="B2173">
        <v>708</v>
      </c>
      <c r="C2173">
        <v>12</v>
      </c>
      <c r="D2173" t="s">
        <v>19</v>
      </c>
      <c r="E2173" t="s">
        <v>16</v>
      </c>
      <c r="F2173" t="s">
        <v>21</v>
      </c>
      <c r="G2173" t="s">
        <v>25</v>
      </c>
      <c r="H2173">
        <v>280.39999999999998</v>
      </c>
      <c r="I2173">
        <v>260</v>
      </c>
      <c r="J2173">
        <v>102.4</v>
      </c>
      <c r="K2173">
        <v>69.5</v>
      </c>
      <c r="L2173">
        <v>28.2</v>
      </c>
      <c r="M2173">
        <v>9</v>
      </c>
      <c r="N2173">
        <v>0.13916808573616299</v>
      </c>
      <c r="O2173">
        <v>0.13186181179002199</v>
      </c>
    </row>
    <row r="2174" spans="1:15" x14ac:dyDescent="0.3">
      <c r="A2174">
        <v>9210</v>
      </c>
      <c r="B2174">
        <v>713</v>
      </c>
      <c r="C2174">
        <v>395</v>
      </c>
      <c r="D2174" t="s">
        <v>23</v>
      </c>
      <c r="E2174" t="s">
        <v>20</v>
      </c>
      <c r="F2174" t="s">
        <v>21</v>
      </c>
      <c r="G2174" t="s">
        <v>22</v>
      </c>
      <c r="H2174">
        <v>273.60000000000002</v>
      </c>
      <c r="I2174">
        <v>247</v>
      </c>
      <c r="J2174">
        <v>94</v>
      </c>
      <c r="K2174">
        <v>68</v>
      </c>
      <c r="L2174">
        <v>26.7</v>
      </c>
      <c r="M2174">
        <v>7.5</v>
      </c>
      <c r="N2174">
        <v>0.18319549808199301</v>
      </c>
      <c r="O2174">
        <v>0.35209324305280698</v>
      </c>
    </row>
    <row r="2175" spans="1:15" x14ac:dyDescent="0.3">
      <c r="A2175">
        <v>9211</v>
      </c>
      <c r="B2175">
        <v>713</v>
      </c>
      <c r="C2175">
        <v>395</v>
      </c>
      <c r="D2175" t="s">
        <v>23</v>
      </c>
      <c r="E2175" t="s">
        <v>20</v>
      </c>
      <c r="F2175" t="s">
        <v>21</v>
      </c>
      <c r="G2175" t="s">
        <v>22</v>
      </c>
      <c r="H2175">
        <v>273.60000000000002</v>
      </c>
      <c r="I2175">
        <v>247</v>
      </c>
      <c r="J2175">
        <v>94</v>
      </c>
      <c r="K2175">
        <v>68</v>
      </c>
      <c r="L2175">
        <v>26.7</v>
      </c>
      <c r="M2175">
        <v>7.5</v>
      </c>
      <c r="N2175">
        <v>0.173220189533701</v>
      </c>
      <c r="O2175">
        <v>0.35026193487352902</v>
      </c>
    </row>
    <row r="2176" spans="1:15" x14ac:dyDescent="0.3">
      <c r="A2176">
        <v>9212</v>
      </c>
      <c r="B2176">
        <v>714</v>
      </c>
      <c r="C2176">
        <v>358</v>
      </c>
      <c r="D2176" t="s">
        <v>15</v>
      </c>
      <c r="E2176" t="s">
        <v>16</v>
      </c>
      <c r="F2176" t="s">
        <v>17</v>
      </c>
      <c r="G2176" t="s">
        <v>22</v>
      </c>
      <c r="H2176">
        <v>278.10000000000002</v>
      </c>
      <c r="I2176">
        <v>245.5</v>
      </c>
      <c r="J2176">
        <v>93.1</v>
      </c>
      <c r="K2176">
        <v>70</v>
      </c>
      <c r="L2176">
        <v>26.1</v>
      </c>
      <c r="M2176">
        <v>1</v>
      </c>
      <c r="N2176">
        <v>0.17266354342845</v>
      </c>
      <c r="O2176">
        <v>3.5053301020752402E-2</v>
      </c>
    </row>
    <row r="2177" spans="1:15" x14ac:dyDescent="0.3">
      <c r="A2177">
        <v>9213</v>
      </c>
      <c r="B2177">
        <v>714</v>
      </c>
      <c r="C2177">
        <v>358</v>
      </c>
      <c r="D2177" t="s">
        <v>15</v>
      </c>
      <c r="E2177" t="s">
        <v>16</v>
      </c>
      <c r="F2177" t="s">
        <v>17</v>
      </c>
      <c r="G2177" t="s">
        <v>22</v>
      </c>
      <c r="H2177">
        <v>278.10000000000002</v>
      </c>
      <c r="I2177">
        <v>245.5</v>
      </c>
      <c r="J2177">
        <v>93.1</v>
      </c>
      <c r="K2177">
        <v>70</v>
      </c>
      <c r="L2177">
        <v>26.1</v>
      </c>
      <c r="M2177">
        <v>1</v>
      </c>
      <c r="N2177">
        <v>0.16096102195961301</v>
      </c>
      <c r="O2177">
        <v>3.8943450800446297E-2</v>
      </c>
    </row>
    <row r="2178" spans="1:15" x14ac:dyDescent="0.3">
      <c r="A2178">
        <v>9214</v>
      </c>
      <c r="B2178">
        <v>714</v>
      </c>
      <c r="C2178">
        <v>358</v>
      </c>
      <c r="D2178" t="s">
        <v>15</v>
      </c>
      <c r="E2178" t="s">
        <v>16</v>
      </c>
      <c r="F2178" t="s">
        <v>17</v>
      </c>
      <c r="G2178" t="s">
        <v>22</v>
      </c>
      <c r="H2178">
        <v>278.10000000000002</v>
      </c>
      <c r="I2178">
        <v>245.5</v>
      </c>
      <c r="J2178">
        <v>93.1</v>
      </c>
      <c r="K2178">
        <v>70</v>
      </c>
      <c r="L2178">
        <v>26.1</v>
      </c>
      <c r="M2178">
        <v>1</v>
      </c>
      <c r="N2178">
        <v>0.190340596430605</v>
      </c>
      <c r="O2178">
        <v>7.1053423595580697E-3</v>
      </c>
    </row>
    <row r="2179" spans="1:15" x14ac:dyDescent="0.3">
      <c r="A2179">
        <v>9215</v>
      </c>
      <c r="B2179">
        <v>714</v>
      </c>
      <c r="C2179">
        <v>358</v>
      </c>
      <c r="D2179" t="s">
        <v>15</v>
      </c>
      <c r="E2179" t="s">
        <v>16</v>
      </c>
      <c r="F2179" t="s">
        <v>17</v>
      </c>
      <c r="G2179" t="s">
        <v>22</v>
      </c>
      <c r="H2179">
        <v>278.10000000000002</v>
      </c>
      <c r="I2179">
        <v>245.5</v>
      </c>
      <c r="J2179">
        <v>93.1</v>
      </c>
      <c r="K2179">
        <v>70</v>
      </c>
      <c r="L2179">
        <v>26.1</v>
      </c>
      <c r="M2179">
        <v>1</v>
      </c>
      <c r="N2179">
        <v>0.178748366066311</v>
      </c>
      <c r="O2179">
        <v>2.1119370233911701E-2</v>
      </c>
    </row>
    <row r="2180" spans="1:15" x14ac:dyDescent="0.3">
      <c r="A2180">
        <v>9216</v>
      </c>
      <c r="B2180">
        <v>714</v>
      </c>
      <c r="C2180">
        <v>358</v>
      </c>
      <c r="D2180" t="s">
        <v>15</v>
      </c>
      <c r="E2180" t="s">
        <v>16</v>
      </c>
      <c r="F2180" t="s">
        <v>17</v>
      </c>
      <c r="G2180" t="s">
        <v>22</v>
      </c>
      <c r="H2180">
        <v>278.10000000000002</v>
      </c>
      <c r="I2180">
        <v>245.5</v>
      </c>
      <c r="J2180">
        <v>93.1</v>
      </c>
      <c r="K2180">
        <v>70</v>
      </c>
      <c r="L2180">
        <v>26.1</v>
      </c>
      <c r="M2180">
        <v>1</v>
      </c>
      <c r="N2180">
        <v>0.176490564067803</v>
      </c>
      <c r="O2180">
        <v>4.12516987013462E-2</v>
      </c>
    </row>
    <row r="2181" spans="1:15" x14ac:dyDescent="0.3">
      <c r="A2181">
        <v>9217</v>
      </c>
      <c r="B2181">
        <v>714</v>
      </c>
      <c r="C2181">
        <v>358</v>
      </c>
      <c r="D2181" t="s">
        <v>15</v>
      </c>
      <c r="E2181" t="s">
        <v>16</v>
      </c>
      <c r="F2181" t="s">
        <v>17</v>
      </c>
      <c r="G2181" t="s">
        <v>22</v>
      </c>
      <c r="H2181">
        <v>278.10000000000002</v>
      </c>
      <c r="I2181">
        <v>245.5</v>
      </c>
      <c r="J2181">
        <v>93.1</v>
      </c>
      <c r="K2181">
        <v>70</v>
      </c>
      <c r="L2181">
        <v>26.1</v>
      </c>
      <c r="M2181">
        <v>1</v>
      </c>
      <c r="N2181">
        <v>0.16966950858975099</v>
      </c>
      <c r="O2181">
        <v>3.7997152298831501E-2</v>
      </c>
    </row>
    <row r="2182" spans="1:15" x14ac:dyDescent="0.3">
      <c r="A2182">
        <v>9222</v>
      </c>
      <c r="B2182">
        <v>716</v>
      </c>
      <c r="C2182">
        <v>310</v>
      </c>
      <c r="D2182" t="s">
        <v>19</v>
      </c>
      <c r="E2182" t="s">
        <v>20</v>
      </c>
      <c r="F2182" t="s">
        <v>21</v>
      </c>
      <c r="G2182" t="s">
        <v>22</v>
      </c>
      <c r="H2182">
        <v>273.60000000000002</v>
      </c>
      <c r="I2182">
        <v>255</v>
      </c>
      <c r="J2182">
        <v>95.2</v>
      </c>
      <c r="K2182">
        <v>63.5</v>
      </c>
      <c r="L2182">
        <v>27</v>
      </c>
      <c r="M2182">
        <v>11.5</v>
      </c>
      <c r="N2182">
        <v>4.4506388139868902E-2</v>
      </c>
      <c r="O2182">
        <v>0.111939526556463</v>
      </c>
    </row>
    <row r="2183" spans="1:15" x14ac:dyDescent="0.3">
      <c r="A2183">
        <v>9223</v>
      </c>
      <c r="B2183">
        <v>716</v>
      </c>
      <c r="C2183">
        <v>310</v>
      </c>
      <c r="D2183" t="s">
        <v>19</v>
      </c>
      <c r="E2183" t="s">
        <v>20</v>
      </c>
      <c r="F2183" t="s">
        <v>21</v>
      </c>
      <c r="G2183" t="s">
        <v>22</v>
      </c>
      <c r="H2183">
        <v>273.60000000000002</v>
      </c>
      <c r="I2183">
        <v>255</v>
      </c>
      <c r="J2183">
        <v>95.2</v>
      </c>
      <c r="K2183">
        <v>63.5</v>
      </c>
      <c r="L2183">
        <v>27</v>
      </c>
      <c r="M2183">
        <v>11.5</v>
      </c>
      <c r="N2183">
        <v>4.2477527646447598E-2</v>
      </c>
      <c r="O2183">
        <v>0.12771087195217101</v>
      </c>
    </row>
    <row r="2184" spans="1:15" x14ac:dyDescent="0.3">
      <c r="A2184">
        <v>9232</v>
      </c>
      <c r="B2184">
        <v>72</v>
      </c>
      <c r="C2184">
        <v>350</v>
      </c>
      <c r="D2184" t="s">
        <v>23</v>
      </c>
      <c r="E2184" t="s">
        <v>16</v>
      </c>
      <c r="F2184" t="s">
        <v>21</v>
      </c>
      <c r="G2184" t="s">
        <v>22</v>
      </c>
      <c r="H2184">
        <v>271.60000000000002</v>
      </c>
      <c r="I2184">
        <v>240.5</v>
      </c>
      <c r="J2184">
        <v>93.3</v>
      </c>
      <c r="K2184">
        <v>65</v>
      </c>
      <c r="L2184">
        <v>23.4</v>
      </c>
      <c r="M2184">
        <v>7.5</v>
      </c>
      <c r="N2184">
        <v>0.280385646530739</v>
      </c>
      <c r="O2184">
        <v>0.376741944164728</v>
      </c>
    </row>
    <row r="2185" spans="1:15" x14ac:dyDescent="0.3">
      <c r="A2185">
        <v>9233</v>
      </c>
      <c r="B2185">
        <v>72</v>
      </c>
      <c r="C2185">
        <v>350</v>
      </c>
      <c r="D2185" t="s">
        <v>23</v>
      </c>
      <c r="E2185" t="s">
        <v>16</v>
      </c>
      <c r="F2185" t="s">
        <v>21</v>
      </c>
      <c r="G2185" t="s">
        <v>22</v>
      </c>
      <c r="H2185">
        <v>271.60000000000002</v>
      </c>
      <c r="I2185">
        <v>240.5</v>
      </c>
      <c r="J2185">
        <v>93.3</v>
      </c>
      <c r="K2185">
        <v>65</v>
      </c>
      <c r="L2185">
        <v>23.4</v>
      </c>
      <c r="M2185">
        <v>7.5</v>
      </c>
      <c r="N2185">
        <v>0.28613222318892001</v>
      </c>
      <c r="O2185">
        <v>0.40655536020472099</v>
      </c>
    </row>
    <row r="2186" spans="1:15" x14ac:dyDescent="0.3">
      <c r="A2186">
        <v>9234</v>
      </c>
      <c r="B2186">
        <v>72</v>
      </c>
      <c r="C2186">
        <v>350</v>
      </c>
      <c r="D2186" t="s">
        <v>23</v>
      </c>
      <c r="E2186" t="s">
        <v>16</v>
      </c>
      <c r="F2186" t="s">
        <v>21</v>
      </c>
      <c r="G2186" t="s">
        <v>22</v>
      </c>
      <c r="H2186">
        <v>271.60000000000002</v>
      </c>
      <c r="I2186">
        <v>240.5</v>
      </c>
      <c r="J2186">
        <v>93.3</v>
      </c>
      <c r="K2186">
        <v>65</v>
      </c>
      <c r="L2186">
        <v>23.4</v>
      </c>
      <c r="M2186">
        <v>7.5</v>
      </c>
      <c r="N2186">
        <v>0.27142469685870302</v>
      </c>
      <c r="O2186">
        <v>0.38422361666066002</v>
      </c>
    </row>
    <row r="2187" spans="1:15" x14ac:dyDescent="0.3">
      <c r="A2187">
        <v>9235</v>
      </c>
      <c r="B2187">
        <v>72</v>
      </c>
      <c r="C2187">
        <v>350</v>
      </c>
      <c r="D2187" t="s">
        <v>23</v>
      </c>
      <c r="E2187" t="s">
        <v>16</v>
      </c>
      <c r="F2187" t="s">
        <v>21</v>
      </c>
      <c r="G2187" t="s">
        <v>22</v>
      </c>
      <c r="H2187">
        <v>271.60000000000002</v>
      </c>
      <c r="I2187">
        <v>240.5</v>
      </c>
      <c r="J2187">
        <v>93.3</v>
      </c>
      <c r="K2187">
        <v>65</v>
      </c>
      <c r="L2187">
        <v>23.4</v>
      </c>
      <c r="M2187">
        <v>7.5</v>
      </c>
      <c r="N2187">
        <v>0.25957605485364299</v>
      </c>
      <c r="O2187">
        <v>0.38986658756215498</v>
      </c>
    </row>
    <row r="2188" spans="1:15" x14ac:dyDescent="0.3">
      <c r="A2188">
        <v>9240</v>
      </c>
      <c r="B2188">
        <v>721</v>
      </c>
      <c r="C2188">
        <v>332</v>
      </c>
      <c r="D2188" t="s">
        <v>15</v>
      </c>
      <c r="E2188" t="s">
        <v>16</v>
      </c>
      <c r="F2188" t="s">
        <v>21</v>
      </c>
      <c r="G2188" t="s">
        <v>18</v>
      </c>
      <c r="H2188">
        <v>276.8</v>
      </c>
      <c r="I2188">
        <v>249.5</v>
      </c>
      <c r="J2188">
        <v>91.1</v>
      </c>
      <c r="K2188">
        <v>65.5</v>
      </c>
      <c r="L2188">
        <v>24.7</v>
      </c>
      <c r="M2188">
        <v>8.5</v>
      </c>
      <c r="N2188">
        <v>0.12432598831613299</v>
      </c>
      <c r="O2188">
        <v>0.13183348735570399</v>
      </c>
    </row>
    <row r="2189" spans="1:15" x14ac:dyDescent="0.3">
      <c r="A2189">
        <v>9241</v>
      </c>
      <c r="B2189">
        <v>721</v>
      </c>
      <c r="C2189">
        <v>332</v>
      </c>
      <c r="D2189" t="s">
        <v>15</v>
      </c>
      <c r="E2189" t="s">
        <v>16</v>
      </c>
      <c r="F2189" t="s">
        <v>21</v>
      </c>
      <c r="G2189" t="s">
        <v>18</v>
      </c>
      <c r="H2189">
        <v>276.8</v>
      </c>
      <c r="I2189">
        <v>249.5</v>
      </c>
      <c r="J2189">
        <v>91.1</v>
      </c>
      <c r="K2189">
        <v>65.5</v>
      </c>
      <c r="L2189">
        <v>24.7</v>
      </c>
      <c r="M2189">
        <v>8.5</v>
      </c>
      <c r="N2189">
        <v>0.12521960519241901</v>
      </c>
      <c r="O2189">
        <v>0.10470468610985099</v>
      </c>
    </row>
    <row r="2190" spans="1:15" x14ac:dyDescent="0.3">
      <c r="A2190">
        <v>9242</v>
      </c>
      <c r="B2190">
        <v>722</v>
      </c>
      <c r="C2190">
        <v>368</v>
      </c>
      <c r="D2190" t="s">
        <v>19</v>
      </c>
      <c r="E2190" t="s">
        <v>16</v>
      </c>
      <c r="F2190" t="s">
        <v>21</v>
      </c>
      <c r="G2190" t="s">
        <v>18</v>
      </c>
      <c r="H2190">
        <v>273.3</v>
      </c>
      <c r="I2190">
        <v>249</v>
      </c>
      <c r="J2190">
        <v>98.9</v>
      </c>
      <c r="K2190">
        <v>68.5</v>
      </c>
      <c r="L2190">
        <v>23.8</v>
      </c>
      <c r="M2190">
        <v>9</v>
      </c>
      <c r="N2190">
        <v>0.131263469730834</v>
      </c>
      <c r="O2190">
        <v>3.4435803290267103E-2</v>
      </c>
    </row>
    <row r="2191" spans="1:15" x14ac:dyDescent="0.3">
      <c r="A2191">
        <v>9243</v>
      </c>
      <c r="B2191">
        <v>722</v>
      </c>
      <c r="C2191">
        <v>368</v>
      </c>
      <c r="D2191" t="s">
        <v>19</v>
      </c>
      <c r="E2191" t="s">
        <v>16</v>
      </c>
      <c r="F2191" t="s">
        <v>21</v>
      </c>
      <c r="G2191" t="s">
        <v>18</v>
      </c>
      <c r="H2191">
        <v>273.3</v>
      </c>
      <c r="I2191">
        <v>249</v>
      </c>
      <c r="J2191">
        <v>98.9</v>
      </c>
      <c r="K2191">
        <v>68.5</v>
      </c>
      <c r="L2191">
        <v>23.8</v>
      </c>
      <c r="M2191">
        <v>9</v>
      </c>
      <c r="N2191">
        <v>0.151261643644795</v>
      </c>
      <c r="O2191">
        <v>3.0544567114174501E-2</v>
      </c>
    </row>
    <row r="2192" spans="1:15" x14ac:dyDescent="0.3">
      <c r="A2192">
        <v>9244</v>
      </c>
      <c r="B2192">
        <v>722</v>
      </c>
      <c r="C2192">
        <v>368</v>
      </c>
      <c r="D2192" t="s">
        <v>19</v>
      </c>
      <c r="E2192" t="s">
        <v>16</v>
      </c>
      <c r="F2192" t="s">
        <v>21</v>
      </c>
      <c r="G2192" t="s">
        <v>18</v>
      </c>
      <c r="H2192">
        <v>273.3</v>
      </c>
      <c r="I2192">
        <v>249</v>
      </c>
      <c r="J2192">
        <v>98.9</v>
      </c>
      <c r="K2192">
        <v>68.5</v>
      </c>
      <c r="L2192">
        <v>23.8</v>
      </c>
      <c r="M2192">
        <v>9</v>
      </c>
      <c r="N2192">
        <v>0.15798501801682899</v>
      </c>
      <c r="O2192">
        <v>3.6143076882591697E-2</v>
      </c>
    </row>
    <row r="2193" spans="1:15" x14ac:dyDescent="0.3">
      <c r="A2193">
        <v>9245</v>
      </c>
      <c r="B2193">
        <v>724</v>
      </c>
      <c r="C2193">
        <v>269</v>
      </c>
      <c r="D2193" t="s">
        <v>19</v>
      </c>
      <c r="E2193" t="s">
        <v>20</v>
      </c>
      <c r="F2193" t="s">
        <v>21</v>
      </c>
      <c r="G2193" t="s">
        <v>26</v>
      </c>
      <c r="H2193">
        <v>273.8</v>
      </c>
      <c r="I2193">
        <v>243</v>
      </c>
      <c r="J2193">
        <v>91.5</v>
      </c>
      <c r="K2193">
        <v>66</v>
      </c>
      <c r="L2193">
        <v>24.8</v>
      </c>
      <c r="M2193">
        <v>8.5</v>
      </c>
      <c r="N2193">
        <v>9.2008886612576293E-2</v>
      </c>
      <c r="O2193">
        <v>0.15146935722986599</v>
      </c>
    </row>
    <row r="2194" spans="1:15" x14ac:dyDescent="0.3">
      <c r="A2194">
        <v>9246</v>
      </c>
      <c r="B2194">
        <v>725</v>
      </c>
      <c r="C2194">
        <v>26</v>
      </c>
      <c r="D2194" t="s">
        <v>23</v>
      </c>
      <c r="E2194" t="s">
        <v>20</v>
      </c>
      <c r="F2194" t="s">
        <v>17</v>
      </c>
      <c r="G2194" t="s">
        <v>24</v>
      </c>
      <c r="H2194">
        <v>270.5</v>
      </c>
      <c r="I2194">
        <v>243.5</v>
      </c>
      <c r="J2194">
        <v>95.9</v>
      </c>
      <c r="K2194">
        <v>66</v>
      </c>
      <c r="L2194">
        <v>26.9</v>
      </c>
      <c r="M2194">
        <v>6</v>
      </c>
      <c r="N2194">
        <v>0.18664227189422</v>
      </c>
      <c r="O2194">
        <v>0.36002208379707601</v>
      </c>
    </row>
    <row r="2195" spans="1:15" x14ac:dyDescent="0.3">
      <c r="A2195">
        <v>9247</v>
      </c>
      <c r="B2195">
        <v>725</v>
      </c>
      <c r="C2195">
        <v>26</v>
      </c>
      <c r="D2195" t="s">
        <v>23</v>
      </c>
      <c r="E2195" t="s">
        <v>20</v>
      </c>
      <c r="F2195" t="s">
        <v>17</v>
      </c>
      <c r="G2195" t="s">
        <v>24</v>
      </c>
      <c r="H2195">
        <v>270.5</v>
      </c>
      <c r="I2195">
        <v>243.5</v>
      </c>
      <c r="J2195">
        <v>95.9</v>
      </c>
      <c r="K2195">
        <v>66</v>
      </c>
      <c r="L2195">
        <v>26.9</v>
      </c>
      <c r="M2195">
        <v>6</v>
      </c>
      <c r="N2195">
        <v>0.20409168641888001</v>
      </c>
      <c r="O2195">
        <v>0.36369274812430502</v>
      </c>
    </row>
    <row r="2196" spans="1:15" x14ac:dyDescent="0.3">
      <c r="A2196">
        <v>9248</v>
      </c>
      <c r="B2196">
        <v>725</v>
      </c>
      <c r="C2196">
        <v>26</v>
      </c>
      <c r="D2196" t="s">
        <v>23</v>
      </c>
      <c r="E2196" t="s">
        <v>20</v>
      </c>
      <c r="F2196" t="s">
        <v>17</v>
      </c>
      <c r="G2196" t="s">
        <v>24</v>
      </c>
      <c r="H2196">
        <v>270.5</v>
      </c>
      <c r="I2196">
        <v>243.5</v>
      </c>
      <c r="J2196">
        <v>95.9</v>
      </c>
      <c r="K2196">
        <v>66</v>
      </c>
      <c r="L2196">
        <v>26.9</v>
      </c>
      <c r="M2196">
        <v>6</v>
      </c>
      <c r="N2196">
        <v>0.183693793905021</v>
      </c>
      <c r="O2196">
        <v>0.39119880925452899</v>
      </c>
    </row>
    <row r="2197" spans="1:15" x14ac:dyDescent="0.3">
      <c r="A2197">
        <v>9249</v>
      </c>
      <c r="B2197">
        <v>725</v>
      </c>
      <c r="C2197">
        <v>26</v>
      </c>
      <c r="D2197" t="s">
        <v>23</v>
      </c>
      <c r="E2197" t="s">
        <v>20</v>
      </c>
      <c r="F2197" t="s">
        <v>17</v>
      </c>
      <c r="G2197" t="s">
        <v>24</v>
      </c>
      <c r="H2197">
        <v>270.5</v>
      </c>
      <c r="I2197">
        <v>243.5</v>
      </c>
      <c r="J2197">
        <v>95.9</v>
      </c>
      <c r="K2197">
        <v>66</v>
      </c>
      <c r="L2197">
        <v>26.9</v>
      </c>
      <c r="M2197">
        <v>6</v>
      </c>
      <c r="N2197">
        <v>0.20193145865790199</v>
      </c>
      <c r="O2197">
        <v>0.36504925612685701</v>
      </c>
    </row>
    <row r="2198" spans="1:15" x14ac:dyDescent="0.3">
      <c r="A2198">
        <v>9258</v>
      </c>
      <c r="B2198">
        <v>729</v>
      </c>
      <c r="C2198">
        <v>400</v>
      </c>
      <c r="D2198" t="s">
        <v>19</v>
      </c>
      <c r="E2198" t="s">
        <v>20</v>
      </c>
      <c r="F2198" t="s">
        <v>21</v>
      </c>
      <c r="G2198" t="s">
        <v>18</v>
      </c>
      <c r="H2198">
        <v>274.10000000000002</v>
      </c>
      <c r="I2198">
        <v>253</v>
      </c>
      <c r="J2198">
        <v>96.6</v>
      </c>
      <c r="K2198">
        <v>66.5</v>
      </c>
      <c r="L2198">
        <v>25.5</v>
      </c>
      <c r="M2198">
        <v>12</v>
      </c>
      <c r="N2198">
        <v>6.6522133222574803E-2</v>
      </c>
      <c r="O2198">
        <v>8.0285515326041806E-2</v>
      </c>
    </row>
    <row r="2199" spans="1:15" x14ac:dyDescent="0.3">
      <c r="A2199">
        <v>9259</v>
      </c>
      <c r="B2199">
        <v>73</v>
      </c>
      <c r="C2199">
        <v>395</v>
      </c>
      <c r="D2199" t="s">
        <v>23</v>
      </c>
      <c r="E2199" t="s">
        <v>20</v>
      </c>
      <c r="F2199" t="s">
        <v>17</v>
      </c>
      <c r="G2199" t="s">
        <v>18</v>
      </c>
      <c r="H2199">
        <v>273.60000000000002</v>
      </c>
      <c r="I2199">
        <v>247</v>
      </c>
      <c r="J2199">
        <v>94</v>
      </c>
      <c r="K2199">
        <v>68</v>
      </c>
      <c r="L2199">
        <v>26.7</v>
      </c>
      <c r="M2199">
        <v>7.5</v>
      </c>
      <c r="N2199">
        <v>0.14760977326538899</v>
      </c>
      <c r="O2199">
        <v>0.32832460834912602</v>
      </c>
    </row>
    <row r="2200" spans="1:15" x14ac:dyDescent="0.3">
      <c r="A2200">
        <v>9260</v>
      </c>
      <c r="B2200">
        <v>73</v>
      </c>
      <c r="C2200">
        <v>395</v>
      </c>
      <c r="D2200" t="s">
        <v>23</v>
      </c>
      <c r="E2200" t="s">
        <v>20</v>
      </c>
      <c r="F2200" t="s">
        <v>17</v>
      </c>
      <c r="G2200" t="s">
        <v>18</v>
      </c>
      <c r="H2200">
        <v>273.60000000000002</v>
      </c>
      <c r="I2200">
        <v>247</v>
      </c>
      <c r="J2200">
        <v>94</v>
      </c>
      <c r="K2200">
        <v>68</v>
      </c>
      <c r="L2200">
        <v>26.7</v>
      </c>
      <c r="M2200">
        <v>7.5</v>
      </c>
      <c r="N2200">
        <v>0.15622264616009701</v>
      </c>
      <c r="O2200">
        <v>0.348778392056737</v>
      </c>
    </row>
    <row r="2201" spans="1:15" x14ac:dyDescent="0.3">
      <c r="A2201">
        <v>9263</v>
      </c>
      <c r="B2201">
        <v>731</v>
      </c>
      <c r="C2201">
        <v>298</v>
      </c>
      <c r="D2201" t="s">
        <v>19</v>
      </c>
      <c r="E2201" t="s">
        <v>20</v>
      </c>
      <c r="F2201" t="s">
        <v>17</v>
      </c>
      <c r="G2201" t="s">
        <v>18</v>
      </c>
      <c r="H2201">
        <v>275.60000000000002</v>
      </c>
      <c r="I2201">
        <v>251</v>
      </c>
      <c r="J2201">
        <v>95.1</v>
      </c>
      <c r="K2201">
        <v>66.5</v>
      </c>
      <c r="L2201">
        <v>25.3</v>
      </c>
      <c r="M2201">
        <v>10.5</v>
      </c>
      <c r="N2201">
        <v>0.29257910990290498</v>
      </c>
      <c r="O2201">
        <v>4.3487171550131799E-2</v>
      </c>
    </row>
    <row r="2202" spans="1:15" x14ac:dyDescent="0.3">
      <c r="A2202">
        <v>9264</v>
      </c>
      <c r="B2202">
        <v>731</v>
      </c>
      <c r="C2202">
        <v>298</v>
      </c>
      <c r="D2202" t="s">
        <v>19</v>
      </c>
      <c r="E2202" t="s">
        <v>20</v>
      </c>
      <c r="F2202" t="s">
        <v>17</v>
      </c>
      <c r="G2202" t="s">
        <v>18</v>
      </c>
      <c r="H2202">
        <v>275.60000000000002</v>
      </c>
      <c r="I2202">
        <v>251</v>
      </c>
      <c r="J2202">
        <v>95.1</v>
      </c>
      <c r="K2202">
        <v>66.5</v>
      </c>
      <c r="L2202">
        <v>25.3</v>
      </c>
      <c r="M2202">
        <v>10.5</v>
      </c>
      <c r="N2202">
        <v>0.273929383450768</v>
      </c>
      <c r="O2202">
        <v>6.1300911968753299E-2</v>
      </c>
    </row>
    <row r="2203" spans="1:15" x14ac:dyDescent="0.3">
      <c r="A2203">
        <v>9268</v>
      </c>
      <c r="B2203">
        <v>733</v>
      </c>
      <c r="C2203">
        <v>114</v>
      </c>
      <c r="D2203" t="s">
        <v>19</v>
      </c>
      <c r="E2203" t="s">
        <v>16</v>
      </c>
      <c r="F2203" t="s">
        <v>17</v>
      </c>
      <c r="G2203" t="s">
        <v>24</v>
      </c>
      <c r="H2203">
        <v>275.89999999999998</v>
      </c>
      <c r="I2203">
        <v>254</v>
      </c>
      <c r="J2203">
        <v>97.2</v>
      </c>
      <c r="K2203">
        <v>66.5</v>
      </c>
      <c r="L2203">
        <v>28.5</v>
      </c>
      <c r="M2203">
        <v>5.5</v>
      </c>
      <c r="N2203">
        <v>0.116011671552645</v>
      </c>
      <c r="O2203">
        <v>0.19777577289276599</v>
      </c>
    </row>
    <row r="2204" spans="1:15" x14ac:dyDescent="0.3">
      <c r="A2204">
        <v>9269</v>
      </c>
      <c r="B2204">
        <v>734</v>
      </c>
      <c r="C2204">
        <v>29</v>
      </c>
      <c r="D2204" t="s">
        <v>19</v>
      </c>
      <c r="E2204" t="s">
        <v>20</v>
      </c>
      <c r="F2204" t="s">
        <v>21</v>
      </c>
      <c r="G2204" t="s">
        <v>24</v>
      </c>
      <c r="H2204">
        <v>276.60000000000002</v>
      </c>
      <c r="I2204">
        <v>256.5</v>
      </c>
      <c r="J2204">
        <v>98.4</v>
      </c>
      <c r="K2204">
        <v>67.5</v>
      </c>
      <c r="L2204">
        <v>28.3</v>
      </c>
      <c r="M2204">
        <v>8</v>
      </c>
      <c r="N2204">
        <v>0.20345230031831499</v>
      </c>
      <c r="O2204">
        <v>0.110404893997489</v>
      </c>
    </row>
    <row r="2205" spans="1:15" x14ac:dyDescent="0.3">
      <c r="A2205">
        <v>9270</v>
      </c>
      <c r="B2205">
        <v>734</v>
      </c>
      <c r="C2205">
        <v>29</v>
      </c>
      <c r="D2205" t="s">
        <v>19</v>
      </c>
      <c r="E2205" t="s">
        <v>20</v>
      </c>
      <c r="F2205" t="s">
        <v>21</v>
      </c>
      <c r="G2205" t="s">
        <v>24</v>
      </c>
      <c r="H2205">
        <v>276.60000000000002</v>
      </c>
      <c r="I2205">
        <v>256.5</v>
      </c>
      <c r="J2205">
        <v>98.4</v>
      </c>
      <c r="K2205">
        <v>67.5</v>
      </c>
      <c r="L2205">
        <v>28.3</v>
      </c>
      <c r="M2205">
        <v>8</v>
      </c>
      <c r="N2205">
        <v>0.22375521092866599</v>
      </c>
      <c r="O2205">
        <v>8.4873886094341003E-2</v>
      </c>
    </row>
    <row r="2206" spans="1:15" x14ac:dyDescent="0.3">
      <c r="A2206">
        <v>9271</v>
      </c>
      <c r="B2206">
        <v>734</v>
      </c>
      <c r="C2206">
        <v>29</v>
      </c>
      <c r="D2206" t="s">
        <v>19</v>
      </c>
      <c r="E2206" t="s">
        <v>20</v>
      </c>
      <c r="F2206" t="s">
        <v>21</v>
      </c>
      <c r="G2206" t="s">
        <v>24</v>
      </c>
      <c r="H2206">
        <v>276.60000000000002</v>
      </c>
      <c r="I2206">
        <v>256.5</v>
      </c>
      <c r="J2206">
        <v>98.4</v>
      </c>
      <c r="K2206">
        <v>67.5</v>
      </c>
      <c r="L2206">
        <v>28.3</v>
      </c>
      <c r="M2206">
        <v>8</v>
      </c>
      <c r="N2206">
        <v>0.20822037345331099</v>
      </c>
      <c r="O2206">
        <v>9.3632694464869007E-2</v>
      </c>
    </row>
    <row r="2207" spans="1:15" x14ac:dyDescent="0.3">
      <c r="A2207">
        <v>9272</v>
      </c>
      <c r="B2207">
        <v>734</v>
      </c>
      <c r="C2207">
        <v>29</v>
      </c>
      <c r="D2207" t="s">
        <v>19</v>
      </c>
      <c r="E2207" t="s">
        <v>20</v>
      </c>
      <c r="F2207" t="s">
        <v>21</v>
      </c>
      <c r="G2207" t="s">
        <v>24</v>
      </c>
      <c r="H2207">
        <v>276.60000000000002</v>
      </c>
      <c r="I2207">
        <v>256.5</v>
      </c>
      <c r="J2207">
        <v>98.4</v>
      </c>
      <c r="K2207">
        <v>67.5</v>
      </c>
      <c r="L2207">
        <v>28.3</v>
      </c>
      <c r="M2207">
        <v>8</v>
      </c>
      <c r="N2207">
        <v>0.20123016254616599</v>
      </c>
      <c r="O2207">
        <v>0.11511744715755701</v>
      </c>
    </row>
    <row r="2208" spans="1:15" x14ac:dyDescent="0.3">
      <c r="A2208">
        <v>9273</v>
      </c>
      <c r="B2208">
        <v>734</v>
      </c>
      <c r="C2208">
        <v>29</v>
      </c>
      <c r="D2208" t="s">
        <v>19</v>
      </c>
      <c r="E2208" t="s">
        <v>20</v>
      </c>
      <c r="F2208" t="s">
        <v>21</v>
      </c>
      <c r="G2208" t="s">
        <v>24</v>
      </c>
      <c r="H2208">
        <v>276.60000000000002</v>
      </c>
      <c r="I2208">
        <v>256.5</v>
      </c>
      <c r="J2208">
        <v>98.4</v>
      </c>
      <c r="K2208">
        <v>67.5</v>
      </c>
      <c r="L2208">
        <v>28.3</v>
      </c>
      <c r="M2208">
        <v>8</v>
      </c>
      <c r="N2208">
        <v>0.224630377911787</v>
      </c>
      <c r="O2208">
        <v>8.6918149678148898E-2</v>
      </c>
    </row>
    <row r="2209" spans="1:15" x14ac:dyDescent="0.3">
      <c r="A2209">
        <v>9274</v>
      </c>
      <c r="B2209">
        <v>735</v>
      </c>
      <c r="C2209">
        <v>279</v>
      </c>
      <c r="D2209" t="s">
        <v>23</v>
      </c>
      <c r="E2209" t="s">
        <v>16</v>
      </c>
      <c r="F2209" t="s">
        <v>21</v>
      </c>
      <c r="G2209" t="s">
        <v>18</v>
      </c>
      <c r="H2209">
        <v>273.8</v>
      </c>
      <c r="I2209">
        <v>248.5</v>
      </c>
      <c r="J2209">
        <v>97.9</v>
      </c>
      <c r="K2209">
        <v>65.5</v>
      </c>
      <c r="L2209">
        <v>24.9</v>
      </c>
      <c r="M2209">
        <v>4</v>
      </c>
      <c r="N2209">
        <v>0.24014156993408201</v>
      </c>
      <c r="O2209">
        <v>0.39556764453104898</v>
      </c>
    </row>
    <row r="2210" spans="1:15" x14ac:dyDescent="0.3">
      <c r="A2210">
        <v>9285</v>
      </c>
      <c r="B2210">
        <v>74</v>
      </c>
      <c r="C2210">
        <v>20</v>
      </c>
      <c r="D2210" t="s">
        <v>23</v>
      </c>
      <c r="E2210" t="s">
        <v>16</v>
      </c>
      <c r="F2210" t="s">
        <v>21</v>
      </c>
      <c r="G2210" t="s">
        <v>26</v>
      </c>
      <c r="H2210">
        <v>282.7</v>
      </c>
      <c r="I2210">
        <v>260</v>
      </c>
      <c r="J2210">
        <v>103.8</v>
      </c>
      <c r="K2210">
        <v>68</v>
      </c>
      <c r="L2210">
        <v>26.4</v>
      </c>
      <c r="M2210">
        <v>11.5</v>
      </c>
      <c r="N2210">
        <v>6.8512571970480496E-2</v>
      </c>
      <c r="O2210">
        <v>0.26464803207496401</v>
      </c>
    </row>
    <row r="2211" spans="1:15" x14ac:dyDescent="0.3">
      <c r="A2211">
        <v>9290</v>
      </c>
      <c r="B2211">
        <v>742</v>
      </c>
      <c r="C2211">
        <v>346</v>
      </c>
      <c r="D2211" t="s">
        <v>19</v>
      </c>
      <c r="E2211" t="s">
        <v>20</v>
      </c>
      <c r="F2211" t="s">
        <v>17</v>
      </c>
      <c r="G2211" t="s">
        <v>18</v>
      </c>
      <c r="H2211">
        <v>271.60000000000002</v>
      </c>
      <c r="I2211">
        <v>238</v>
      </c>
      <c r="J2211">
        <v>91.3</v>
      </c>
      <c r="K2211">
        <v>63</v>
      </c>
      <c r="L2211">
        <v>24.7</v>
      </c>
      <c r="M2211">
        <v>8</v>
      </c>
      <c r="N2211">
        <v>0.172237863071001</v>
      </c>
      <c r="O2211">
        <v>2.2349309668667501E-2</v>
      </c>
    </row>
    <row r="2212" spans="1:15" x14ac:dyDescent="0.3">
      <c r="A2212">
        <v>9292</v>
      </c>
      <c r="B2212">
        <v>742</v>
      </c>
      <c r="C2212">
        <v>346</v>
      </c>
      <c r="D2212" t="s">
        <v>19</v>
      </c>
      <c r="E2212" t="s">
        <v>20</v>
      </c>
      <c r="F2212" t="s">
        <v>17</v>
      </c>
      <c r="G2212" t="s">
        <v>18</v>
      </c>
      <c r="H2212">
        <v>271.60000000000002</v>
      </c>
      <c r="I2212">
        <v>238</v>
      </c>
      <c r="J2212">
        <v>91.3</v>
      </c>
      <c r="K2212">
        <v>63</v>
      </c>
      <c r="L2212">
        <v>24.7</v>
      </c>
      <c r="M2212">
        <v>8</v>
      </c>
      <c r="N2212">
        <v>0.182390446503988</v>
      </c>
      <c r="O2212">
        <v>1.34327169149056E-2</v>
      </c>
    </row>
    <row r="2213" spans="1:15" x14ac:dyDescent="0.3">
      <c r="A2213">
        <v>9298</v>
      </c>
      <c r="B2213">
        <v>744</v>
      </c>
      <c r="C2213">
        <v>66</v>
      </c>
      <c r="D2213" t="s">
        <v>23</v>
      </c>
      <c r="E2213" t="s">
        <v>20</v>
      </c>
      <c r="F2213" t="s">
        <v>21</v>
      </c>
      <c r="G2213" t="s">
        <v>25</v>
      </c>
      <c r="H2213">
        <v>276.2</v>
      </c>
      <c r="I2213">
        <v>258</v>
      </c>
      <c r="J2213">
        <v>95.8</v>
      </c>
      <c r="K2213">
        <v>63.5</v>
      </c>
      <c r="L2213">
        <v>26.4</v>
      </c>
      <c r="M2213">
        <v>7</v>
      </c>
      <c r="N2213">
        <v>0.18357612678402099</v>
      </c>
      <c r="O2213">
        <v>0.27995636198989499</v>
      </c>
    </row>
    <row r="2214" spans="1:15" x14ac:dyDescent="0.3">
      <c r="A2214">
        <v>9299</v>
      </c>
      <c r="B2214">
        <v>744</v>
      </c>
      <c r="C2214">
        <v>66</v>
      </c>
      <c r="D2214" t="s">
        <v>23</v>
      </c>
      <c r="E2214" t="s">
        <v>20</v>
      </c>
      <c r="F2214" t="s">
        <v>21</v>
      </c>
      <c r="G2214" t="s">
        <v>25</v>
      </c>
      <c r="H2214">
        <v>276.2</v>
      </c>
      <c r="I2214">
        <v>258</v>
      </c>
      <c r="J2214">
        <v>95.8</v>
      </c>
      <c r="K2214">
        <v>63.5</v>
      </c>
      <c r="L2214">
        <v>26.4</v>
      </c>
      <c r="M2214">
        <v>7</v>
      </c>
      <c r="N2214">
        <v>0.186386877047342</v>
      </c>
      <c r="O2214">
        <v>0.275099115342189</v>
      </c>
    </row>
    <row r="2215" spans="1:15" x14ac:dyDescent="0.3">
      <c r="A2215">
        <v>9300</v>
      </c>
      <c r="B2215">
        <v>744</v>
      </c>
      <c r="C2215">
        <v>66</v>
      </c>
      <c r="D2215" t="s">
        <v>23</v>
      </c>
      <c r="E2215" t="s">
        <v>20</v>
      </c>
      <c r="F2215" t="s">
        <v>21</v>
      </c>
      <c r="G2215" t="s">
        <v>25</v>
      </c>
      <c r="H2215">
        <v>276.2</v>
      </c>
      <c r="I2215">
        <v>258</v>
      </c>
      <c r="J2215">
        <v>95.8</v>
      </c>
      <c r="K2215">
        <v>63.5</v>
      </c>
      <c r="L2215">
        <v>26.4</v>
      </c>
      <c r="M2215">
        <v>7</v>
      </c>
      <c r="N2215">
        <v>0.179571045596958</v>
      </c>
      <c r="O2215">
        <v>0.24485738796819501</v>
      </c>
    </row>
    <row r="2216" spans="1:15" x14ac:dyDescent="0.3">
      <c r="A2216">
        <v>9301</v>
      </c>
      <c r="B2216">
        <v>744</v>
      </c>
      <c r="C2216">
        <v>66</v>
      </c>
      <c r="D2216" t="s">
        <v>23</v>
      </c>
      <c r="E2216" t="s">
        <v>20</v>
      </c>
      <c r="F2216" t="s">
        <v>21</v>
      </c>
      <c r="G2216" t="s">
        <v>25</v>
      </c>
      <c r="H2216">
        <v>276.2</v>
      </c>
      <c r="I2216">
        <v>258</v>
      </c>
      <c r="J2216">
        <v>95.8</v>
      </c>
      <c r="K2216">
        <v>63.5</v>
      </c>
      <c r="L2216">
        <v>26.4</v>
      </c>
      <c r="M2216">
        <v>7</v>
      </c>
      <c r="N2216">
        <v>0.187112504595047</v>
      </c>
      <c r="O2216">
        <v>0.27034787073759597</v>
      </c>
    </row>
    <row r="2217" spans="1:15" x14ac:dyDescent="0.3">
      <c r="A2217">
        <v>9326</v>
      </c>
      <c r="B2217">
        <v>753</v>
      </c>
      <c r="C2217">
        <v>417</v>
      </c>
      <c r="D2217" t="s">
        <v>19</v>
      </c>
      <c r="E2217" t="s">
        <v>16</v>
      </c>
      <c r="F2217" t="s">
        <v>21</v>
      </c>
      <c r="G2217" t="s">
        <v>22</v>
      </c>
      <c r="H2217">
        <v>268.60000000000002</v>
      </c>
      <c r="I2217">
        <v>234.5</v>
      </c>
      <c r="J2217">
        <v>92.8</v>
      </c>
      <c r="K2217">
        <v>64</v>
      </c>
      <c r="L2217">
        <v>24.3</v>
      </c>
      <c r="M2217">
        <v>5</v>
      </c>
      <c r="N2217">
        <v>0.20681306961481499</v>
      </c>
      <c r="O2217">
        <v>0.178338555924582</v>
      </c>
    </row>
    <row r="2218" spans="1:15" x14ac:dyDescent="0.3">
      <c r="A2218">
        <v>9327</v>
      </c>
      <c r="B2218">
        <v>753</v>
      </c>
      <c r="C2218">
        <v>417</v>
      </c>
      <c r="D2218" t="s">
        <v>19</v>
      </c>
      <c r="E2218" t="s">
        <v>16</v>
      </c>
      <c r="F2218" t="s">
        <v>21</v>
      </c>
      <c r="G2218" t="s">
        <v>22</v>
      </c>
      <c r="H2218">
        <v>268.60000000000002</v>
      </c>
      <c r="I2218">
        <v>234.5</v>
      </c>
      <c r="J2218">
        <v>92.8</v>
      </c>
      <c r="K2218">
        <v>64</v>
      </c>
      <c r="L2218">
        <v>24.3</v>
      </c>
      <c r="M2218">
        <v>5</v>
      </c>
      <c r="N2218">
        <v>0.22258974540255999</v>
      </c>
      <c r="O2218">
        <v>0.151958344736807</v>
      </c>
    </row>
    <row r="2219" spans="1:15" x14ac:dyDescent="0.3">
      <c r="A2219">
        <v>9328</v>
      </c>
      <c r="B2219">
        <v>753</v>
      </c>
      <c r="C2219">
        <v>417</v>
      </c>
      <c r="D2219" t="s">
        <v>19</v>
      </c>
      <c r="E2219" t="s">
        <v>16</v>
      </c>
      <c r="F2219" t="s">
        <v>21</v>
      </c>
      <c r="G2219" t="s">
        <v>22</v>
      </c>
      <c r="H2219">
        <v>268.60000000000002</v>
      </c>
      <c r="I2219">
        <v>234.5</v>
      </c>
      <c r="J2219">
        <v>92.8</v>
      </c>
      <c r="K2219">
        <v>64</v>
      </c>
      <c r="L2219">
        <v>24.3</v>
      </c>
      <c r="M2219">
        <v>5</v>
      </c>
      <c r="N2219">
        <v>0.23357856324192999</v>
      </c>
      <c r="O2219">
        <v>0.15056085190116</v>
      </c>
    </row>
    <row r="2220" spans="1:15" x14ac:dyDescent="0.3">
      <c r="A2220">
        <v>9329</v>
      </c>
      <c r="B2220">
        <v>754</v>
      </c>
      <c r="C2220">
        <v>298</v>
      </c>
      <c r="D2220" t="s">
        <v>19</v>
      </c>
      <c r="E2220" t="s">
        <v>20</v>
      </c>
      <c r="F2220" t="s">
        <v>17</v>
      </c>
      <c r="G2220" t="s">
        <v>25</v>
      </c>
      <c r="H2220">
        <v>275.60000000000002</v>
      </c>
      <c r="I2220">
        <v>251</v>
      </c>
      <c r="J2220">
        <v>95.1</v>
      </c>
      <c r="K2220">
        <v>66.5</v>
      </c>
      <c r="L2220">
        <v>25.3</v>
      </c>
      <c r="M2220">
        <v>10.5</v>
      </c>
      <c r="N2220">
        <v>0.27683040258613401</v>
      </c>
      <c r="O2220">
        <v>4.4994968909383599E-2</v>
      </c>
    </row>
    <row r="2221" spans="1:15" x14ac:dyDescent="0.3">
      <c r="A2221">
        <v>9330</v>
      </c>
      <c r="B2221">
        <v>755</v>
      </c>
      <c r="C2221">
        <v>228</v>
      </c>
      <c r="D2221" t="s">
        <v>19</v>
      </c>
      <c r="E2221" t="s">
        <v>16</v>
      </c>
      <c r="F2221" t="s">
        <v>21</v>
      </c>
      <c r="G2221" t="s">
        <v>25</v>
      </c>
      <c r="H2221">
        <v>275.39999999999998</v>
      </c>
      <c r="I2221">
        <v>249.5</v>
      </c>
      <c r="J2221">
        <v>93.4</v>
      </c>
      <c r="K2221">
        <v>64</v>
      </c>
      <c r="L2221">
        <v>28.4</v>
      </c>
      <c r="M2221">
        <v>13</v>
      </c>
      <c r="N2221">
        <v>9.8879287891588397E-2</v>
      </c>
      <c r="O2221">
        <v>0.15306307631608601</v>
      </c>
    </row>
    <row r="2222" spans="1:15" x14ac:dyDescent="0.3">
      <c r="A2222">
        <v>9331</v>
      </c>
      <c r="B2222">
        <v>755</v>
      </c>
      <c r="C2222">
        <v>228</v>
      </c>
      <c r="D2222" t="s">
        <v>19</v>
      </c>
      <c r="E2222" t="s">
        <v>16</v>
      </c>
      <c r="F2222" t="s">
        <v>21</v>
      </c>
      <c r="G2222" t="s">
        <v>25</v>
      </c>
      <c r="H2222">
        <v>275.39999999999998</v>
      </c>
      <c r="I2222">
        <v>249.5</v>
      </c>
      <c r="J2222">
        <v>93.4</v>
      </c>
      <c r="K2222">
        <v>64</v>
      </c>
      <c r="L2222">
        <v>28.4</v>
      </c>
      <c r="M2222">
        <v>13</v>
      </c>
      <c r="N2222">
        <v>8.4334995672374694E-2</v>
      </c>
      <c r="O2222">
        <v>0.142301150923968</v>
      </c>
    </row>
    <row r="2223" spans="1:15" x14ac:dyDescent="0.3">
      <c r="A2223">
        <v>9332</v>
      </c>
      <c r="B2223">
        <v>755</v>
      </c>
      <c r="C2223">
        <v>228</v>
      </c>
      <c r="D2223" t="s">
        <v>19</v>
      </c>
      <c r="E2223" t="s">
        <v>16</v>
      </c>
      <c r="F2223" t="s">
        <v>21</v>
      </c>
      <c r="G2223" t="s">
        <v>25</v>
      </c>
      <c r="H2223">
        <v>275.39999999999998</v>
      </c>
      <c r="I2223">
        <v>249.5</v>
      </c>
      <c r="J2223">
        <v>93.4</v>
      </c>
      <c r="K2223">
        <v>64</v>
      </c>
      <c r="L2223">
        <v>28.4</v>
      </c>
      <c r="M2223">
        <v>13</v>
      </c>
      <c r="N2223">
        <v>7.7168909860924506E-2</v>
      </c>
      <c r="O2223">
        <v>0.14816349330697401</v>
      </c>
    </row>
    <row r="2224" spans="1:15" x14ac:dyDescent="0.3">
      <c r="A2224">
        <v>9333</v>
      </c>
      <c r="B2224">
        <v>755</v>
      </c>
      <c r="C2224">
        <v>228</v>
      </c>
      <c r="D2224" t="s">
        <v>19</v>
      </c>
      <c r="E2224" t="s">
        <v>16</v>
      </c>
      <c r="F2224" t="s">
        <v>21</v>
      </c>
      <c r="G2224" t="s">
        <v>25</v>
      </c>
      <c r="H2224">
        <v>275.39999999999998</v>
      </c>
      <c r="I2224">
        <v>249.5</v>
      </c>
      <c r="J2224">
        <v>93.4</v>
      </c>
      <c r="K2224">
        <v>64</v>
      </c>
      <c r="L2224">
        <v>28.4</v>
      </c>
      <c r="M2224">
        <v>13</v>
      </c>
      <c r="N2224">
        <v>9.9267360968703103E-2</v>
      </c>
      <c r="O2224">
        <v>0.123193954947813</v>
      </c>
    </row>
    <row r="2225" spans="1:15" x14ac:dyDescent="0.3">
      <c r="A2225">
        <v>9334</v>
      </c>
      <c r="B2225">
        <v>755</v>
      </c>
      <c r="C2225">
        <v>228</v>
      </c>
      <c r="D2225" t="s">
        <v>19</v>
      </c>
      <c r="E2225" t="s">
        <v>16</v>
      </c>
      <c r="F2225" t="s">
        <v>21</v>
      </c>
      <c r="G2225" t="s">
        <v>25</v>
      </c>
      <c r="H2225">
        <v>275.39999999999998</v>
      </c>
      <c r="I2225">
        <v>249.5</v>
      </c>
      <c r="J2225">
        <v>93.4</v>
      </c>
      <c r="K2225">
        <v>64</v>
      </c>
      <c r="L2225">
        <v>28.4</v>
      </c>
      <c r="M2225">
        <v>13</v>
      </c>
      <c r="N2225">
        <v>9.33752856412087E-2</v>
      </c>
      <c r="O2225">
        <v>0.13573007749607299</v>
      </c>
    </row>
    <row r="2226" spans="1:15" x14ac:dyDescent="0.3">
      <c r="A2226">
        <v>9335</v>
      </c>
      <c r="B2226">
        <v>755</v>
      </c>
      <c r="C2226">
        <v>228</v>
      </c>
      <c r="D2226" t="s">
        <v>19</v>
      </c>
      <c r="E2226" t="s">
        <v>16</v>
      </c>
      <c r="F2226" t="s">
        <v>21</v>
      </c>
      <c r="G2226" t="s">
        <v>25</v>
      </c>
      <c r="H2226">
        <v>275.39999999999998</v>
      </c>
      <c r="I2226">
        <v>249.5</v>
      </c>
      <c r="J2226">
        <v>93.4</v>
      </c>
      <c r="K2226">
        <v>64</v>
      </c>
      <c r="L2226">
        <v>28.4</v>
      </c>
      <c r="M2226">
        <v>13</v>
      </c>
      <c r="N2226">
        <v>0.11011007662766099</v>
      </c>
      <c r="O2226">
        <v>0.12951357842927999</v>
      </c>
    </row>
    <row r="2227" spans="1:15" x14ac:dyDescent="0.3">
      <c r="A2227">
        <v>9343</v>
      </c>
      <c r="B2227">
        <v>76</v>
      </c>
      <c r="C2227">
        <v>466</v>
      </c>
      <c r="D2227" t="s">
        <v>23</v>
      </c>
      <c r="E2227" t="s">
        <v>20</v>
      </c>
      <c r="F2227" t="s">
        <v>21</v>
      </c>
      <c r="G2227" t="s">
        <v>22</v>
      </c>
      <c r="H2227">
        <v>282.10000000000002</v>
      </c>
      <c r="I2227">
        <v>257</v>
      </c>
      <c r="J2227">
        <v>100.3</v>
      </c>
      <c r="K2227">
        <v>68.5</v>
      </c>
      <c r="L2227">
        <v>27.5</v>
      </c>
      <c r="M2227">
        <v>11</v>
      </c>
      <c r="N2227">
        <v>6.0387161276551103E-2</v>
      </c>
      <c r="O2227">
        <v>0.30185296790249599</v>
      </c>
    </row>
    <row r="2228" spans="1:15" x14ac:dyDescent="0.3">
      <c r="A2228">
        <v>9344</v>
      </c>
      <c r="B2228">
        <v>76</v>
      </c>
      <c r="C2228">
        <v>466</v>
      </c>
      <c r="D2228" t="s">
        <v>23</v>
      </c>
      <c r="E2228" t="s">
        <v>20</v>
      </c>
      <c r="F2228" t="s">
        <v>21</v>
      </c>
      <c r="G2228" t="s">
        <v>22</v>
      </c>
      <c r="H2228">
        <v>282.10000000000002</v>
      </c>
      <c r="I2228">
        <v>257</v>
      </c>
      <c r="J2228">
        <v>100.3</v>
      </c>
      <c r="K2228">
        <v>68.5</v>
      </c>
      <c r="L2228">
        <v>27.5</v>
      </c>
      <c r="M2228">
        <v>11</v>
      </c>
      <c r="N2228">
        <v>6.7573091404221394E-2</v>
      </c>
      <c r="O2228">
        <v>0.296738818808095</v>
      </c>
    </row>
    <row r="2229" spans="1:15" x14ac:dyDescent="0.3">
      <c r="A2229">
        <v>9345</v>
      </c>
      <c r="B2229">
        <v>76</v>
      </c>
      <c r="C2229">
        <v>466</v>
      </c>
      <c r="D2229" t="s">
        <v>23</v>
      </c>
      <c r="E2229" t="s">
        <v>20</v>
      </c>
      <c r="F2229" t="s">
        <v>21</v>
      </c>
      <c r="G2229" t="s">
        <v>22</v>
      </c>
      <c r="H2229">
        <v>282.10000000000002</v>
      </c>
      <c r="I2229">
        <v>257</v>
      </c>
      <c r="J2229">
        <v>100.3</v>
      </c>
      <c r="K2229">
        <v>68.5</v>
      </c>
      <c r="L2229">
        <v>27.5</v>
      </c>
      <c r="M2229">
        <v>11</v>
      </c>
      <c r="N2229">
        <v>4.7031132324168598E-2</v>
      </c>
      <c r="O2229">
        <v>0.26986630403850698</v>
      </c>
    </row>
    <row r="2230" spans="1:15" x14ac:dyDescent="0.3">
      <c r="A2230">
        <v>9346</v>
      </c>
      <c r="B2230">
        <v>760</v>
      </c>
      <c r="C2230">
        <v>71</v>
      </c>
      <c r="D2230" t="s">
        <v>23</v>
      </c>
      <c r="E2230" t="s">
        <v>20</v>
      </c>
      <c r="F2230" t="s">
        <v>21</v>
      </c>
      <c r="G2230" t="s">
        <v>26</v>
      </c>
      <c r="H2230">
        <v>281</v>
      </c>
      <c r="I2230">
        <v>265.5</v>
      </c>
      <c r="J2230">
        <v>100.2</v>
      </c>
      <c r="K2230">
        <v>66.5</v>
      </c>
      <c r="L2230">
        <v>25.2</v>
      </c>
      <c r="M2230">
        <v>8</v>
      </c>
      <c r="N2230">
        <v>0.16626580114636699</v>
      </c>
      <c r="O2230">
        <v>0.136782980406603</v>
      </c>
    </row>
    <row r="2231" spans="1:15" x14ac:dyDescent="0.3">
      <c r="A2231">
        <v>9350</v>
      </c>
      <c r="B2231">
        <v>763</v>
      </c>
      <c r="C2231">
        <v>12</v>
      </c>
      <c r="D2231" t="s">
        <v>19</v>
      </c>
      <c r="E2231" t="s">
        <v>16</v>
      </c>
      <c r="F2231" t="s">
        <v>21</v>
      </c>
      <c r="G2231" t="s">
        <v>24</v>
      </c>
      <c r="H2231">
        <v>280.39999999999998</v>
      </c>
      <c r="I2231">
        <v>260</v>
      </c>
      <c r="J2231">
        <v>102.4</v>
      </c>
      <c r="K2231">
        <v>69.5</v>
      </c>
      <c r="L2231">
        <v>28.2</v>
      </c>
      <c r="M2231">
        <v>9</v>
      </c>
      <c r="N2231">
        <v>0.14950727059801999</v>
      </c>
      <c r="O2231">
        <v>0.105071822583165</v>
      </c>
    </row>
    <row r="2232" spans="1:15" x14ac:dyDescent="0.3">
      <c r="A2232">
        <v>9351</v>
      </c>
      <c r="B2232">
        <v>763</v>
      </c>
      <c r="C2232">
        <v>12</v>
      </c>
      <c r="D2232" t="s">
        <v>19</v>
      </c>
      <c r="E2232" t="s">
        <v>16</v>
      </c>
      <c r="F2232" t="s">
        <v>21</v>
      </c>
      <c r="G2232" t="s">
        <v>24</v>
      </c>
      <c r="H2232">
        <v>280.39999999999998</v>
      </c>
      <c r="I2232">
        <v>260</v>
      </c>
      <c r="J2232">
        <v>102.4</v>
      </c>
      <c r="K2232">
        <v>69.5</v>
      </c>
      <c r="L2232">
        <v>28.2</v>
      </c>
      <c r="M2232">
        <v>9</v>
      </c>
      <c r="N2232">
        <v>0.137065793175592</v>
      </c>
      <c r="O2232">
        <v>0.13801844925964599</v>
      </c>
    </row>
    <row r="2233" spans="1:15" x14ac:dyDescent="0.3">
      <c r="A2233">
        <v>9352</v>
      </c>
      <c r="B2233">
        <v>763</v>
      </c>
      <c r="C2233">
        <v>12</v>
      </c>
      <c r="D2233" t="s">
        <v>19</v>
      </c>
      <c r="E2233" t="s">
        <v>16</v>
      </c>
      <c r="F2233" t="s">
        <v>21</v>
      </c>
      <c r="G2233" t="s">
        <v>24</v>
      </c>
      <c r="H2233">
        <v>280.39999999999998</v>
      </c>
      <c r="I2233">
        <v>260</v>
      </c>
      <c r="J2233">
        <v>102.4</v>
      </c>
      <c r="K2233">
        <v>69.5</v>
      </c>
      <c r="L2233">
        <v>28.2</v>
      </c>
      <c r="M2233">
        <v>9</v>
      </c>
      <c r="N2233">
        <v>0.14759306459551699</v>
      </c>
      <c r="O2233">
        <v>0.115947975537857</v>
      </c>
    </row>
    <row r="2234" spans="1:15" x14ac:dyDescent="0.3">
      <c r="A2234">
        <v>9353</v>
      </c>
      <c r="B2234">
        <v>763</v>
      </c>
      <c r="C2234">
        <v>12</v>
      </c>
      <c r="D2234" t="s">
        <v>19</v>
      </c>
      <c r="E2234" t="s">
        <v>16</v>
      </c>
      <c r="F2234" t="s">
        <v>21</v>
      </c>
      <c r="G2234" t="s">
        <v>24</v>
      </c>
      <c r="H2234">
        <v>280.39999999999998</v>
      </c>
      <c r="I2234">
        <v>260</v>
      </c>
      <c r="J2234">
        <v>102.4</v>
      </c>
      <c r="K2234">
        <v>69.5</v>
      </c>
      <c r="L2234">
        <v>28.2</v>
      </c>
      <c r="M2234">
        <v>9</v>
      </c>
      <c r="N2234">
        <v>0.166061426970841</v>
      </c>
      <c r="O2234">
        <v>0.115854246775317</v>
      </c>
    </row>
    <row r="2235" spans="1:15" x14ac:dyDescent="0.3">
      <c r="A2235">
        <v>9354</v>
      </c>
      <c r="B2235">
        <v>763</v>
      </c>
      <c r="C2235">
        <v>12</v>
      </c>
      <c r="D2235" t="s">
        <v>19</v>
      </c>
      <c r="E2235" t="s">
        <v>16</v>
      </c>
      <c r="F2235" t="s">
        <v>21</v>
      </c>
      <c r="G2235" t="s">
        <v>24</v>
      </c>
      <c r="H2235">
        <v>280.39999999999998</v>
      </c>
      <c r="I2235">
        <v>260</v>
      </c>
      <c r="J2235">
        <v>102.4</v>
      </c>
      <c r="K2235">
        <v>69.5</v>
      </c>
      <c r="L2235">
        <v>28.2</v>
      </c>
      <c r="M2235">
        <v>9</v>
      </c>
      <c r="N2235">
        <v>0.15019244788553501</v>
      </c>
      <c r="O2235">
        <v>0.122407104318528</v>
      </c>
    </row>
    <row r="2236" spans="1:15" x14ac:dyDescent="0.3">
      <c r="A2236">
        <v>9363</v>
      </c>
      <c r="B2236">
        <v>767</v>
      </c>
      <c r="C2236">
        <v>102</v>
      </c>
      <c r="D2236" t="s">
        <v>19</v>
      </c>
      <c r="E2236" t="s">
        <v>20</v>
      </c>
      <c r="F2236" t="s">
        <v>21</v>
      </c>
      <c r="G2236" t="s">
        <v>24</v>
      </c>
      <c r="H2236">
        <v>273.60000000000002</v>
      </c>
      <c r="I2236">
        <v>246</v>
      </c>
      <c r="J2236">
        <v>93.6</v>
      </c>
      <c r="K2236">
        <v>64.5</v>
      </c>
      <c r="L2236">
        <v>25.6</v>
      </c>
      <c r="M2236">
        <v>1.5</v>
      </c>
      <c r="N2236">
        <v>0.170467846561632</v>
      </c>
      <c r="O2236">
        <v>0.18533406071859301</v>
      </c>
    </row>
    <row r="2237" spans="1:15" x14ac:dyDescent="0.3">
      <c r="A2237">
        <v>9382</v>
      </c>
      <c r="B2237">
        <v>773</v>
      </c>
      <c r="C2237">
        <v>6</v>
      </c>
      <c r="D2237" t="s">
        <v>15</v>
      </c>
      <c r="E2237" t="s">
        <v>20</v>
      </c>
      <c r="F2237" t="s">
        <v>17</v>
      </c>
      <c r="G2237" t="s">
        <v>22</v>
      </c>
      <c r="H2237">
        <v>275.5</v>
      </c>
      <c r="I2237">
        <v>250.5</v>
      </c>
      <c r="J2237">
        <v>94.7</v>
      </c>
      <c r="K2237">
        <v>66.5</v>
      </c>
      <c r="L2237">
        <v>25.3</v>
      </c>
      <c r="M2237">
        <v>7.5</v>
      </c>
      <c r="N2237">
        <v>0.129054896116371</v>
      </c>
      <c r="O2237">
        <v>2.20882927723576E-2</v>
      </c>
    </row>
    <row r="2238" spans="1:15" x14ac:dyDescent="0.3">
      <c r="A2238">
        <v>9383</v>
      </c>
      <c r="B2238">
        <v>773</v>
      </c>
      <c r="C2238">
        <v>6</v>
      </c>
      <c r="D2238" t="s">
        <v>15</v>
      </c>
      <c r="E2238" t="s">
        <v>20</v>
      </c>
      <c r="F2238" t="s">
        <v>17</v>
      </c>
      <c r="G2238" t="s">
        <v>22</v>
      </c>
      <c r="H2238">
        <v>275.5</v>
      </c>
      <c r="I2238">
        <v>250.5</v>
      </c>
      <c r="J2238">
        <v>94.7</v>
      </c>
      <c r="K2238">
        <v>66.5</v>
      </c>
      <c r="L2238">
        <v>25.3</v>
      </c>
      <c r="M2238">
        <v>7.5</v>
      </c>
      <c r="N2238">
        <v>0.12610561585888899</v>
      </c>
      <c r="O2238">
        <v>1.33009057078642E-2</v>
      </c>
    </row>
    <row r="2239" spans="1:15" x14ac:dyDescent="0.3">
      <c r="A2239">
        <v>9384</v>
      </c>
      <c r="B2239">
        <v>773</v>
      </c>
      <c r="C2239">
        <v>6</v>
      </c>
      <c r="D2239" t="s">
        <v>15</v>
      </c>
      <c r="E2239" t="s">
        <v>20</v>
      </c>
      <c r="F2239" t="s">
        <v>17</v>
      </c>
      <c r="G2239" t="s">
        <v>22</v>
      </c>
      <c r="H2239">
        <v>275.5</v>
      </c>
      <c r="I2239">
        <v>250.5</v>
      </c>
      <c r="J2239">
        <v>94.7</v>
      </c>
      <c r="K2239">
        <v>66.5</v>
      </c>
      <c r="L2239">
        <v>25.3</v>
      </c>
      <c r="M2239">
        <v>7.5</v>
      </c>
      <c r="N2239">
        <v>0.11442255151303</v>
      </c>
      <c r="O2239">
        <v>2.9365631484437299E-2</v>
      </c>
    </row>
    <row r="2240" spans="1:15" x14ac:dyDescent="0.3">
      <c r="A2240">
        <v>9385</v>
      </c>
      <c r="B2240">
        <v>775</v>
      </c>
      <c r="C2240">
        <v>20</v>
      </c>
      <c r="D2240" t="s">
        <v>23</v>
      </c>
      <c r="E2240" t="s">
        <v>16</v>
      </c>
      <c r="F2240" t="s">
        <v>21</v>
      </c>
      <c r="G2240" t="s">
        <v>24</v>
      </c>
      <c r="H2240">
        <v>282.7</v>
      </c>
      <c r="I2240">
        <v>260</v>
      </c>
      <c r="J2240">
        <v>103.8</v>
      </c>
      <c r="K2240">
        <v>68</v>
      </c>
      <c r="L2240">
        <v>26.4</v>
      </c>
      <c r="M2240">
        <v>11.5</v>
      </c>
      <c r="N2240">
        <v>0.103697326281028</v>
      </c>
      <c r="O2240">
        <v>0.28841845500132801</v>
      </c>
    </row>
    <row r="2241" spans="1:15" x14ac:dyDescent="0.3">
      <c r="A2241">
        <v>9386</v>
      </c>
      <c r="B2241">
        <v>775</v>
      </c>
      <c r="C2241">
        <v>20</v>
      </c>
      <c r="D2241" t="s">
        <v>23</v>
      </c>
      <c r="E2241" t="s">
        <v>16</v>
      </c>
      <c r="F2241" t="s">
        <v>21</v>
      </c>
      <c r="G2241" t="s">
        <v>24</v>
      </c>
      <c r="H2241">
        <v>282.7</v>
      </c>
      <c r="I2241">
        <v>260</v>
      </c>
      <c r="J2241">
        <v>103.8</v>
      </c>
      <c r="K2241">
        <v>68</v>
      </c>
      <c r="L2241">
        <v>26.4</v>
      </c>
      <c r="M2241">
        <v>11.5</v>
      </c>
      <c r="N2241">
        <v>9.78109152422411E-2</v>
      </c>
      <c r="O2241">
        <v>0.27878136942781401</v>
      </c>
    </row>
    <row r="2242" spans="1:15" x14ac:dyDescent="0.3">
      <c r="A2242">
        <v>9387</v>
      </c>
      <c r="B2242">
        <v>775</v>
      </c>
      <c r="C2242">
        <v>20</v>
      </c>
      <c r="D2242" t="s">
        <v>23</v>
      </c>
      <c r="E2242" t="s">
        <v>16</v>
      </c>
      <c r="F2242" t="s">
        <v>21</v>
      </c>
      <c r="G2242" t="s">
        <v>24</v>
      </c>
      <c r="H2242">
        <v>282.7</v>
      </c>
      <c r="I2242">
        <v>260</v>
      </c>
      <c r="J2242">
        <v>103.8</v>
      </c>
      <c r="K2242">
        <v>68</v>
      </c>
      <c r="L2242">
        <v>26.4</v>
      </c>
      <c r="M2242">
        <v>11.5</v>
      </c>
      <c r="N2242">
        <v>8.20511713762931E-2</v>
      </c>
      <c r="O2242">
        <v>0.25838365192229801</v>
      </c>
    </row>
    <row r="2243" spans="1:15" x14ac:dyDescent="0.3">
      <c r="A2243">
        <v>9388</v>
      </c>
      <c r="B2243">
        <v>776</v>
      </c>
      <c r="C2243">
        <v>298</v>
      </c>
      <c r="D2243" t="s">
        <v>19</v>
      </c>
      <c r="E2243" t="s">
        <v>20</v>
      </c>
      <c r="F2243" t="s">
        <v>21</v>
      </c>
      <c r="G2243" t="s">
        <v>25</v>
      </c>
      <c r="H2243">
        <v>275.60000000000002</v>
      </c>
      <c r="I2243">
        <v>251</v>
      </c>
      <c r="J2243">
        <v>95.1</v>
      </c>
      <c r="K2243">
        <v>66.5</v>
      </c>
      <c r="L2243">
        <v>25.3</v>
      </c>
      <c r="M2243">
        <v>10.5</v>
      </c>
      <c r="N2243">
        <v>0.28378076062309598</v>
      </c>
      <c r="O2243">
        <v>5.1855495056101202E-2</v>
      </c>
    </row>
    <row r="2244" spans="1:15" x14ac:dyDescent="0.3">
      <c r="A2244">
        <v>9393</v>
      </c>
      <c r="B2244">
        <v>78</v>
      </c>
      <c r="C2244">
        <v>18</v>
      </c>
      <c r="D2244" t="s">
        <v>19</v>
      </c>
      <c r="E2244" t="s">
        <v>20</v>
      </c>
      <c r="F2244" t="s">
        <v>21</v>
      </c>
      <c r="G2244" t="s">
        <v>24</v>
      </c>
      <c r="H2244">
        <v>271.39999999999998</v>
      </c>
      <c r="I2244">
        <v>244</v>
      </c>
      <c r="J2244">
        <v>97.3</v>
      </c>
      <c r="K2244">
        <v>64</v>
      </c>
      <c r="L2244">
        <v>23.3</v>
      </c>
      <c r="M2244">
        <v>6.5</v>
      </c>
      <c r="N2244">
        <v>0.25829002874386198</v>
      </c>
      <c r="O2244">
        <v>1.27265905475924E-2</v>
      </c>
    </row>
    <row r="2245" spans="1:15" x14ac:dyDescent="0.3">
      <c r="A2245">
        <v>9394</v>
      </c>
      <c r="B2245">
        <v>78</v>
      </c>
      <c r="C2245">
        <v>18</v>
      </c>
      <c r="D2245" t="s">
        <v>19</v>
      </c>
      <c r="E2245" t="s">
        <v>20</v>
      </c>
      <c r="F2245" t="s">
        <v>21</v>
      </c>
      <c r="G2245" t="s">
        <v>24</v>
      </c>
      <c r="H2245">
        <v>271.39999999999998</v>
      </c>
      <c r="I2245">
        <v>244</v>
      </c>
      <c r="J2245">
        <v>97.3</v>
      </c>
      <c r="K2245">
        <v>64</v>
      </c>
      <c r="L2245">
        <v>23.3</v>
      </c>
      <c r="M2245">
        <v>6.5</v>
      </c>
      <c r="N2245">
        <v>0.26461890878543198</v>
      </c>
      <c r="O2245">
        <v>1.3044882667279599E-3</v>
      </c>
    </row>
    <row r="2246" spans="1:15" x14ac:dyDescent="0.3">
      <c r="A2246">
        <v>9395</v>
      </c>
      <c r="B2246">
        <v>78</v>
      </c>
      <c r="C2246">
        <v>18</v>
      </c>
      <c r="D2246" t="s">
        <v>19</v>
      </c>
      <c r="E2246" t="s">
        <v>20</v>
      </c>
      <c r="F2246" t="s">
        <v>21</v>
      </c>
      <c r="G2246" t="s">
        <v>24</v>
      </c>
      <c r="H2246">
        <v>271.39999999999998</v>
      </c>
      <c r="I2246">
        <v>244</v>
      </c>
      <c r="J2246">
        <v>97.3</v>
      </c>
      <c r="K2246">
        <v>64</v>
      </c>
      <c r="L2246">
        <v>23.3</v>
      </c>
      <c r="M2246">
        <v>6.5</v>
      </c>
      <c r="N2246">
        <v>0.26041331476889101</v>
      </c>
      <c r="O2246">
        <v>4.6372653855854696E-3</v>
      </c>
    </row>
    <row r="2247" spans="1:15" x14ac:dyDescent="0.3">
      <c r="A2247">
        <v>9396</v>
      </c>
      <c r="B2247">
        <v>78</v>
      </c>
      <c r="C2247">
        <v>18</v>
      </c>
      <c r="D2247" t="s">
        <v>19</v>
      </c>
      <c r="E2247" t="s">
        <v>20</v>
      </c>
      <c r="F2247" t="s">
        <v>21</v>
      </c>
      <c r="G2247" t="s">
        <v>24</v>
      </c>
      <c r="H2247">
        <v>271.39999999999998</v>
      </c>
      <c r="I2247">
        <v>244</v>
      </c>
      <c r="J2247">
        <v>97.3</v>
      </c>
      <c r="K2247">
        <v>64</v>
      </c>
      <c r="L2247">
        <v>23.3</v>
      </c>
      <c r="M2247">
        <v>6.5</v>
      </c>
      <c r="N2247">
        <v>0.24120692697909199</v>
      </c>
      <c r="O2247">
        <v>1.9737416843240299E-3</v>
      </c>
    </row>
    <row r="2248" spans="1:15" x14ac:dyDescent="0.3">
      <c r="A2248">
        <v>9397</v>
      </c>
      <c r="B2248">
        <v>78</v>
      </c>
      <c r="C2248">
        <v>18</v>
      </c>
      <c r="D2248" t="s">
        <v>19</v>
      </c>
      <c r="E2248" t="s">
        <v>20</v>
      </c>
      <c r="F2248" t="s">
        <v>21</v>
      </c>
      <c r="G2248" t="s">
        <v>24</v>
      </c>
      <c r="H2248">
        <v>271.39999999999998</v>
      </c>
      <c r="I2248">
        <v>244</v>
      </c>
      <c r="J2248">
        <v>97.3</v>
      </c>
      <c r="K2248">
        <v>64</v>
      </c>
      <c r="L2248">
        <v>23.3</v>
      </c>
      <c r="M2248">
        <v>6.5</v>
      </c>
      <c r="N2248">
        <v>0.26155691436694001</v>
      </c>
      <c r="O2248">
        <v>2.8978239790646201E-3</v>
      </c>
    </row>
    <row r="2249" spans="1:15" x14ac:dyDescent="0.3">
      <c r="A2249">
        <v>9409</v>
      </c>
      <c r="B2249">
        <v>785</v>
      </c>
      <c r="C2249">
        <v>68</v>
      </c>
      <c r="D2249" t="s">
        <v>19</v>
      </c>
      <c r="E2249" t="s">
        <v>20</v>
      </c>
      <c r="F2249" t="s">
        <v>21</v>
      </c>
      <c r="G2249" t="s">
        <v>25</v>
      </c>
      <c r="H2249">
        <v>275.60000000000002</v>
      </c>
      <c r="I2249">
        <v>254.5</v>
      </c>
      <c r="J2249">
        <v>95.5</v>
      </c>
      <c r="K2249">
        <v>65.5</v>
      </c>
      <c r="L2249">
        <v>29.1</v>
      </c>
      <c r="M2249">
        <v>10</v>
      </c>
      <c r="N2249">
        <v>0.20208856652181501</v>
      </c>
      <c r="O2249">
        <v>0.172534061497363</v>
      </c>
    </row>
    <row r="2250" spans="1:15" x14ac:dyDescent="0.3">
      <c r="A2250">
        <v>9434</v>
      </c>
      <c r="B2250">
        <v>792</v>
      </c>
      <c r="C2250">
        <v>387</v>
      </c>
      <c r="D2250" t="s">
        <v>19</v>
      </c>
      <c r="E2250" t="s">
        <v>16</v>
      </c>
      <c r="F2250" t="s">
        <v>17</v>
      </c>
      <c r="G2250" t="s">
        <v>18</v>
      </c>
      <c r="H2250">
        <v>275.2</v>
      </c>
      <c r="I2250">
        <v>249.5</v>
      </c>
      <c r="J2250">
        <v>96.8</v>
      </c>
      <c r="K2250">
        <v>66</v>
      </c>
      <c r="L2250">
        <v>25.3</v>
      </c>
      <c r="M2250">
        <v>8.5</v>
      </c>
      <c r="N2250">
        <v>9.2608319309032905E-2</v>
      </c>
      <c r="O2250">
        <v>5.8374503471407303E-2</v>
      </c>
    </row>
    <row r="2251" spans="1:15" x14ac:dyDescent="0.3">
      <c r="A2251">
        <v>9435</v>
      </c>
      <c r="B2251">
        <v>792</v>
      </c>
      <c r="C2251">
        <v>387</v>
      </c>
      <c r="D2251" t="s">
        <v>19</v>
      </c>
      <c r="E2251" t="s">
        <v>16</v>
      </c>
      <c r="F2251" t="s">
        <v>17</v>
      </c>
      <c r="G2251" t="s">
        <v>18</v>
      </c>
      <c r="H2251">
        <v>275.2</v>
      </c>
      <c r="I2251">
        <v>249.5</v>
      </c>
      <c r="J2251">
        <v>96.8</v>
      </c>
      <c r="K2251">
        <v>66</v>
      </c>
      <c r="L2251">
        <v>25.3</v>
      </c>
      <c r="M2251">
        <v>8.5</v>
      </c>
      <c r="N2251">
        <v>6.6822952749932801E-2</v>
      </c>
      <c r="O2251">
        <v>6.3781341343724901E-2</v>
      </c>
    </row>
    <row r="2252" spans="1:15" x14ac:dyDescent="0.3">
      <c r="A2252">
        <v>9436</v>
      </c>
      <c r="B2252">
        <v>792</v>
      </c>
      <c r="C2252">
        <v>387</v>
      </c>
      <c r="D2252" t="s">
        <v>19</v>
      </c>
      <c r="E2252" t="s">
        <v>16</v>
      </c>
      <c r="F2252" t="s">
        <v>17</v>
      </c>
      <c r="G2252" t="s">
        <v>18</v>
      </c>
      <c r="H2252">
        <v>275.2</v>
      </c>
      <c r="I2252">
        <v>249.5</v>
      </c>
      <c r="J2252">
        <v>96.8</v>
      </c>
      <c r="K2252">
        <v>66</v>
      </c>
      <c r="L2252">
        <v>25.3</v>
      </c>
      <c r="M2252">
        <v>8.5</v>
      </c>
      <c r="N2252">
        <v>8.8778046892536502E-2</v>
      </c>
      <c r="O2252">
        <v>7.0859353683827495E-2</v>
      </c>
    </row>
    <row r="2253" spans="1:15" x14ac:dyDescent="0.3">
      <c r="A2253">
        <v>9437</v>
      </c>
      <c r="B2253">
        <v>792</v>
      </c>
      <c r="C2253">
        <v>387</v>
      </c>
      <c r="D2253" t="s">
        <v>19</v>
      </c>
      <c r="E2253" t="s">
        <v>16</v>
      </c>
      <c r="F2253" t="s">
        <v>17</v>
      </c>
      <c r="G2253" t="s">
        <v>18</v>
      </c>
      <c r="H2253">
        <v>275.2</v>
      </c>
      <c r="I2253">
        <v>249.5</v>
      </c>
      <c r="J2253">
        <v>96.8</v>
      </c>
      <c r="K2253">
        <v>66</v>
      </c>
      <c r="L2253">
        <v>25.3</v>
      </c>
      <c r="M2253">
        <v>8.5</v>
      </c>
      <c r="N2253">
        <v>8.0840786556410194E-2</v>
      </c>
      <c r="O2253">
        <v>5.6232275876221503E-2</v>
      </c>
    </row>
    <row r="2254" spans="1:15" x14ac:dyDescent="0.3">
      <c r="A2254">
        <v>9438</v>
      </c>
      <c r="B2254">
        <v>792</v>
      </c>
      <c r="C2254">
        <v>387</v>
      </c>
      <c r="D2254" t="s">
        <v>19</v>
      </c>
      <c r="E2254" t="s">
        <v>16</v>
      </c>
      <c r="F2254" t="s">
        <v>17</v>
      </c>
      <c r="G2254" t="s">
        <v>18</v>
      </c>
      <c r="H2254">
        <v>275.2</v>
      </c>
      <c r="I2254">
        <v>249.5</v>
      </c>
      <c r="J2254">
        <v>96.8</v>
      </c>
      <c r="K2254">
        <v>66</v>
      </c>
      <c r="L2254">
        <v>25.3</v>
      </c>
      <c r="M2254">
        <v>8.5</v>
      </c>
      <c r="N2254">
        <v>7.58588196525007E-2</v>
      </c>
      <c r="O2254">
        <v>8.5993125510640894E-2</v>
      </c>
    </row>
    <row r="2255" spans="1:15" x14ac:dyDescent="0.3">
      <c r="A2255">
        <v>9452</v>
      </c>
      <c r="B2255">
        <v>801</v>
      </c>
      <c r="C2255">
        <v>149</v>
      </c>
      <c r="D2255" t="s">
        <v>19</v>
      </c>
      <c r="E2255" t="s">
        <v>20</v>
      </c>
      <c r="F2255" t="s">
        <v>21</v>
      </c>
      <c r="G2255" t="s">
        <v>18</v>
      </c>
      <c r="H2255">
        <v>275.8</v>
      </c>
      <c r="I2255">
        <v>245.5</v>
      </c>
      <c r="J2255">
        <v>93.1</v>
      </c>
      <c r="K2255">
        <v>67</v>
      </c>
      <c r="L2255">
        <v>28.1</v>
      </c>
      <c r="M2255">
        <v>7</v>
      </c>
      <c r="N2255">
        <v>0.16221569767104599</v>
      </c>
      <c r="O2255">
        <v>0.11585329076737499</v>
      </c>
    </row>
    <row r="2256" spans="1:15" x14ac:dyDescent="0.3">
      <c r="A2256">
        <v>9453</v>
      </c>
      <c r="B2256">
        <v>801</v>
      </c>
      <c r="C2256">
        <v>149</v>
      </c>
      <c r="D2256" t="s">
        <v>19</v>
      </c>
      <c r="E2256" t="s">
        <v>20</v>
      </c>
      <c r="F2256" t="s">
        <v>21</v>
      </c>
      <c r="G2256" t="s">
        <v>18</v>
      </c>
      <c r="H2256">
        <v>275.8</v>
      </c>
      <c r="I2256">
        <v>245.5</v>
      </c>
      <c r="J2256">
        <v>93.1</v>
      </c>
      <c r="K2256">
        <v>67</v>
      </c>
      <c r="L2256">
        <v>28.1</v>
      </c>
      <c r="M2256">
        <v>7</v>
      </c>
      <c r="N2256">
        <v>0.168826229861266</v>
      </c>
      <c r="O2256">
        <v>0.102810780644086</v>
      </c>
    </row>
    <row r="2257" spans="1:15" x14ac:dyDescent="0.3">
      <c r="A2257">
        <v>9454</v>
      </c>
      <c r="B2257">
        <v>801</v>
      </c>
      <c r="C2257">
        <v>149</v>
      </c>
      <c r="D2257" t="s">
        <v>19</v>
      </c>
      <c r="E2257" t="s">
        <v>20</v>
      </c>
      <c r="F2257" t="s">
        <v>21</v>
      </c>
      <c r="G2257" t="s">
        <v>18</v>
      </c>
      <c r="H2257">
        <v>275.8</v>
      </c>
      <c r="I2257">
        <v>245.5</v>
      </c>
      <c r="J2257">
        <v>93.1</v>
      </c>
      <c r="K2257">
        <v>67</v>
      </c>
      <c r="L2257">
        <v>28.1</v>
      </c>
      <c r="M2257">
        <v>7</v>
      </c>
      <c r="N2257">
        <v>0.181506639773693</v>
      </c>
      <c r="O2257">
        <v>8.7886160746250594E-2</v>
      </c>
    </row>
    <row r="2258" spans="1:15" x14ac:dyDescent="0.3">
      <c r="A2258">
        <v>9474</v>
      </c>
      <c r="B2258">
        <v>807</v>
      </c>
      <c r="C2258">
        <v>32</v>
      </c>
      <c r="D2258" t="s">
        <v>19</v>
      </c>
      <c r="E2258" t="s">
        <v>20</v>
      </c>
      <c r="F2258" t="s">
        <v>17</v>
      </c>
      <c r="G2258" t="s">
        <v>25</v>
      </c>
      <c r="H2258">
        <v>274.8</v>
      </c>
      <c r="I2258">
        <v>261</v>
      </c>
      <c r="J2258">
        <v>101</v>
      </c>
      <c r="K2258">
        <v>66</v>
      </c>
      <c r="L2258">
        <v>24.4</v>
      </c>
      <c r="M2258">
        <v>8.5</v>
      </c>
      <c r="N2258">
        <v>9.8939410979901096E-2</v>
      </c>
      <c r="O2258">
        <v>0.13039087741864999</v>
      </c>
    </row>
    <row r="2259" spans="1:15" x14ac:dyDescent="0.3">
      <c r="A2259">
        <v>9475</v>
      </c>
      <c r="B2259">
        <v>807</v>
      </c>
      <c r="C2259">
        <v>32</v>
      </c>
      <c r="D2259" t="s">
        <v>19</v>
      </c>
      <c r="E2259" t="s">
        <v>20</v>
      </c>
      <c r="F2259" t="s">
        <v>17</v>
      </c>
      <c r="G2259" t="s">
        <v>25</v>
      </c>
      <c r="H2259">
        <v>274.8</v>
      </c>
      <c r="I2259">
        <v>261</v>
      </c>
      <c r="J2259">
        <v>101</v>
      </c>
      <c r="K2259">
        <v>66</v>
      </c>
      <c r="L2259">
        <v>24.4</v>
      </c>
      <c r="M2259">
        <v>8.5</v>
      </c>
      <c r="N2259">
        <v>0.105797321430507</v>
      </c>
      <c r="O2259">
        <v>0.141311459382647</v>
      </c>
    </row>
    <row r="2260" spans="1:15" x14ac:dyDescent="0.3">
      <c r="A2260">
        <v>9476</v>
      </c>
      <c r="B2260">
        <v>807</v>
      </c>
      <c r="C2260">
        <v>32</v>
      </c>
      <c r="D2260" t="s">
        <v>19</v>
      </c>
      <c r="E2260" t="s">
        <v>20</v>
      </c>
      <c r="F2260" t="s">
        <v>17</v>
      </c>
      <c r="G2260" t="s">
        <v>25</v>
      </c>
      <c r="H2260">
        <v>274.8</v>
      </c>
      <c r="I2260">
        <v>261</v>
      </c>
      <c r="J2260">
        <v>101</v>
      </c>
      <c r="K2260">
        <v>66</v>
      </c>
      <c r="L2260">
        <v>24.4</v>
      </c>
      <c r="M2260">
        <v>8.5</v>
      </c>
      <c r="N2260">
        <v>0.110001123577915</v>
      </c>
      <c r="O2260">
        <v>0.14422345228609701</v>
      </c>
    </row>
    <row r="2261" spans="1:15" x14ac:dyDescent="0.3">
      <c r="A2261">
        <v>9477</v>
      </c>
      <c r="B2261">
        <v>807</v>
      </c>
      <c r="C2261">
        <v>32</v>
      </c>
      <c r="D2261" t="s">
        <v>19</v>
      </c>
      <c r="E2261" t="s">
        <v>20</v>
      </c>
      <c r="F2261" t="s">
        <v>17</v>
      </c>
      <c r="G2261" t="s">
        <v>25</v>
      </c>
      <c r="H2261">
        <v>274.8</v>
      </c>
      <c r="I2261">
        <v>261</v>
      </c>
      <c r="J2261">
        <v>101</v>
      </c>
      <c r="K2261">
        <v>66</v>
      </c>
      <c r="L2261">
        <v>24.4</v>
      </c>
      <c r="M2261">
        <v>8.5</v>
      </c>
      <c r="N2261">
        <v>0.115056515698938</v>
      </c>
      <c r="O2261">
        <v>0.154612384760934</v>
      </c>
    </row>
    <row r="2262" spans="1:15" x14ac:dyDescent="0.3">
      <c r="A2262">
        <v>9478</v>
      </c>
      <c r="B2262">
        <v>807</v>
      </c>
      <c r="C2262">
        <v>32</v>
      </c>
      <c r="D2262" t="s">
        <v>19</v>
      </c>
      <c r="E2262" t="s">
        <v>20</v>
      </c>
      <c r="F2262" t="s">
        <v>17</v>
      </c>
      <c r="G2262" t="s">
        <v>25</v>
      </c>
      <c r="H2262">
        <v>274.8</v>
      </c>
      <c r="I2262">
        <v>261</v>
      </c>
      <c r="J2262">
        <v>101</v>
      </c>
      <c r="K2262">
        <v>66</v>
      </c>
      <c r="L2262">
        <v>24.4</v>
      </c>
      <c r="M2262">
        <v>8.5</v>
      </c>
      <c r="N2262">
        <v>0.13647302986739199</v>
      </c>
      <c r="O2262">
        <v>0.12556190437120299</v>
      </c>
    </row>
    <row r="2263" spans="1:15" x14ac:dyDescent="0.3">
      <c r="A2263">
        <v>9480</v>
      </c>
      <c r="B2263">
        <v>809</v>
      </c>
      <c r="C2263">
        <v>298</v>
      </c>
      <c r="D2263" t="s">
        <v>19</v>
      </c>
      <c r="E2263" t="s">
        <v>20</v>
      </c>
      <c r="F2263" t="s">
        <v>21</v>
      </c>
      <c r="G2263" t="s">
        <v>24</v>
      </c>
      <c r="H2263">
        <v>275.60000000000002</v>
      </c>
      <c r="I2263">
        <v>251</v>
      </c>
      <c r="J2263">
        <v>95.1</v>
      </c>
      <c r="K2263">
        <v>66.5</v>
      </c>
      <c r="L2263">
        <v>25.3</v>
      </c>
      <c r="M2263">
        <v>10.5</v>
      </c>
      <c r="N2263">
        <v>0.31054789754176099</v>
      </c>
      <c r="O2263">
        <v>8.2878622945235098E-2</v>
      </c>
    </row>
    <row r="2264" spans="1:15" x14ac:dyDescent="0.3">
      <c r="A2264">
        <v>9483</v>
      </c>
      <c r="B2264">
        <v>810</v>
      </c>
      <c r="C2264">
        <v>233</v>
      </c>
      <c r="D2264" t="s">
        <v>19</v>
      </c>
      <c r="E2264" t="s">
        <v>20</v>
      </c>
      <c r="F2264" t="s">
        <v>21</v>
      </c>
      <c r="G2264" t="s">
        <v>22</v>
      </c>
      <c r="H2264">
        <v>274.7</v>
      </c>
      <c r="I2264">
        <v>248.5</v>
      </c>
      <c r="J2264">
        <v>95.9</v>
      </c>
      <c r="K2264">
        <v>63.5</v>
      </c>
      <c r="L2264">
        <v>27.6</v>
      </c>
      <c r="M2264">
        <v>11</v>
      </c>
      <c r="N2264">
        <v>4.1271954127953099E-2</v>
      </c>
      <c r="O2264">
        <v>0.117374663229512</v>
      </c>
    </row>
    <row r="2265" spans="1:15" x14ac:dyDescent="0.3">
      <c r="A2265">
        <v>9490</v>
      </c>
      <c r="B2265">
        <v>814</v>
      </c>
      <c r="C2265">
        <v>279</v>
      </c>
      <c r="D2265" t="s">
        <v>23</v>
      </c>
      <c r="E2265" t="s">
        <v>16</v>
      </c>
      <c r="F2265" t="s">
        <v>17</v>
      </c>
      <c r="G2265" t="s">
        <v>18</v>
      </c>
      <c r="H2265">
        <v>273.8</v>
      </c>
      <c r="I2265">
        <v>248.5</v>
      </c>
      <c r="J2265">
        <v>97.9</v>
      </c>
      <c r="K2265">
        <v>65.5</v>
      </c>
      <c r="L2265">
        <v>24.9</v>
      </c>
      <c r="M2265">
        <v>4</v>
      </c>
      <c r="N2265">
        <v>0.232600572176964</v>
      </c>
      <c r="O2265">
        <v>0.365011697928872</v>
      </c>
    </row>
    <row r="2266" spans="1:15" x14ac:dyDescent="0.3">
      <c r="A2266">
        <v>9491</v>
      </c>
      <c r="B2266">
        <v>814</v>
      </c>
      <c r="C2266">
        <v>279</v>
      </c>
      <c r="D2266" t="s">
        <v>23</v>
      </c>
      <c r="E2266" t="s">
        <v>16</v>
      </c>
      <c r="F2266" t="s">
        <v>17</v>
      </c>
      <c r="G2266" t="s">
        <v>18</v>
      </c>
      <c r="H2266">
        <v>273.8</v>
      </c>
      <c r="I2266">
        <v>248.5</v>
      </c>
      <c r="J2266">
        <v>97.9</v>
      </c>
      <c r="K2266">
        <v>65.5</v>
      </c>
      <c r="L2266">
        <v>24.9</v>
      </c>
      <c r="M2266">
        <v>4</v>
      </c>
      <c r="N2266">
        <v>0.24402850374006901</v>
      </c>
      <c r="O2266">
        <v>0.38980018836122299</v>
      </c>
    </row>
    <row r="2267" spans="1:15" x14ac:dyDescent="0.3">
      <c r="A2267">
        <v>9492</v>
      </c>
      <c r="B2267">
        <v>814</v>
      </c>
      <c r="C2267">
        <v>279</v>
      </c>
      <c r="D2267" t="s">
        <v>23</v>
      </c>
      <c r="E2267" t="s">
        <v>16</v>
      </c>
      <c r="F2267" t="s">
        <v>17</v>
      </c>
      <c r="G2267" t="s">
        <v>18</v>
      </c>
      <c r="H2267">
        <v>273.8</v>
      </c>
      <c r="I2267">
        <v>248.5</v>
      </c>
      <c r="J2267">
        <v>97.9</v>
      </c>
      <c r="K2267">
        <v>65.5</v>
      </c>
      <c r="L2267">
        <v>24.9</v>
      </c>
      <c r="M2267">
        <v>4</v>
      </c>
      <c r="N2267">
        <v>0.22523175835155701</v>
      </c>
      <c r="O2267">
        <v>0.37853755913300302</v>
      </c>
    </row>
    <row r="2268" spans="1:15" x14ac:dyDescent="0.3">
      <c r="A2268">
        <v>9493</v>
      </c>
      <c r="B2268">
        <v>814</v>
      </c>
      <c r="C2268">
        <v>279</v>
      </c>
      <c r="D2268" t="s">
        <v>23</v>
      </c>
      <c r="E2268" t="s">
        <v>16</v>
      </c>
      <c r="F2268" t="s">
        <v>17</v>
      </c>
      <c r="G2268" t="s">
        <v>18</v>
      </c>
      <c r="H2268">
        <v>273.8</v>
      </c>
      <c r="I2268">
        <v>248.5</v>
      </c>
      <c r="J2268">
        <v>97.9</v>
      </c>
      <c r="K2268">
        <v>65.5</v>
      </c>
      <c r="L2268">
        <v>24.9</v>
      </c>
      <c r="M2268">
        <v>4</v>
      </c>
      <c r="N2268">
        <v>0.22425124129699101</v>
      </c>
      <c r="O2268">
        <v>0.36567199050921101</v>
      </c>
    </row>
    <row r="2269" spans="1:15" x14ac:dyDescent="0.3">
      <c r="A2269">
        <v>9495</v>
      </c>
      <c r="B2269">
        <v>816</v>
      </c>
      <c r="C2269">
        <v>483</v>
      </c>
      <c r="D2269" t="s">
        <v>23</v>
      </c>
      <c r="E2269" t="s">
        <v>20</v>
      </c>
      <c r="F2269" t="s">
        <v>21</v>
      </c>
      <c r="G2269" t="s">
        <v>22</v>
      </c>
      <c r="H2269">
        <v>271.89999999999998</v>
      </c>
      <c r="I2269">
        <v>246</v>
      </c>
      <c r="J2269">
        <v>94.4</v>
      </c>
      <c r="K2269">
        <v>60.5</v>
      </c>
      <c r="L2269">
        <v>27.6</v>
      </c>
      <c r="M2269">
        <v>13.5</v>
      </c>
      <c r="N2269">
        <v>0.113359389719696</v>
      </c>
      <c r="O2269">
        <v>0.19598579177485501</v>
      </c>
    </row>
    <row r="2270" spans="1:15" x14ac:dyDescent="0.3">
      <c r="A2270">
        <v>9496</v>
      </c>
      <c r="B2270">
        <v>816</v>
      </c>
      <c r="C2270">
        <v>483</v>
      </c>
      <c r="D2270" t="s">
        <v>23</v>
      </c>
      <c r="E2270" t="s">
        <v>20</v>
      </c>
      <c r="F2270" t="s">
        <v>21</v>
      </c>
      <c r="G2270" t="s">
        <v>22</v>
      </c>
      <c r="H2270">
        <v>271.89999999999998</v>
      </c>
      <c r="I2270">
        <v>246</v>
      </c>
      <c r="J2270">
        <v>94.4</v>
      </c>
      <c r="K2270">
        <v>60.5</v>
      </c>
      <c r="L2270">
        <v>27.6</v>
      </c>
      <c r="M2270">
        <v>13.5</v>
      </c>
      <c r="N2270">
        <v>0.13274070278963401</v>
      </c>
      <c r="O2270">
        <v>0.20005808936153599</v>
      </c>
    </row>
    <row r="2271" spans="1:15" x14ac:dyDescent="0.3">
      <c r="A2271">
        <v>9504</v>
      </c>
      <c r="B2271">
        <v>82</v>
      </c>
      <c r="C2271">
        <v>248</v>
      </c>
      <c r="D2271" t="s">
        <v>15</v>
      </c>
      <c r="E2271" t="s">
        <v>20</v>
      </c>
      <c r="F2271" t="s">
        <v>17</v>
      </c>
      <c r="G2271" t="s">
        <v>22</v>
      </c>
      <c r="H2271">
        <v>281.60000000000002</v>
      </c>
      <c r="I2271">
        <v>267</v>
      </c>
      <c r="J2271">
        <v>101.8</v>
      </c>
      <c r="K2271">
        <v>71</v>
      </c>
      <c r="L2271">
        <v>29.9</v>
      </c>
      <c r="M2271">
        <v>12.5</v>
      </c>
      <c r="N2271">
        <v>0.159804799466881</v>
      </c>
      <c r="O2271">
        <v>0.18129155221311499</v>
      </c>
    </row>
    <row r="2272" spans="1:15" x14ac:dyDescent="0.3">
      <c r="A2272">
        <v>9506</v>
      </c>
      <c r="B2272">
        <v>82</v>
      </c>
      <c r="C2272">
        <v>248</v>
      </c>
      <c r="D2272" t="s">
        <v>15</v>
      </c>
      <c r="E2272" t="s">
        <v>20</v>
      </c>
      <c r="F2272" t="s">
        <v>17</v>
      </c>
      <c r="G2272" t="s">
        <v>22</v>
      </c>
      <c r="H2272">
        <v>281.60000000000002</v>
      </c>
      <c r="I2272">
        <v>267</v>
      </c>
      <c r="J2272">
        <v>101.8</v>
      </c>
      <c r="K2272">
        <v>71</v>
      </c>
      <c r="L2272">
        <v>29.9</v>
      </c>
      <c r="M2272">
        <v>12.5</v>
      </c>
      <c r="N2272">
        <v>0.14920791905841499</v>
      </c>
      <c r="O2272">
        <v>0.18004436449120101</v>
      </c>
    </row>
    <row r="2273" spans="1:15" x14ac:dyDescent="0.3">
      <c r="A2273">
        <v>9511</v>
      </c>
      <c r="B2273">
        <v>821</v>
      </c>
      <c r="C2273">
        <v>6</v>
      </c>
      <c r="D2273" t="s">
        <v>15</v>
      </c>
      <c r="E2273" t="s">
        <v>20</v>
      </c>
      <c r="F2273" t="s">
        <v>17</v>
      </c>
      <c r="G2273" t="s">
        <v>22</v>
      </c>
      <c r="H2273">
        <v>275.5</v>
      </c>
      <c r="I2273">
        <v>250.5</v>
      </c>
      <c r="J2273">
        <v>94.7</v>
      </c>
      <c r="K2273">
        <v>66.5</v>
      </c>
      <c r="L2273">
        <v>25.3</v>
      </c>
      <c r="M2273">
        <v>7.5</v>
      </c>
      <c r="N2273">
        <v>0.13598043849679001</v>
      </c>
      <c r="O2273">
        <v>3.7392563010683602E-3</v>
      </c>
    </row>
    <row r="2274" spans="1:15" x14ac:dyDescent="0.3">
      <c r="A2274">
        <v>9512</v>
      </c>
      <c r="B2274">
        <v>821</v>
      </c>
      <c r="C2274">
        <v>6</v>
      </c>
      <c r="D2274" t="s">
        <v>15</v>
      </c>
      <c r="E2274" t="s">
        <v>20</v>
      </c>
      <c r="F2274" t="s">
        <v>17</v>
      </c>
      <c r="G2274" t="s">
        <v>22</v>
      </c>
      <c r="H2274">
        <v>275.5</v>
      </c>
      <c r="I2274">
        <v>250.5</v>
      </c>
      <c r="J2274">
        <v>94.7</v>
      </c>
      <c r="K2274">
        <v>66.5</v>
      </c>
      <c r="L2274">
        <v>25.3</v>
      </c>
      <c r="M2274">
        <v>7.5</v>
      </c>
      <c r="N2274">
        <v>0.13036215499926801</v>
      </c>
      <c r="O2274">
        <v>1.1149736871886E-2</v>
      </c>
    </row>
    <row r="2275" spans="1:15" x14ac:dyDescent="0.3">
      <c r="A2275">
        <v>9537</v>
      </c>
      <c r="B2275">
        <v>833</v>
      </c>
      <c r="C2275">
        <v>98</v>
      </c>
      <c r="D2275" t="s">
        <v>23</v>
      </c>
      <c r="E2275" t="s">
        <v>20</v>
      </c>
      <c r="F2275" t="s">
        <v>17</v>
      </c>
      <c r="G2275" t="s">
        <v>25</v>
      </c>
      <c r="H2275">
        <v>276.60000000000002</v>
      </c>
      <c r="I2275">
        <v>257.5</v>
      </c>
      <c r="J2275">
        <v>95.2</v>
      </c>
      <c r="K2275">
        <v>67.5</v>
      </c>
      <c r="L2275">
        <v>24.1</v>
      </c>
      <c r="M2275">
        <v>9.5</v>
      </c>
      <c r="N2275">
        <v>0.20101448909994599</v>
      </c>
      <c r="O2275">
        <v>0.36607587511462902</v>
      </c>
    </row>
    <row r="2276" spans="1:15" x14ac:dyDescent="0.3">
      <c r="A2276">
        <v>9538</v>
      </c>
      <c r="B2276">
        <v>833</v>
      </c>
      <c r="C2276">
        <v>98</v>
      </c>
      <c r="D2276" t="s">
        <v>23</v>
      </c>
      <c r="E2276" t="s">
        <v>20</v>
      </c>
      <c r="F2276" t="s">
        <v>17</v>
      </c>
      <c r="G2276" t="s">
        <v>25</v>
      </c>
      <c r="H2276">
        <v>276.60000000000002</v>
      </c>
      <c r="I2276">
        <v>257.5</v>
      </c>
      <c r="J2276">
        <v>95.2</v>
      </c>
      <c r="K2276">
        <v>67.5</v>
      </c>
      <c r="L2276">
        <v>24.1</v>
      </c>
      <c r="M2276">
        <v>9.5</v>
      </c>
      <c r="N2276">
        <v>0.19376041223044299</v>
      </c>
      <c r="O2276">
        <v>0.38437141097605199</v>
      </c>
    </row>
    <row r="2277" spans="1:15" x14ac:dyDescent="0.3">
      <c r="A2277">
        <v>9539</v>
      </c>
      <c r="B2277">
        <v>833</v>
      </c>
      <c r="C2277">
        <v>98</v>
      </c>
      <c r="D2277" t="s">
        <v>23</v>
      </c>
      <c r="E2277" t="s">
        <v>20</v>
      </c>
      <c r="F2277" t="s">
        <v>17</v>
      </c>
      <c r="G2277" t="s">
        <v>25</v>
      </c>
      <c r="H2277">
        <v>276.60000000000002</v>
      </c>
      <c r="I2277">
        <v>257.5</v>
      </c>
      <c r="J2277">
        <v>95.2</v>
      </c>
      <c r="K2277">
        <v>67.5</v>
      </c>
      <c r="L2277">
        <v>24.1</v>
      </c>
      <c r="M2277">
        <v>9.5</v>
      </c>
      <c r="N2277">
        <v>0.179396198299766</v>
      </c>
      <c r="O2277">
        <v>0.366001826257351</v>
      </c>
    </row>
    <row r="2278" spans="1:15" x14ac:dyDescent="0.3">
      <c r="A2278">
        <v>9545</v>
      </c>
      <c r="B2278">
        <v>835</v>
      </c>
      <c r="C2278">
        <v>114</v>
      </c>
      <c r="D2278" t="s">
        <v>19</v>
      </c>
      <c r="E2278" t="s">
        <v>16</v>
      </c>
      <c r="F2278" t="s">
        <v>17</v>
      </c>
      <c r="G2278" t="s">
        <v>24</v>
      </c>
      <c r="H2278">
        <v>275.89999999999998</v>
      </c>
      <c r="I2278">
        <v>254</v>
      </c>
      <c r="J2278">
        <v>97.2</v>
      </c>
      <c r="K2278">
        <v>66.5</v>
      </c>
      <c r="L2278">
        <v>28.5</v>
      </c>
      <c r="M2278">
        <v>5.5</v>
      </c>
      <c r="N2278">
        <v>0.10656199428423099</v>
      </c>
      <c r="O2278">
        <v>0.196465912563171</v>
      </c>
    </row>
    <row r="2279" spans="1:15" x14ac:dyDescent="0.3">
      <c r="A2279">
        <v>9546</v>
      </c>
      <c r="B2279">
        <v>835</v>
      </c>
      <c r="C2279">
        <v>114</v>
      </c>
      <c r="D2279" t="s">
        <v>19</v>
      </c>
      <c r="E2279" t="s">
        <v>16</v>
      </c>
      <c r="F2279" t="s">
        <v>17</v>
      </c>
      <c r="G2279" t="s">
        <v>24</v>
      </c>
      <c r="H2279">
        <v>275.89999999999998</v>
      </c>
      <c r="I2279">
        <v>254</v>
      </c>
      <c r="J2279">
        <v>97.2</v>
      </c>
      <c r="K2279">
        <v>66.5</v>
      </c>
      <c r="L2279">
        <v>28.5</v>
      </c>
      <c r="M2279">
        <v>5.5</v>
      </c>
      <c r="N2279">
        <v>0.116376621577454</v>
      </c>
      <c r="O2279">
        <v>0.200389856324032</v>
      </c>
    </row>
    <row r="2280" spans="1:15" x14ac:dyDescent="0.3">
      <c r="A2280">
        <v>9551</v>
      </c>
      <c r="B2280">
        <v>838</v>
      </c>
      <c r="C2280">
        <v>71</v>
      </c>
      <c r="D2280" t="s">
        <v>23</v>
      </c>
      <c r="E2280" t="s">
        <v>20</v>
      </c>
      <c r="F2280" t="s">
        <v>21</v>
      </c>
      <c r="G2280" t="s">
        <v>18</v>
      </c>
      <c r="H2280">
        <v>281</v>
      </c>
      <c r="I2280">
        <v>265.5</v>
      </c>
      <c r="J2280">
        <v>100.2</v>
      </c>
      <c r="K2280">
        <v>66.5</v>
      </c>
      <c r="L2280">
        <v>25.2</v>
      </c>
      <c r="M2280">
        <v>8</v>
      </c>
      <c r="N2280">
        <v>0.18093796990210301</v>
      </c>
      <c r="O2280">
        <v>0.15819963648090801</v>
      </c>
    </row>
    <row r="2281" spans="1:15" x14ac:dyDescent="0.3">
      <c r="A2281">
        <v>9552</v>
      </c>
      <c r="B2281">
        <v>838</v>
      </c>
      <c r="C2281">
        <v>71</v>
      </c>
      <c r="D2281" t="s">
        <v>23</v>
      </c>
      <c r="E2281" t="s">
        <v>20</v>
      </c>
      <c r="F2281" t="s">
        <v>21</v>
      </c>
      <c r="G2281" t="s">
        <v>18</v>
      </c>
      <c r="H2281">
        <v>281</v>
      </c>
      <c r="I2281">
        <v>265.5</v>
      </c>
      <c r="J2281">
        <v>100.2</v>
      </c>
      <c r="K2281">
        <v>66.5</v>
      </c>
      <c r="L2281">
        <v>25.2</v>
      </c>
      <c r="M2281">
        <v>8</v>
      </c>
      <c r="N2281">
        <v>0.154724032846037</v>
      </c>
      <c r="O2281">
        <v>0.15324741598778499</v>
      </c>
    </row>
    <row r="2282" spans="1:15" x14ac:dyDescent="0.3">
      <c r="A2282">
        <v>9569</v>
      </c>
      <c r="B2282">
        <v>848</v>
      </c>
      <c r="C2282">
        <v>400</v>
      </c>
      <c r="D2282" t="s">
        <v>19</v>
      </c>
      <c r="E2282" t="s">
        <v>20</v>
      </c>
      <c r="F2282" t="s">
        <v>21</v>
      </c>
      <c r="G2282" t="s">
        <v>26</v>
      </c>
      <c r="H2282">
        <v>274.10000000000002</v>
      </c>
      <c r="I2282">
        <v>253</v>
      </c>
      <c r="J2282">
        <v>96.6</v>
      </c>
      <c r="K2282">
        <v>66.5</v>
      </c>
      <c r="L2282">
        <v>25.5</v>
      </c>
      <c r="M2282">
        <v>12</v>
      </c>
      <c r="N2282">
        <v>5.4083843225789997E-2</v>
      </c>
      <c r="O2282">
        <v>9.7233300893212499E-2</v>
      </c>
    </row>
    <row r="2283" spans="1:15" x14ac:dyDescent="0.3">
      <c r="A2283">
        <v>9570</v>
      </c>
      <c r="B2283">
        <v>848</v>
      </c>
      <c r="C2283">
        <v>400</v>
      </c>
      <c r="D2283" t="s">
        <v>19</v>
      </c>
      <c r="E2283" t="s">
        <v>20</v>
      </c>
      <c r="F2283" t="s">
        <v>21</v>
      </c>
      <c r="G2283" t="s">
        <v>26</v>
      </c>
      <c r="H2283">
        <v>274.10000000000002</v>
      </c>
      <c r="I2283">
        <v>253</v>
      </c>
      <c r="J2283">
        <v>96.6</v>
      </c>
      <c r="K2283">
        <v>66.5</v>
      </c>
      <c r="L2283">
        <v>25.5</v>
      </c>
      <c r="M2283">
        <v>12</v>
      </c>
      <c r="N2283">
        <v>6.3374503116801803E-2</v>
      </c>
      <c r="O2283">
        <v>8.0981278957766398E-2</v>
      </c>
    </row>
    <row r="2284" spans="1:15" x14ac:dyDescent="0.3">
      <c r="A2284">
        <v>9583</v>
      </c>
      <c r="B2284">
        <v>854</v>
      </c>
      <c r="C2284">
        <v>29</v>
      </c>
      <c r="D2284" t="s">
        <v>19</v>
      </c>
      <c r="E2284" t="s">
        <v>20</v>
      </c>
      <c r="F2284" t="s">
        <v>17</v>
      </c>
      <c r="G2284" t="s">
        <v>24</v>
      </c>
      <c r="H2284">
        <v>276.60000000000002</v>
      </c>
      <c r="I2284">
        <v>256.5</v>
      </c>
      <c r="J2284">
        <v>98.4</v>
      </c>
      <c r="K2284">
        <v>67.5</v>
      </c>
      <c r="L2284">
        <v>28.3</v>
      </c>
      <c r="M2284">
        <v>8</v>
      </c>
      <c r="N2284">
        <v>0.19900601482517599</v>
      </c>
      <c r="O2284">
        <v>9.2775477369904505E-2</v>
      </c>
    </row>
    <row r="2285" spans="1:15" x14ac:dyDescent="0.3">
      <c r="A2285">
        <v>9584</v>
      </c>
      <c r="B2285">
        <v>854</v>
      </c>
      <c r="C2285">
        <v>29</v>
      </c>
      <c r="D2285" t="s">
        <v>19</v>
      </c>
      <c r="E2285" t="s">
        <v>20</v>
      </c>
      <c r="F2285" t="s">
        <v>17</v>
      </c>
      <c r="G2285" t="s">
        <v>24</v>
      </c>
      <c r="H2285">
        <v>276.60000000000002</v>
      </c>
      <c r="I2285">
        <v>256.5</v>
      </c>
      <c r="J2285">
        <v>98.4</v>
      </c>
      <c r="K2285">
        <v>67.5</v>
      </c>
      <c r="L2285">
        <v>28.3</v>
      </c>
      <c r="M2285">
        <v>8</v>
      </c>
      <c r="N2285">
        <v>0.22233539954730699</v>
      </c>
      <c r="O2285">
        <v>0.10889778911810399</v>
      </c>
    </row>
    <row r="2286" spans="1:15" x14ac:dyDescent="0.3">
      <c r="A2286">
        <v>9585</v>
      </c>
      <c r="B2286">
        <v>854</v>
      </c>
      <c r="C2286">
        <v>29</v>
      </c>
      <c r="D2286" t="s">
        <v>19</v>
      </c>
      <c r="E2286" t="s">
        <v>20</v>
      </c>
      <c r="F2286" t="s">
        <v>17</v>
      </c>
      <c r="G2286" t="s">
        <v>24</v>
      </c>
      <c r="H2286">
        <v>276.60000000000002</v>
      </c>
      <c r="I2286">
        <v>256.5</v>
      </c>
      <c r="J2286">
        <v>98.4</v>
      </c>
      <c r="K2286">
        <v>67.5</v>
      </c>
      <c r="L2286">
        <v>28.3</v>
      </c>
      <c r="M2286">
        <v>8</v>
      </c>
      <c r="N2286">
        <v>0.193541380262542</v>
      </c>
      <c r="O2286">
        <v>8.9279532528375297E-2</v>
      </c>
    </row>
    <row r="2287" spans="1:15" x14ac:dyDescent="0.3">
      <c r="A2287">
        <v>9586</v>
      </c>
      <c r="B2287">
        <v>854</v>
      </c>
      <c r="C2287">
        <v>29</v>
      </c>
      <c r="D2287" t="s">
        <v>19</v>
      </c>
      <c r="E2287" t="s">
        <v>20</v>
      </c>
      <c r="F2287" t="s">
        <v>17</v>
      </c>
      <c r="G2287" t="s">
        <v>24</v>
      </c>
      <c r="H2287">
        <v>276.60000000000002</v>
      </c>
      <c r="I2287">
        <v>256.5</v>
      </c>
      <c r="J2287">
        <v>98.4</v>
      </c>
      <c r="K2287">
        <v>67.5</v>
      </c>
      <c r="L2287">
        <v>28.3</v>
      </c>
      <c r="M2287">
        <v>8</v>
      </c>
      <c r="N2287">
        <v>0.22064567810028099</v>
      </c>
      <c r="O2287">
        <v>8.5001298995389801E-2</v>
      </c>
    </row>
    <row r="2288" spans="1:15" x14ac:dyDescent="0.3">
      <c r="A2288">
        <v>9588</v>
      </c>
      <c r="B2288">
        <v>856</v>
      </c>
      <c r="C2288">
        <v>337</v>
      </c>
      <c r="D2288" t="s">
        <v>23</v>
      </c>
      <c r="E2288" t="s">
        <v>20</v>
      </c>
      <c r="F2288" t="s">
        <v>21</v>
      </c>
      <c r="G2288" t="s">
        <v>24</v>
      </c>
      <c r="H2288">
        <v>279.7</v>
      </c>
      <c r="I2288">
        <v>255</v>
      </c>
      <c r="J2288">
        <v>95.2</v>
      </c>
      <c r="K2288">
        <v>68</v>
      </c>
      <c r="L2288">
        <v>25.3</v>
      </c>
      <c r="M2288">
        <v>5.5</v>
      </c>
      <c r="N2288">
        <v>0.214867630301976</v>
      </c>
      <c r="O2288">
        <v>0.35284813701330298</v>
      </c>
    </row>
    <row r="2289" spans="1:15" x14ac:dyDescent="0.3">
      <c r="A2289">
        <v>9589</v>
      </c>
      <c r="B2289">
        <v>856</v>
      </c>
      <c r="C2289">
        <v>337</v>
      </c>
      <c r="D2289" t="s">
        <v>23</v>
      </c>
      <c r="E2289" t="s">
        <v>20</v>
      </c>
      <c r="F2289" t="s">
        <v>21</v>
      </c>
      <c r="G2289" t="s">
        <v>24</v>
      </c>
      <c r="H2289">
        <v>279.7</v>
      </c>
      <c r="I2289">
        <v>255</v>
      </c>
      <c r="J2289">
        <v>95.2</v>
      </c>
      <c r="K2289">
        <v>68</v>
      </c>
      <c r="L2289">
        <v>25.3</v>
      </c>
      <c r="M2289">
        <v>5.5</v>
      </c>
      <c r="N2289">
        <v>0.21456731746979499</v>
      </c>
      <c r="O2289">
        <v>0.384823817890247</v>
      </c>
    </row>
    <row r="2290" spans="1:15" x14ac:dyDescent="0.3">
      <c r="A2290">
        <v>9590</v>
      </c>
      <c r="B2290">
        <v>856</v>
      </c>
      <c r="C2290">
        <v>337</v>
      </c>
      <c r="D2290" t="s">
        <v>23</v>
      </c>
      <c r="E2290" t="s">
        <v>20</v>
      </c>
      <c r="F2290" t="s">
        <v>21</v>
      </c>
      <c r="G2290" t="s">
        <v>24</v>
      </c>
      <c r="H2290">
        <v>279.7</v>
      </c>
      <c r="I2290">
        <v>255</v>
      </c>
      <c r="J2290">
        <v>95.2</v>
      </c>
      <c r="K2290">
        <v>68</v>
      </c>
      <c r="L2290">
        <v>25.3</v>
      </c>
      <c r="M2290">
        <v>5.5</v>
      </c>
      <c r="N2290">
        <v>0.20883923519188999</v>
      </c>
      <c r="O2290">
        <v>0.35610337552143401</v>
      </c>
    </row>
    <row r="2291" spans="1:15" x14ac:dyDescent="0.3">
      <c r="A2291">
        <v>9591</v>
      </c>
      <c r="B2291">
        <v>857</v>
      </c>
      <c r="C2291">
        <v>112</v>
      </c>
      <c r="D2291" t="s">
        <v>19</v>
      </c>
      <c r="E2291" t="s">
        <v>20</v>
      </c>
      <c r="F2291" t="s">
        <v>17</v>
      </c>
      <c r="G2291" t="s">
        <v>26</v>
      </c>
      <c r="H2291">
        <v>277.2</v>
      </c>
      <c r="I2291">
        <v>249</v>
      </c>
      <c r="J2291">
        <v>95</v>
      </c>
      <c r="K2291">
        <v>64</v>
      </c>
      <c r="L2291">
        <v>29.1</v>
      </c>
      <c r="M2291">
        <v>7</v>
      </c>
      <c r="N2291">
        <v>0.142216792782552</v>
      </c>
      <c r="O2291">
        <v>0.10065690015253501</v>
      </c>
    </row>
    <row r="2292" spans="1:15" x14ac:dyDescent="0.3">
      <c r="A2292">
        <v>9592</v>
      </c>
      <c r="B2292">
        <v>857</v>
      </c>
      <c r="C2292">
        <v>112</v>
      </c>
      <c r="D2292" t="s">
        <v>19</v>
      </c>
      <c r="E2292" t="s">
        <v>20</v>
      </c>
      <c r="F2292" t="s">
        <v>17</v>
      </c>
      <c r="G2292" t="s">
        <v>26</v>
      </c>
      <c r="H2292">
        <v>277.2</v>
      </c>
      <c r="I2292">
        <v>249</v>
      </c>
      <c r="J2292">
        <v>95</v>
      </c>
      <c r="K2292">
        <v>64</v>
      </c>
      <c r="L2292">
        <v>29.1</v>
      </c>
      <c r="M2292">
        <v>7</v>
      </c>
      <c r="N2292">
        <v>0.173259996610551</v>
      </c>
      <c r="O2292">
        <v>9.0117169761201293E-2</v>
      </c>
    </row>
    <row r="2293" spans="1:15" x14ac:dyDescent="0.3">
      <c r="A2293">
        <v>9593</v>
      </c>
      <c r="B2293">
        <v>857</v>
      </c>
      <c r="C2293">
        <v>112</v>
      </c>
      <c r="D2293" t="s">
        <v>19</v>
      </c>
      <c r="E2293" t="s">
        <v>20</v>
      </c>
      <c r="F2293" t="s">
        <v>17</v>
      </c>
      <c r="G2293" t="s">
        <v>26</v>
      </c>
      <c r="H2293">
        <v>277.2</v>
      </c>
      <c r="I2293">
        <v>249</v>
      </c>
      <c r="J2293">
        <v>95</v>
      </c>
      <c r="K2293">
        <v>64</v>
      </c>
      <c r="L2293">
        <v>29.1</v>
      </c>
      <c r="M2293">
        <v>7</v>
      </c>
      <c r="N2293">
        <v>0.16172045595693599</v>
      </c>
      <c r="O2293">
        <v>0.12349253226504101</v>
      </c>
    </row>
    <row r="2294" spans="1:15" x14ac:dyDescent="0.3">
      <c r="A2294">
        <v>9594</v>
      </c>
      <c r="B2294">
        <v>857</v>
      </c>
      <c r="C2294">
        <v>112</v>
      </c>
      <c r="D2294" t="s">
        <v>19</v>
      </c>
      <c r="E2294" t="s">
        <v>20</v>
      </c>
      <c r="F2294" t="s">
        <v>17</v>
      </c>
      <c r="G2294" t="s">
        <v>26</v>
      </c>
      <c r="H2294">
        <v>277.2</v>
      </c>
      <c r="I2294">
        <v>249</v>
      </c>
      <c r="J2294">
        <v>95</v>
      </c>
      <c r="K2294">
        <v>64</v>
      </c>
      <c r="L2294">
        <v>29.1</v>
      </c>
      <c r="M2294">
        <v>7</v>
      </c>
      <c r="N2294">
        <v>0.181720774226066</v>
      </c>
      <c r="O2294">
        <v>0.10552121562739999</v>
      </c>
    </row>
    <row r="2295" spans="1:15" x14ac:dyDescent="0.3">
      <c r="A2295">
        <v>9595</v>
      </c>
      <c r="B2295">
        <v>857</v>
      </c>
      <c r="C2295">
        <v>112</v>
      </c>
      <c r="D2295" t="s">
        <v>19</v>
      </c>
      <c r="E2295" t="s">
        <v>20</v>
      </c>
      <c r="F2295" t="s">
        <v>17</v>
      </c>
      <c r="G2295" t="s">
        <v>26</v>
      </c>
      <c r="H2295">
        <v>277.2</v>
      </c>
      <c r="I2295">
        <v>249</v>
      </c>
      <c r="J2295">
        <v>95</v>
      </c>
      <c r="K2295">
        <v>64</v>
      </c>
      <c r="L2295">
        <v>29.1</v>
      </c>
      <c r="M2295">
        <v>7</v>
      </c>
      <c r="N2295">
        <v>0.14497114561594801</v>
      </c>
      <c r="O2295">
        <v>0.115332267786338</v>
      </c>
    </row>
    <row r="2296" spans="1:15" x14ac:dyDescent="0.3">
      <c r="A2296">
        <v>9596</v>
      </c>
      <c r="B2296">
        <v>857</v>
      </c>
      <c r="C2296">
        <v>112</v>
      </c>
      <c r="D2296" t="s">
        <v>19</v>
      </c>
      <c r="E2296" t="s">
        <v>20</v>
      </c>
      <c r="F2296" t="s">
        <v>17</v>
      </c>
      <c r="G2296" t="s">
        <v>26</v>
      </c>
      <c r="H2296">
        <v>277.2</v>
      </c>
      <c r="I2296">
        <v>249</v>
      </c>
      <c r="J2296">
        <v>95</v>
      </c>
      <c r="K2296">
        <v>64</v>
      </c>
      <c r="L2296">
        <v>29.1</v>
      </c>
      <c r="M2296">
        <v>7</v>
      </c>
      <c r="N2296">
        <v>0.162562677203094</v>
      </c>
      <c r="O2296">
        <v>0.103616188680969</v>
      </c>
    </row>
    <row r="2297" spans="1:15" x14ac:dyDescent="0.3">
      <c r="A2297">
        <v>9597</v>
      </c>
      <c r="B2297">
        <v>857</v>
      </c>
      <c r="C2297">
        <v>112</v>
      </c>
      <c r="D2297" t="s">
        <v>19</v>
      </c>
      <c r="E2297" t="s">
        <v>20</v>
      </c>
      <c r="F2297" t="s">
        <v>17</v>
      </c>
      <c r="G2297" t="s">
        <v>26</v>
      </c>
      <c r="H2297">
        <v>277.2</v>
      </c>
      <c r="I2297">
        <v>249</v>
      </c>
      <c r="J2297">
        <v>95</v>
      </c>
      <c r="K2297">
        <v>64</v>
      </c>
      <c r="L2297">
        <v>29.1</v>
      </c>
      <c r="M2297">
        <v>7</v>
      </c>
      <c r="N2297">
        <v>0.14334043288961301</v>
      </c>
      <c r="O2297">
        <v>0.118935969607771</v>
      </c>
    </row>
    <row r="2298" spans="1:15" x14ac:dyDescent="0.3">
      <c r="A2298">
        <v>9603</v>
      </c>
      <c r="B2298">
        <v>860</v>
      </c>
      <c r="C2298">
        <v>18</v>
      </c>
      <c r="D2298" t="s">
        <v>19</v>
      </c>
      <c r="E2298" t="s">
        <v>20</v>
      </c>
      <c r="F2298" t="s">
        <v>21</v>
      </c>
      <c r="G2298" t="s">
        <v>22</v>
      </c>
      <c r="H2298">
        <v>271.39999999999998</v>
      </c>
      <c r="I2298">
        <v>244</v>
      </c>
      <c r="J2298">
        <v>97.3</v>
      </c>
      <c r="K2298">
        <v>64</v>
      </c>
      <c r="L2298">
        <v>23.3</v>
      </c>
      <c r="M2298">
        <v>6.5</v>
      </c>
      <c r="N2298">
        <v>0.266690122522732</v>
      </c>
      <c r="O2298">
        <v>2.1690335331335599E-2</v>
      </c>
    </row>
    <row r="2299" spans="1:15" x14ac:dyDescent="0.3">
      <c r="A2299">
        <v>9617</v>
      </c>
      <c r="B2299">
        <v>867</v>
      </c>
      <c r="C2299">
        <v>341</v>
      </c>
      <c r="D2299" t="s">
        <v>19</v>
      </c>
      <c r="E2299" t="s">
        <v>20</v>
      </c>
      <c r="F2299" t="s">
        <v>21</v>
      </c>
      <c r="G2299" t="s">
        <v>25</v>
      </c>
      <c r="H2299">
        <v>273</v>
      </c>
      <c r="I2299">
        <v>246.5</v>
      </c>
      <c r="J2299">
        <v>95.4</v>
      </c>
      <c r="K2299">
        <v>66.5</v>
      </c>
      <c r="L2299">
        <v>26.4</v>
      </c>
      <c r="M2299">
        <v>11</v>
      </c>
      <c r="N2299">
        <v>0.31132388233831099</v>
      </c>
      <c r="O2299">
        <v>8.6250734980047497E-2</v>
      </c>
    </row>
    <row r="2300" spans="1:15" x14ac:dyDescent="0.3">
      <c r="A2300">
        <v>9618</v>
      </c>
      <c r="B2300">
        <v>867</v>
      </c>
      <c r="C2300">
        <v>341</v>
      </c>
      <c r="D2300" t="s">
        <v>19</v>
      </c>
      <c r="E2300" t="s">
        <v>20</v>
      </c>
      <c r="F2300" t="s">
        <v>21</v>
      </c>
      <c r="G2300" t="s">
        <v>25</v>
      </c>
      <c r="H2300">
        <v>273</v>
      </c>
      <c r="I2300">
        <v>246.5</v>
      </c>
      <c r="J2300">
        <v>95.4</v>
      </c>
      <c r="K2300">
        <v>66.5</v>
      </c>
      <c r="L2300">
        <v>26.4</v>
      </c>
      <c r="M2300">
        <v>11</v>
      </c>
      <c r="N2300">
        <v>0.30494930099724499</v>
      </c>
      <c r="O2300">
        <v>8.0491004524113105E-2</v>
      </c>
    </row>
    <row r="2301" spans="1:15" x14ac:dyDescent="0.3">
      <c r="A2301">
        <v>9619</v>
      </c>
      <c r="B2301">
        <v>868</v>
      </c>
      <c r="C2301">
        <v>95</v>
      </c>
      <c r="D2301" t="s">
        <v>23</v>
      </c>
      <c r="E2301" t="s">
        <v>20</v>
      </c>
      <c r="F2301" t="s">
        <v>17</v>
      </c>
      <c r="G2301" t="s">
        <v>18</v>
      </c>
      <c r="H2301">
        <v>276.60000000000002</v>
      </c>
      <c r="I2301">
        <v>250.5</v>
      </c>
      <c r="J2301">
        <v>100</v>
      </c>
      <c r="K2301">
        <v>67</v>
      </c>
      <c r="L2301">
        <v>28.2</v>
      </c>
      <c r="M2301">
        <v>6.5</v>
      </c>
      <c r="N2301">
        <v>9.4628980158947495E-2</v>
      </c>
      <c r="O2301">
        <v>0.32328275443813498</v>
      </c>
    </row>
    <row r="2302" spans="1:15" x14ac:dyDescent="0.3">
      <c r="A2302">
        <v>9620</v>
      </c>
      <c r="B2302">
        <v>868</v>
      </c>
      <c r="C2302">
        <v>95</v>
      </c>
      <c r="D2302" t="s">
        <v>23</v>
      </c>
      <c r="E2302" t="s">
        <v>20</v>
      </c>
      <c r="F2302" t="s">
        <v>17</v>
      </c>
      <c r="G2302" t="s">
        <v>18</v>
      </c>
      <c r="H2302">
        <v>276.60000000000002</v>
      </c>
      <c r="I2302">
        <v>250.5</v>
      </c>
      <c r="J2302">
        <v>100</v>
      </c>
      <c r="K2302">
        <v>67</v>
      </c>
      <c r="L2302">
        <v>28.2</v>
      </c>
      <c r="M2302">
        <v>6.5</v>
      </c>
      <c r="N2302">
        <v>0.101144490156339</v>
      </c>
      <c r="O2302">
        <v>0.31305980118194299</v>
      </c>
    </row>
    <row r="2303" spans="1:15" x14ac:dyDescent="0.3">
      <c r="A2303">
        <v>9621</v>
      </c>
      <c r="B2303">
        <v>868</v>
      </c>
      <c r="C2303">
        <v>95</v>
      </c>
      <c r="D2303" t="s">
        <v>23</v>
      </c>
      <c r="E2303" t="s">
        <v>20</v>
      </c>
      <c r="F2303" t="s">
        <v>17</v>
      </c>
      <c r="G2303" t="s">
        <v>18</v>
      </c>
      <c r="H2303">
        <v>276.60000000000002</v>
      </c>
      <c r="I2303">
        <v>250.5</v>
      </c>
      <c r="J2303">
        <v>100</v>
      </c>
      <c r="K2303">
        <v>67</v>
      </c>
      <c r="L2303">
        <v>28.2</v>
      </c>
      <c r="M2303">
        <v>6.5</v>
      </c>
      <c r="N2303">
        <v>0.102741342173677</v>
      </c>
      <c r="O2303">
        <v>0.30493387281818102</v>
      </c>
    </row>
    <row r="2304" spans="1:15" x14ac:dyDescent="0.3">
      <c r="A2304">
        <v>9622</v>
      </c>
      <c r="B2304">
        <v>868</v>
      </c>
      <c r="C2304">
        <v>95</v>
      </c>
      <c r="D2304" t="s">
        <v>23</v>
      </c>
      <c r="E2304" t="s">
        <v>20</v>
      </c>
      <c r="F2304" t="s">
        <v>17</v>
      </c>
      <c r="G2304" t="s">
        <v>18</v>
      </c>
      <c r="H2304">
        <v>276.60000000000002</v>
      </c>
      <c r="I2304">
        <v>250.5</v>
      </c>
      <c r="J2304">
        <v>100</v>
      </c>
      <c r="K2304">
        <v>67</v>
      </c>
      <c r="L2304">
        <v>28.2</v>
      </c>
      <c r="M2304">
        <v>6.5</v>
      </c>
      <c r="N2304">
        <v>9.6760713465575895E-2</v>
      </c>
      <c r="O2304">
        <v>0.341940160515874</v>
      </c>
    </row>
    <row r="2305" spans="1:15" x14ac:dyDescent="0.3">
      <c r="A2305">
        <v>9623</v>
      </c>
      <c r="B2305">
        <v>868</v>
      </c>
      <c r="C2305">
        <v>95</v>
      </c>
      <c r="D2305" t="s">
        <v>23</v>
      </c>
      <c r="E2305" t="s">
        <v>20</v>
      </c>
      <c r="F2305" t="s">
        <v>17</v>
      </c>
      <c r="G2305" t="s">
        <v>18</v>
      </c>
      <c r="H2305">
        <v>276.60000000000002</v>
      </c>
      <c r="I2305">
        <v>250.5</v>
      </c>
      <c r="J2305">
        <v>100</v>
      </c>
      <c r="K2305">
        <v>67</v>
      </c>
      <c r="L2305">
        <v>28.2</v>
      </c>
      <c r="M2305">
        <v>6.5</v>
      </c>
      <c r="N2305">
        <v>0.113190527606827</v>
      </c>
      <c r="O2305">
        <v>0.30391270120745201</v>
      </c>
    </row>
    <row r="2306" spans="1:15" x14ac:dyDescent="0.3">
      <c r="A2306">
        <v>9624</v>
      </c>
      <c r="B2306">
        <v>868</v>
      </c>
      <c r="C2306">
        <v>95</v>
      </c>
      <c r="D2306" t="s">
        <v>23</v>
      </c>
      <c r="E2306" t="s">
        <v>20</v>
      </c>
      <c r="F2306" t="s">
        <v>17</v>
      </c>
      <c r="G2306" t="s">
        <v>18</v>
      </c>
      <c r="H2306">
        <v>276.60000000000002</v>
      </c>
      <c r="I2306">
        <v>250.5</v>
      </c>
      <c r="J2306">
        <v>100</v>
      </c>
      <c r="K2306">
        <v>67</v>
      </c>
      <c r="L2306">
        <v>28.2</v>
      </c>
      <c r="M2306">
        <v>6.5</v>
      </c>
      <c r="N2306">
        <v>9.5697029743570902E-2</v>
      </c>
      <c r="O2306">
        <v>0.30736843596033903</v>
      </c>
    </row>
    <row r="2307" spans="1:15" x14ac:dyDescent="0.3">
      <c r="A2307">
        <v>9628</v>
      </c>
      <c r="B2307">
        <v>87</v>
      </c>
      <c r="C2307">
        <v>440</v>
      </c>
      <c r="D2307" t="s">
        <v>15</v>
      </c>
      <c r="E2307" t="s">
        <v>16</v>
      </c>
      <c r="F2307" t="s">
        <v>21</v>
      </c>
      <c r="G2307" t="s">
        <v>18</v>
      </c>
      <c r="H2307">
        <v>276.89999999999998</v>
      </c>
      <c r="I2307">
        <v>254</v>
      </c>
      <c r="J2307">
        <v>95.2</v>
      </c>
      <c r="K2307">
        <v>65</v>
      </c>
      <c r="L2307">
        <v>29.8</v>
      </c>
      <c r="M2307">
        <v>10.5</v>
      </c>
      <c r="N2307">
        <v>5.2221040626894998E-2</v>
      </c>
      <c r="O2307">
        <v>0.16688819767041199</v>
      </c>
    </row>
    <row r="2308" spans="1:15" x14ac:dyDescent="0.3">
      <c r="A2308">
        <v>9629</v>
      </c>
      <c r="B2308">
        <v>87</v>
      </c>
      <c r="C2308">
        <v>440</v>
      </c>
      <c r="D2308" t="s">
        <v>15</v>
      </c>
      <c r="E2308" t="s">
        <v>16</v>
      </c>
      <c r="F2308" t="s">
        <v>21</v>
      </c>
      <c r="G2308" t="s">
        <v>18</v>
      </c>
      <c r="H2308">
        <v>276.89999999999998</v>
      </c>
      <c r="I2308">
        <v>254</v>
      </c>
      <c r="J2308">
        <v>95.2</v>
      </c>
      <c r="K2308">
        <v>65</v>
      </c>
      <c r="L2308">
        <v>29.8</v>
      </c>
      <c r="M2308">
        <v>10.5</v>
      </c>
      <c r="N2308">
        <v>3.6433726063857197E-2</v>
      </c>
      <c r="O2308">
        <v>0.148305910968107</v>
      </c>
    </row>
    <row r="2309" spans="1:15" x14ac:dyDescent="0.3">
      <c r="A2309">
        <v>9630</v>
      </c>
      <c r="B2309">
        <v>87</v>
      </c>
      <c r="C2309">
        <v>440</v>
      </c>
      <c r="D2309" t="s">
        <v>15</v>
      </c>
      <c r="E2309" t="s">
        <v>16</v>
      </c>
      <c r="F2309" t="s">
        <v>21</v>
      </c>
      <c r="G2309" t="s">
        <v>18</v>
      </c>
      <c r="H2309">
        <v>276.89999999999998</v>
      </c>
      <c r="I2309">
        <v>254</v>
      </c>
      <c r="J2309">
        <v>95.2</v>
      </c>
      <c r="K2309">
        <v>65</v>
      </c>
      <c r="L2309">
        <v>29.8</v>
      </c>
      <c r="M2309">
        <v>10.5</v>
      </c>
      <c r="N2309">
        <v>3.1781624202113702E-2</v>
      </c>
      <c r="O2309">
        <v>0.15003412718936601</v>
      </c>
    </row>
    <row r="2310" spans="1:15" x14ac:dyDescent="0.3">
      <c r="A2310">
        <v>9650</v>
      </c>
      <c r="B2310">
        <v>877</v>
      </c>
      <c r="C2310">
        <v>387</v>
      </c>
      <c r="D2310" t="s">
        <v>19</v>
      </c>
      <c r="E2310" t="s">
        <v>16</v>
      </c>
      <c r="F2310" t="s">
        <v>17</v>
      </c>
      <c r="G2310" t="s">
        <v>25</v>
      </c>
      <c r="H2310">
        <v>275.2</v>
      </c>
      <c r="I2310">
        <v>249.5</v>
      </c>
      <c r="J2310">
        <v>96.8</v>
      </c>
      <c r="K2310">
        <v>66</v>
      </c>
      <c r="L2310">
        <v>25.3</v>
      </c>
      <c r="M2310">
        <v>8.5</v>
      </c>
      <c r="N2310">
        <v>8.6845643487121205E-2</v>
      </c>
      <c r="O2310">
        <v>6.9430900562100106E-2</v>
      </c>
    </row>
    <row r="2311" spans="1:15" x14ac:dyDescent="0.3">
      <c r="A2311">
        <v>9651</v>
      </c>
      <c r="B2311">
        <v>877</v>
      </c>
      <c r="C2311">
        <v>387</v>
      </c>
      <c r="D2311" t="s">
        <v>19</v>
      </c>
      <c r="E2311" t="s">
        <v>16</v>
      </c>
      <c r="F2311" t="s">
        <v>17</v>
      </c>
      <c r="G2311" t="s">
        <v>25</v>
      </c>
      <c r="H2311">
        <v>275.2</v>
      </c>
      <c r="I2311">
        <v>249.5</v>
      </c>
      <c r="J2311">
        <v>96.8</v>
      </c>
      <c r="K2311">
        <v>66</v>
      </c>
      <c r="L2311">
        <v>25.3</v>
      </c>
      <c r="M2311">
        <v>8.5</v>
      </c>
      <c r="N2311">
        <v>7.2465956197353298E-2</v>
      </c>
      <c r="O2311">
        <v>7.00527209811979E-2</v>
      </c>
    </row>
    <row r="2312" spans="1:15" x14ac:dyDescent="0.3">
      <c r="A2312">
        <v>9652</v>
      </c>
      <c r="B2312">
        <v>877</v>
      </c>
      <c r="C2312">
        <v>387</v>
      </c>
      <c r="D2312" t="s">
        <v>19</v>
      </c>
      <c r="E2312" t="s">
        <v>16</v>
      </c>
      <c r="F2312" t="s">
        <v>17</v>
      </c>
      <c r="G2312" t="s">
        <v>25</v>
      </c>
      <c r="H2312">
        <v>275.2</v>
      </c>
      <c r="I2312">
        <v>249.5</v>
      </c>
      <c r="J2312">
        <v>96.8</v>
      </c>
      <c r="K2312">
        <v>66</v>
      </c>
      <c r="L2312">
        <v>25.3</v>
      </c>
      <c r="M2312">
        <v>8.5</v>
      </c>
      <c r="N2312">
        <v>7.3044517188718405E-2</v>
      </c>
      <c r="O2312">
        <v>7.1408344942274798E-2</v>
      </c>
    </row>
    <row r="2313" spans="1:15" x14ac:dyDescent="0.3">
      <c r="A2313">
        <v>9653</v>
      </c>
      <c r="B2313">
        <v>877</v>
      </c>
      <c r="C2313">
        <v>387</v>
      </c>
      <c r="D2313" t="s">
        <v>19</v>
      </c>
      <c r="E2313" t="s">
        <v>16</v>
      </c>
      <c r="F2313" t="s">
        <v>17</v>
      </c>
      <c r="G2313" t="s">
        <v>25</v>
      </c>
      <c r="H2313">
        <v>275.2</v>
      </c>
      <c r="I2313">
        <v>249.5</v>
      </c>
      <c r="J2313">
        <v>96.8</v>
      </c>
      <c r="K2313">
        <v>66</v>
      </c>
      <c r="L2313">
        <v>25.3</v>
      </c>
      <c r="M2313">
        <v>8.5</v>
      </c>
      <c r="N2313">
        <v>9.8477015367368595E-2</v>
      </c>
      <c r="O2313">
        <v>9.0620186788868795E-2</v>
      </c>
    </row>
    <row r="2314" spans="1:15" x14ac:dyDescent="0.3">
      <c r="A2314">
        <v>9671</v>
      </c>
      <c r="B2314">
        <v>885</v>
      </c>
      <c r="C2314">
        <v>122</v>
      </c>
      <c r="D2314" t="s">
        <v>23</v>
      </c>
      <c r="E2314" t="s">
        <v>20</v>
      </c>
      <c r="F2314" t="s">
        <v>21</v>
      </c>
      <c r="G2314" t="s">
        <v>18</v>
      </c>
      <c r="H2314">
        <v>276.60000000000002</v>
      </c>
      <c r="I2314">
        <v>246.5</v>
      </c>
      <c r="J2314">
        <v>96.7</v>
      </c>
      <c r="K2314">
        <v>65.5</v>
      </c>
      <c r="L2314">
        <v>30.9</v>
      </c>
      <c r="M2314">
        <v>8.5</v>
      </c>
      <c r="N2314">
        <v>5.47275028456344E-2</v>
      </c>
      <c r="O2314">
        <v>0.28509617052724101</v>
      </c>
    </row>
    <row r="2315" spans="1:15" x14ac:dyDescent="0.3">
      <c r="A2315">
        <v>9681</v>
      </c>
      <c r="B2315">
        <v>89</v>
      </c>
      <c r="C2315">
        <v>298</v>
      </c>
      <c r="D2315" t="s">
        <v>19</v>
      </c>
      <c r="E2315" t="s">
        <v>20</v>
      </c>
      <c r="F2315" t="s">
        <v>21</v>
      </c>
      <c r="G2315" t="s">
        <v>24</v>
      </c>
      <c r="H2315">
        <v>275.60000000000002</v>
      </c>
      <c r="I2315">
        <v>251</v>
      </c>
      <c r="J2315">
        <v>95.1</v>
      </c>
      <c r="K2315">
        <v>66.5</v>
      </c>
      <c r="L2315">
        <v>25.3</v>
      </c>
      <c r="M2315">
        <v>10.5</v>
      </c>
      <c r="N2315">
        <v>0.28681240425292198</v>
      </c>
      <c r="O2315">
        <v>8.0433438214362302E-2</v>
      </c>
    </row>
    <row r="2316" spans="1:15" x14ac:dyDescent="0.3">
      <c r="A2316">
        <v>9682</v>
      </c>
      <c r="B2316">
        <v>89</v>
      </c>
      <c r="C2316">
        <v>298</v>
      </c>
      <c r="D2316" t="s">
        <v>19</v>
      </c>
      <c r="E2316" t="s">
        <v>20</v>
      </c>
      <c r="F2316" t="s">
        <v>21</v>
      </c>
      <c r="G2316" t="s">
        <v>24</v>
      </c>
      <c r="H2316">
        <v>275.60000000000002</v>
      </c>
      <c r="I2316">
        <v>251</v>
      </c>
      <c r="J2316">
        <v>95.1</v>
      </c>
      <c r="K2316">
        <v>66.5</v>
      </c>
      <c r="L2316">
        <v>25.3</v>
      </c>
      <c r="M2316">
        <v>10.5</v>
      </c>
      <c r="N2316">
        <v>0.28524188548910201</v>
      </c>
      <c r="O2316">
        <v>7.3756810626197697E-2</v>
      </c>
    </row>
    <row r="2317" spans="1:15" x14ac:dyDescent="0.3">
      <c r="A2317">
        <v>9683</v>
      </c>
      <c r="B2317">
        <v>89</v>
      </c>
      <c r="C2317">
        <v>298</v>
      </c>
      <c r="D2317" t="s">
        <v>19</v>
      </c>
      <c r="E2317" t="s">
        <v>20</v>
      </c>
      <c r="F2317" t="s">
        <v>21</v>
      </c>
      <c r="G2317" t="s">
        <v>24</v>
      </c>
      <c r="H2317">
        <v>275.60000000000002</v>
      </c>
      <c r="I2317">
        <v>251</v>
      </c>
      <c r="J2317">
        <v>95.1</v>
      </c>
      <c r="K2317">
        <v>66.5</v>
      </c>
      <c r="L2317">
        <v>25.3</v>
      </c>
      <c r="M2317">
        <v>10.5</v>
      </c>
      <c r="N2317">
        <v>0.30128186973127002</v>
      </c>
      <c r="O2317">
        <v>5.0112167085876597E-2</v>
      </c>
    </row>
    <row r="2318" spans="1:15" x14ac:dyDescent="0.3">
      <c r="A2318">
        <v>9684</v>
      </c>
      <c r="B2318">
        <v>89</v>
      </c>
      <c r="C2318">
        <v>298</v>
      </c>
      <c r="D2318" t="s">
        <v>19</v>
      </c>
      <c r="E2318" t="s">
        <v>20</v>
      </c>
      <c r="F2318" t="s">
        <v>21</v>
      </c>
      <c r="G2318" t="s">
        <v>24</v>
      </c>
      <c r="H2318">
        <v>275.60000000000002</v>
      </c>
      <c r="I2318">
        <v>251</v>
      </c>
      <c r="J2318">
        <v>95.1</v>
      </c>
      <c r="K2318">
        <v>66.5</v>
      </c>
      <c r="L2318">
        <v>25.3</v>
      </c>
      <c r="M2318">
        <v>10.5</v>
      </c>
      <c r="N2318">
        <v>0.28220553677403198</v>
      </c>
      <c r="O2318">
        <v>8.3195005315580106E-2</v>
      </c>
    </row>
    <row r="2319" spans="1:15" x14ac:dyDescent="0.3">
      <c r="A2319">
        <v>9685</v>
      </c>
      <c r="B2319">
        <v>89</v>
      </c>
      <c r="C2319">
        <v>298</v>
      </c>
      <c r="D2319" t="s">
        <v>19</v>
      </c>
      <c r="E2319" t="s">
        <v>20</v>
      </c>
      <c r="F2319" t="s">
        <v>21</v>
      </c>
      <c r="G2319" t="s">
        <v>24</v>
      </c>
      <c r="H2319">
        <v>275.60000000000002</v>
      </c>
      <c r="I2319">
        <v>251</v>
      </c>
      <c r="J2319">
        <v>95.1</v>
      </c>
      <c r="K2319">
        <v>66.5</v>
      </c>
      <c r="L2319">
        <v>25.3</v>
      </c>
      <c r="M2319">
        <v>10.5</v>
      </c>
      <c r="N2319">
        <v>0.28995926938530298</v>
      </c>
      <c r="O2319">
        <v>7.5768286198428597E-2</v>
      </c>
    </row>
    <row r="2320" spans="1:15" x14ac:dyDescent="0.3">
      <c r="A2320">
        <v>9689</v>
      </c>
      <c r="B2320">
        <v>891</v>
      </c>
      <c r="C2320">
        <v>483</v>
      </c>
      <c r="D2320" t="s">
        <v>23</v>
      </c>
      <c r="E2320" t="s">
        <v>20</v>
      </c>
      <c r="F2320" t="s">
        <v>17</v>
      </c>
      <c r="G2320" t="s">
        <v>18</v>
      </c>
      <c r="H2320">
        <v>271.89999999999998</v>
      </c>
      <c r="I2320">
        <v>246</v>
      </c>
      <c r="J2320">
        <v>94.4</v>
      </c>
      <c r="K2320">
        <v>60.5</v>
      </c>
      <c r="L2320">
        <v>27.6</v>
      </c>
      <c r="M2320">
        <v>13.5</v>
      </c>
      <c r="N2320">
        <v>0.108641303602121</v>
      </c>
      <c r="O2320">
        <v>0.19259872393503699</v>
      </c>
    </row>
    <row r="2321" spans="1:15" x14ac:dyDescent="0.3">
      <c r="A2321">
        <v>9712</v>
      </c>
      <c r="B2321">
        <v>898</v>
      </c>
      <c r="C2321">
        <v>345</v>
      </c>
      <c r="D2321" t="s">
        <v>19</v>
      </c>
      <c r="E2321" t="s">
        <v>20</v>
      </c>
      <c r="F2321" t="s">
        <v>21</v>
      </c>
      <c r="G2321" t="s">
        <v>18</v>
      </c>
      <c r="H2321">
        <v>277.60000000000002</v>
      </c>
      <c r="I2321">
        <v>252.5</v>
      </c>
      <c r="J2321">
        <v>98.4</v>
      </c>
      <c r="K2321">
        <v>67.5</v>
      </c>
      <c r="L2321">
        <v>25.8</v>
      </c>
      <c r="M2321">
        <v>13.5</v>
      </c>
      <c r="N2321">
        <v>0.13951215849710299</v>
      </c>
      <c r="O2321">
        <v>0.117927909787822</v>
      </c>
    </row>
    <row r="2322" spans="1:15" x14ac:dyDescent="0.3">
      <c r="A2322">
        <v>9713</v>
      </c>
      <c r="B2322">
        <v>898</v>
      </c>
      <c r="C2322">
        <v>345</v>
      </c>
      <c r="D2322" t="s">
        <v>19</v>
      </c>
      <c r="E2322" t="s">
        <v>20</v>
      </c>
      <c r="F2322" t="s">
        <v>21</v>
      </c>
      <c r="G2322" t="s">
        <v>18</v>
      </c>
      <c r="H2322">
        <v>277.60000000000002</v>
      </c>
      <c r="I2322">
        <v>252.5</v>
      </c>
      <c r="J2322">
        <v>98.4</v>
      </c>
      <c r="K2322">
        <v>67.5</v>
      </c>
      <c r="L2322">
        <v>25.8</v>
      </c>
      <c r="M2322">
        <v>13.5</v>
      </c>
      <c r="N2322">
        <v>0.13224483445601101</v>
      </c>
      <c r="O2322">
        <v>0.12870804573324801</v>
      </c>
    </row>
    <row r="2323" spans="1:15" x14ac:dyDescent="0.3">
      <c r="A2323">
        <v>9714</v>
      </c>
      <c r="B2323">
        <v>898</v>
      </c>
      <c r="C2323">
        <v>345</v>
      </c>
      <c r="D2323" t="s">
        <v>19</v>
      </c>
      <c r="E2323" t="s">
        <v>20</v>
      </c>
      <c r="F2323" t="s">
        <v>21</v>
      </c>
      <c r="G2323" t="s">
        <v>18</v>
      </c>
      <c r="H2323">
        <v>277.60000000000002</v>
      </c>
      <c r="I2323">
        <v>252.5</v>
      </c>
      <c r="J2323">
        <v>98.4</v>
      </c>
      <c r="K2323">
        <v>67.5</v>
      </c>
      <c r="L2323">
        <v>25.8</v>
      </c>
      <c r="M2323">
        <v>13.5</v>
      </c>
      <c r="N2323">
        <v>0.13612164561047199</v>
      </c>
      <c r="O2323">
        <v>0.124757648437493</v>
      </c>
    </row>
    <row r="2324" spans="1:15" x14ac:dyDescent="0.3">
      <c r="A2324">
        <v>9715</v>
      </c>
      <c r="B2324">
        <v>898</v>
      </c>
      <c r="C2324">
        <v>345</v>
      </c>
      <c r="D2324" t="s">
        <v>19</v>
      </c>
      <c r="E2324" t="s">
        <v>20</v>
      </c>
      <c r="F2324" t="s">
        <v>21</v>
      </c>
      <c r="G2324" t="s">
        <v>18</v>
      </c>
      <c r="H2324">
        <v>277.60000000000002</v>
      </c>
      <c r="I2324">
        <v>252.5</v>
      </c>
      <c r="J2324">
        <v>98.4</v>
      </c>
      <c r="K2324">
        <v>67.5</v>
      </c>
      <c r="L2324">
        <v>25.8</v>
      </c>
      <c r="M2324">
        <v>13.5</v>
      </c>
      <c r="N2324">
        <v>0.136846744433643</v>
      </c>
      <c r="O2324">
        <v>0.11775677895712</v>
      </c>
    </row>
    <row r="2325" spans="1:15" x14ac:dyDescent="0.3">
      <c r="A2325">
        <v>9716</v>
      </c>
      <c r="B2325">
        <v>898</v>
      </c>
      <c r="C2325">
        <v>345</v>
      </c>
      <c r="D2325" t="s">
        <v>19</v>
      </c>
      <c r="E2325" t="s">
        <v>20</v>
      </c>
      <c r="F2325" t="s">
        <v>21</v>
      </c>
      <c r="G2325" t="s">
        <v>18</v>
      </c>
      <c r="H2325">
        <v>277.60000000000002</v>
      </c>
      <c r="I2325">
        <v>252.5</v>
      </c>
      <c r="J2325">
        <v>98.4</v>
      </c>
      <c r="K2325">
        <v>67.5</v>
      </c>
      <c r="L2325">
        <v>25.8</v>
      </c>
      <c r="M2325">
        <v>13.5</v>
      </c>
      <c r="N2325">
        <v>0.12837161293177801</v>
      </c>
      <c r="O2325">
        <v>0.126397125267037</v>
      </c>
    </row>
    <row r="2326" spans="1:15" x14ac:dyDescent="0.3">
      <c r="A2326">
        <v>9731</v>
      </c>
      <c r="B2326">
        <v>904</v>
      </c>
      <c r="C2326">
        <v>80</v>
      </c>
      <c r="D2326" t="s">
        <v>23</v>
      </c>
      <c r="E2326" t="s">
        <v>20</v>
      </c>
      <c r="F2326" t="s">
        <v>21</v>
      </c>
      <c r="G2326" t="s">
        <v>18</v>
      </c>
      <c r="H2326">
        <v>279</v>
      </c>
      <c r="I2326">
        <v>254</v>
      </c>
      <c r="J2326">
        <v>97.1</v>
      </c>
      <c r="K2326">
        <v>67</v>
      </c>
      <c r="L2326">
        <v>24.6</v>
      </c>
      <c r="M2326">
        <v>7</v>
      </c>
      <c r="N2326">
        <v>0.22269632417726101</v>
      </c>
      <c r="O2326">
        <v>0.33084672772606599</v>
      </c>
    </row>
    <row r="2327" spans="1:15" x14ac:dyDescent="0.3">
      <c r="A2327">
        <v>9732</v>
      </c>
      <c r="B2327">
        <v>904</v>
      </c>
      <c r="C2327">
        <v>80</v>
      </c>
      <c r="D2327" t="s">
        <v>23</v>
      </c>
      <c r="E2327" t="s">
        <v>20</v>
      </c>
      <c r="F2327" t="s">
        <v>21</v>
      </c>
      <c r="G2327" t="s">
        <v>18</v>
      </c>
      <c r="H2327">
        <v>279</v>
      </c>
      <c r="I2327">
        <v>254</v>
      </c>
      <c r="J2327">
        <v>97.1</v>
      </c>
      <c r="K2327">
        <v>67</v>
      </c>
      <c r="L2327">
        <v>24.6</v>
      </c>
      <c r="M2327">
        <v>7</v>
      </c>
      <c r="N2327">
        <v>0.196141435487799</v>
      </c>
      <c r="O2327">
        <v>0.342540284523353</v>
      </c>
    </row>
    <row r="2328" spans="1:15" x14ac:dyDescent="0.3">
      <c r="A2328">
        <v>9733</v>
      </c>
      <c r="B2328">
        <v>904</v>
      </c>
      <c r="C2328">
        <v>80</v>
      </c>
      <c r="D2328" t="s">
        <v>23</v>
      </c>
      <c r="E2328" t="s">
        <v>20</v>
      </c>
      <c r="F2328" t="s">
        <v>21</v>
      </c>
      <c r="G2328" t="s">
        <v>18</v>
      </c>
      <c r="H2328">
        <v>279</v>
      </c>
      <c r="I2328">
        <v>254</v>
      </c>
      <c r="J2328">
        <v>97.1</v>
      </c>
      <c r="K2328">
        <v>67</v>
      </c>
      <c r="L2328">
        <v>24.6</v>
      </c>
      <c r="M2328">
        <v>7</v>
      </c>
      <c r="N2328">
        <v>0.20429898415523701</v>
      </c>
      <c r="O2328">
        <v>0.36251040973249798</v>
      </c>
    </row>
    <row r="2329" spans="1:15" x14ac:dyDescent="0.3">
      <c r="A2329">
        <v>9734</v>
      </c>
      <c r="B2329">
        <v>904</v>
      </c>
      <c r="C2329">
        <v>80</v>
      </c>
      <c r="D2329" t="s">
        <v>23</v>
      </c>
      <c r="E2329" t="s">
        <v>20</v>
      </c>
      <c r="F2329" t="s">
        <v>21</v>
      </c>
      <c r="G2329" t="s">
        <v>18</v>
      </c>
      <c r="H2329">
        <v>279</v>
      </c>
      <c r="I2329">
        <v>254</v>
      </c>
      <c r="J2329">
        <v>97.1</v>
      </c>
      <c r="K2329">
        <v>67</v>
      </c>
      <c r="L2329">
        <v>24.6</v>
      </c>
      <c r="M2329">
        <v>7</v>
      </c>
      <c r="N2329">
        <v>0.22043714084302399</v>
      </c>
      <c r="O2329">
        <v>0.35480219857448397</v>
      </c>
    </row>
    <row r="2330" spans="1:15" x14ac:dyDescent="0.3">
      <c r="A2330">
        <v>9735</v>
      </c>
      <c r="B2330">
        <v>905</v>
      </c>
      <c r="C2330">
        <v>238</v>
      </c>
      <c r="D2330" t="s">
        <v>19</v>
      </c>
      <c r="E2330" t="s">
        <v>16</v>
      </c>
      <c r="F2330" t="s">
        <v>21</v>
      </c>
      <c r="G2330" t="s">
        <v>24</v>
      </c>
      <c r="H2330">
        <v>273.3</v>
      </c>
      <c r="I2330">
        <v>246</v>
      </c>
      <c r="J2330">
        <v>92.6</v>
      </c>
      <c r="K2330">
        <v>63.5</v>
      </c>
      <c r="L2330">
        <v>25.5</v>
      </c>
      <c r="M2330">
        <v>9.5</v>
      </c>
      <c r="N2330">
        <v>0.116793723883173</v>
      </c>
      <c r="O2330">
        <v>0.173586141699899</v>
      </c>
    </row>
    <row r="2331" spans="1:15" x14ac:dyDescent="0.3">
      <c r="A2331">
        <v>9736</v>
      </c>
      <c r="B2331">
        <v>905</v>
      </c>
      <c r="C2331">
        <v>238</v>
      </c>
      <c r="D2331" t="s">
        <v>19</v>
      </c>
      <c r="E2331" t="s">
        <v>16</v>
      </c>
      <c r="F2331" t="s">
        <v>21</v>
      </c>
      <c r="G2331" t="s">
        <v>24</v>
      </c>
      <c r="H2331">
        <v>273.3</v>
      </c>
      <c r="I2331">
        <v>246</v>
      </c>
      <c r="J2331">
        <v>92.6</v>
      </c>
      <c r="K2331">
        <v>63.5</v>
      </c>
      <c r="L2331">
        <v>25.5</v>
      </c>
      <c r="M2331">
        <v>9.5</v>
      </c>
      <c r="N2331">
        <v>0.12927699950081001</v>
      </c>
      <c r="O2331">
        <v>0.15791636965348699</v>
      </c>
    </row>
    <row r="2332" spans="1:15" x14ac:dyDescent="0.3">
      <c r="A2332">
        <v>9737</v>
      </c>
      <c r="B2332">
        <v>905</v>
      </c>
      <c r="C2332">
        <v>238</v>
      </c>
      <c r="D2332" t="s">
        <v>19</v>
      </c>
      <c r="E2332" t="s">
        <v>16</v>
      </c>
      <c r="F2332" t="s">
        <v>21</v>
      </c>
      <c r="G2332" t="s">
        <v>24</v>
      </c>
      <c r="H2332">
        <v>273.3</v>
      </c>
      <c r="I2332">
        <v>246</v>
      </c>
      <c r="J2332">
        <v>92.6</v>
      </c>
      <c r="K2332">
        <v>63.5</v>
      </c>
      <c r="L2332">
        <v>25.5</v>
      </c>
      <c r="M2332">
        <v>9.5</v>
      </c>
      <c r="N2332">
        <v>0.12619601761062599</v>
      </c>
      <c r="O2332">
        <v>0.17288205126837</v>
      </c>
    </row>
    <row r="2333" spans="1:15" x14ac:dyDescent="0.3">
      <c r="A2333">
        <v>9742</v>
      </c>
      <c r="B2333">
        <v>907</v>
      </c>
      <c r="C2333">
        <v>98</v>
      </c>
      <c r="D2333" t="s">
        <v>23</v>
      </c>
      <c r="E2333" t="s">
        <v>20</v>
      </c>
      <c r="F2333" t="s">
        <v>17</v>
      </c>
      <c r="G2333" t="s">
        <v>25</v>
      </c>
      <c r="H2333">
        <v>276.60000000000002</v>
      </c>
      <c r="I2333">
        <v>257.5</v>
      </c>
      <c r="J2333">
        <v>95.2</v>
      </c>
      <c r="K2333">
        <v>67.5</v>
      </c>
      <c r="L2333">
        <v>24.1</v>
      </c>
      <c r="M2333">
        <v>9.5</v>
      </c>
      <c r="N2333">
        <v>0.180793475458456</v>
      </c>
      <c r="O2333">
        <v>0.36338755696966402</v>
      </c>
    </row>
    <row r="2334" spans="1:15" x14ac:dyDescent="0.3">
      <c r="A2334">
        <v>9743</v>
      </c>
      <c r="B2334">
        <v>907</v>
      </c>
      <c r="C2334">
        <v>98</v>
      </c>
      <c r="D2334" t="s">
        <v>23</v>
      </c>
      <c r="E2334" t="s">
        <v>20</v>
      </c>
      <c r="F2334" t="s">
        <v>17</v>
      </c>
      <c r="G2334" t="s">
        <v>25</v>
      </c>
      <c r="H2334">
        <v>276.60000000000002</v>
      </c>
      <c r="I2334">
        <v>257.5</v>
      </c>
      <c r="J2334">
        <v>95.2</v>
      </c>
      <c r="K2334">
        <v>67.5</v>
      </c>
      <c r="L2334">
        <v>24.1</v>
      </c>
      <c r="M2334">
        <v>9.5</v>
      </c>
      <c r="N2334">
        <v>0.18516479597848401</v>
      </c>
      <c r="O2334">
        <v>0.37131832552601302</v>
      </c>
    </row>
    <row r="2335" spans="1:15" x14ac:dyDescent="0.3">
      <c r="A2335">
        <v>9744</v>
      </c>
      <c r="B2335">
        <v>908</v>
      </c>
      <c r="C2335">
        <v>320</v>
      </c>
      <c r="D2335" t="s">
        <v>19</v>
      </c>
      <c r="E2335" t="s">
        <v>20</v>
      </c>
      <c r="F2335" t="s">
        <v>17</v>
      </c>
      <c r="G2335" t="s">
        <v>25</v>
      </c>
      <c r="H2335">
        <v>279</v>
      </c>
      <c r="I2335">
        <v>253.5</v>
      </c>
      <c r="J2335">
        <v>97.1</v>
      </c>
      <c r="K2335">
        <v>64</v>
      </c>
      <c r="L2335">
        <v>24</v>
      </c>
      <c r="M2335">
        <v>8</v>
      </c>
      <c r="N2335">
        <v>0.14793281293787799</v>
      </c>
      <c r="O2335">
        <v>3.1885724901851403E-2</v>
      </c>
    </row>
    <row r="2336" spans="1:15" x14ac:dyDescent="0.3">
      <c r="A2336">
        <v>9745</v>
      </c>
      <c r="B2336">
        <v>908</v>
      </c>
      <c r="C2336">
        <v>320</v>
      </c>
      <c r="D2336" t="s">
        <v>19</v>
      </c>
      <c r="E2336" t="s">
        <v>20</v>
      </c>
      <c r="F2336" t="s">
        <v>17</v>
      </c>
      <c r="G2336" t="s">
        <v>25</v>
      </c>
      <c r="H2336">
        <v>279</v>
      </c>
      <c r="I2336">
        <v>253.5</v>
      </c>
      <c r="J2336">
        <v>97.1</v>
      </c>
      <c r="K2336">
        <v>64</v>
      </c>
      <c r="L2336">
        <v>24</v>
      </c>
      <c r="M2336">
        <v>8</v>
      </c>
      <c r="N2336">
        <v>0.151681053213652</v>
      </c>
      <c r="O2336">
        <v>3.6090970747944998E-2</v>
      </c>
    </row>
    <row r="2337" spans="1:15" x14ac:dyDescent="0.3">
      <c r="A2337">
        <v>9746</v>
      </c>
      <c r="B2337">
        <v>908</v>
      </c>
      <c r="C2337">
        <v>320</v>
      </c>
      <c r="D2337" t="s">
        <v>19</v>
      </c>
      <c r="E2337" t="s">
        <v>20</v>
      </c>
      <c r="F2337" t="s">
        <v>17</v>
      </c>
      <c r="G2337" t="s">
        <v>25</v>
      </c>
      <c r="H2337">
        <v>279</v>
      </c>
      <c r="I2337">
        <v>253.5</v>
      </c>
      <c r="J2337">
        <v>97.1</v>
      </c>
      <c r="K2337">
        <v>64</v>
      </c>
      <c r="L2337">
        <v>24</v>
      </c>
      <c r="M2337">
        <v>8</v>
      </c>
      <c r="N2337">
        <v>0.136190333872245</v>
      </c>
      <c r="O2337">
        <v>2.9009112023564099E-2</v>
      </c>
    </row>
    <row r="2338" spans="1:15" x14ac:dyDescent="0.3">
      <c r="A2338">
        <v>9768</v>
      </c>
      <c r="B2338">
        <v>917</v>
      </c>
      <c r="C2338">
        <v>279</v>
      </c>
      <c r="D2338" t="s">
        <v>23</v>
      </c>
      <c r="E2338" t="s">
        <v>16</v>
      </c>
      <c r="F2338" t="s">
        <v>17</v>
      </c>
      <c r="G2338" t="s">
        <v>25</v>
      </c>
      <c r="H2338">
        <v>273.8</v>
      </c>
      <c r="I2338">
        <v>248.5</v>
      </c>
      <c r="J2338">
        <v>97.9</v>
      </c>
      <c r="K2338">
        <v>65.5</v>
      </c>
      <c r="L2338">
        <v>24.9</v>
      </c>
      <c r="M2338">
        <v>4</v>
      </c>
      <c r="N2338">
        <v>0.244158011031958</v>
      </c>
      <c r="O2338">
        <v>0.38278594510179198</v>
      </c>
    </row>
    <row r="2339" spans="1:15" x14ac:dyDescent="0.3">
      <c r="A2339">
        <v>9769</v>
      </c>
      <c r="B2339">
        <v>917</v>
      </c>
      <c r="C2339">
        <v>279</v>
      </c>
      <c r="D2339" t="s">
        <v>23</v>
      </c>
      <c r="E2339" t="s">
        <v>16</v>
      </c>
      <c r="F2339" t="s">
        <v>17</v>
      </c>
      <c r="G2339" t="s">
        <v>25</v>
      </c>
      <c r="H2339">
        <v>273.8</v>
      </c>
      <c r="I2339">
        <v>248.5</v>
      </c>
      <c r="J2339">
        <v>97.9</v>
      </c>
      <c r="K2339">
        <v>65.5</v>
      </c>
      <c r="L2339">
        <v>24.9</v>
      </c>
      <c r="M2339">
        <v>4</v>
      </c>
      <c r="N2339">
        <v>0.24456743295460801</v>
      </c>
      <c r="O2339">
        <v>0.36385007541988101</v>
      </c>
    </row>
    <row r="2340" spans="1:15" x14ac:dyDescent="0.3">
      <c r="A2340">
        <v>9784</v>
      </c>
      <c r="B2340">
        <v>924</v>
      </c>
      <c r="C2340">
        <v>20</v>
      </c>
      <c r="D2340" t="s">
        <v>23</v>
      </c>
      <c r="E2340" t="s">
        <v>16</v>
      </c>
      <c r="F2340" t="s">
        <v>21</v>
      </c>
      <c r="G2340" t="s">
        <v>22</v>
      </c>
      <c r="H2340">
        <v>282.7</v>
      </c>
      <c r="I2340">
        <v>260</v>
      </c>
      <c r="J2340">
        <v>103.8</v>
      </c>
      <c r="K2340">
        <v>68</v>
      </c>
      <c r="L2340">
        <v>26.4</v>
      </c>
      <c r="M2340">
        <v>11.5</v>
      </c>
      <c r="N2340">
        <v>6.5698573929154597E-2</v>
      </c>
      <c r="O2340">
        <v>0.25490386947511301</v>
      </c>
    </row>
    <row r="2341" spans="1:15" x14ac:dyDescent="0.3">
      <c r="A2341">
        <v>9785</v>
      </c>
      <c r="B2341">
        <v>924</v>
      </c>
      <c r="C2341">
        <v>20</v>
      </c>
      <c r="D2341" t="s">
        <v>23</v>
      </c>
      <c r="E2341" t="s">
        <v>16</v>
      </c>
      <c r="F2341" t="s">
        <v>21</v>
      </c>
      <c r="G2341" t="s">
        <v>22</v>
      </c>
      <c r="H2341">
        <v>282.7</v>
      </c>
      <c r="I2341">
        <v>260</v>
      </c>
      <c r="J2341">
        <v>103.8</v>
      </c>
      <c r="K2341">
        <v>68</v>
      </c>
      <c r="L2341">
        <v>26.4</v>
      </c>
      <c r="M2341">
        <v>11.5</v>
      </c>
      <c r="N2341">
        <v>9.3935458141786402E-2</v>
      </c>
      <c r="O2341">
        <v>0.26741723903284498</v>
      </c>
    </row>
    <row r="2342" spans="1:15" x14ac:dyDescent="0.3">
      <c r="A2342">
        <v>9786</v>
      </c>
      <c r="B2342">
        <v>924</v>
      </c>
      <c r="C2342">
        <v>20</v>
      </c>
      <c r="D2342" t="s">
        <v>23</v>
      </c>
      <c r="E2342" t="s">
        <v>16</v>
      </c>
      <c r="F2342" t="s">
        <v>21</v>
      </c>
      <c r="G2342" t="s">
        <v>22</v>
      </c>
      <c r="H2342">
        <v>282.7</v>
      </c>
      <c r="I2342">
        <v>260</v>
      </c>
      <c r="J2342">
        <v>103.8</v>
      </c>
      <c r="K2342">
        <v>68</v>
      </c>
      <c r="L2342">
        <v>26.4</v>
      </c>
      <c r="M2342">
        <v>11.5</v>
      </c>
      <c r="N2342">
        <v>9.6447783520118902E-2</v>
      </c>
      <c r="O2342">
        <v>0.28366224070968599</v>
      </c>
    </row>
    <row r="2343" spans="1:15" x14ac:dyDescent="0.3">
      <c r="A2343">
        <v>9787</v>
      </c>
      <c r="B2343">
        <v>924</v>
      </c>
      <c r="C2343">
        <v>20</v>
      </c>
      <c r="D2343" t="s">
        <v>23</v>
      </c>
      <c r="E2343" t="s">
        <v>16</v>
      </c>
      <c r="F2343" t="s">
        <v>21</v>
      </c>
      <c r="G2343" t="s">
        <v>22</v>
      </c>
      <c r="H2343">
        <v>282.7</v>
      </c>
      <c r="I2343">
        <v>260</v>
      </c>
      <c r="J2343">
        <v>103.8</v>
      </c>
      <c r="K2343">
        <v>68</v>
      </c>
      <c r="L2343">
        <v>26.4</v>
      </c>
      <c r="M2343">
        <v>11.5</v>
      </c>
      <c r="N2343">
        <v>8.22785841766321E-2</v>
      </c>
      <c r="O2343">
        <v>0.27245742367361803</v>
      </c>
    </row>
    <row r="2344" spans="1:15" x14ac:dyDescent="0.3">
      <c r="A2344">
        <v>9788</v>
      </c>
      <c r="B2344">
        <v>924</v>
      </c>
      <c r="C2344">
        <v>20</v>
      </c>
      <c r="D2344" t="s">
        <v>23</v>
      </c>
      <c r="E2344" t="s">
        <v>16</v>
      </c>
      <c r="F2344" t="s">
        <v>21</v>
      </c>
      <c r="G2344" t="s">
        <v>22</v>
      </c>
      <c r="H2344">
        <v>282.7</v>
      </c>
      <c r="I2344">
        <v>260</v>
      </c>
      <c r="J2344">
        <v>103.8</v>
      </c>
      <c r="K2344">
        <v>68</v>
      </c>
      <c r="L2344">
        <v>26.4</v>
      </c>
      <c r="M2344">
        <v>11.5</v>
      </c>
      <c r="N2344">
        <v>8.8416981395820701E-2</v>
      </c>
      <c r="O2344">
        <v>0.25366879425352701</v>
      </c>
    </row>
    <row r="2345" spans="1:15" x14ac:dyDescent="0.3">
      <c r="A2345">
        <v>9789</v>
      </c>
      <c r="B2345">
        <v>924</v>
      </c>
      <c r="C2345">
        <v>20</v>
      </c>
      <c r="D2345" t="s">
        <v>23</v>
      </c>
      <c r="E2345" t="s">
        <v>16</v>
      </c>
      <c r="F2345" t="s">
        <v>21</v>
      </c>
      <c r="G2345" t="s">
        <v>22</v>
      </c>
      <c r="H2345">
        <v>282.7</v>
      </c>
      <c r="I2345">
        <v>260</v>
      </c>
      <c r="J2345">
        <v>103.8</v>
      </c>
      <c r="K2345">
        <v>68</v>
      </c>
      <c r="L2345">
        <v>26.4</v>
      </c>
      <c r="M2345">
        <v>11.5</v>
      </c>
      <c r="N2345">
        <v>8.9047837662558305E-2</v>
      </c>
      <c r="O2345">
        <v>0.28640415213572801</v>
      </c>
    </row>
    <row r="2346" spans="1:15" x14ac:dyDescent="0.3">
      <c r="A2346">
        <v>9797</v>
      </c>
      <c r="B2346">
        <v>928</v>
      </c>
      <c r="C2346">
        <v>289</v>
      </c>
      <c r="D2346" t="s">
        <v>23</v>
      </c>
      <c r="E2346" t="s">
        <v>20</v>
      </c>
      <c r="F2346" t="s">
        <v>17</v>
      </c>
      <c r="G2346" t="s">
        <v>18</v>
      </c>
      <c r="H2346">
        <v>279.39999999999998</v>
      </c>
      <c r="I2346">
        <v>256</v>
      </c>
      <c r="J2346">
        <v>95.5</v>
      </c>
      <c r="K2346">
        <v>69.5</v>
      </c>
      <c r="L2346">
        <v>26.8</v>
      </c>
      <c r="M2346">
        <v>13</v>
      </c>
      <c r="N2346">
        <v>0.122121731628156</v>
      </c>
      <c r="O2346">
        <v>0.44816937870013801</v>
      </c>
    </row>
    <row r="2347" spans="1:15" x14ac:dyDescent="0.3">
      <c r="A2347">
        <v>9809</v>
      </c>
      <c r="B2347">
        <v>932</v>
      </c>
      <c r="C2347">
        <v>267</v>
      </c>
      <c r="D2347" t="s">
        <v>23</v>
      </c>
      <c r="E2347" t="s">
        <v>20</v>
      </c>
      <c r="F2347" t="s">
        <v>21</v>
      </c>
      <c r="G2347" t="s">
        <v>25</v>
      </c>
      <c r="H2347">
        <v>275.39999999999998</v>
      </c>
      <c r="I2347">
        <v>244.5</v>
      </c>
      <c r="J2347">
        <v>95.4</v>
      </c>
      <c r="K2347">
        <v>67</v>
      </c>
      <c r="L2347">
        <v>22.2</v>
      </c>
      <c r="M2347">
        <v>9.5</v>
      </c>
      <c r="N2347">
        <v>0.24263978310505199</v>
      </c>
      <c r="O2347">
        <v>0.21152636055979501</v>
      </c>
    </row>
    <row r="2348" spans="1:15" x14ac:dyDescent="0.3">
      <c r="A2348">
        <v>9818</v>
      </c>
      <c r="B2348">
        <v>938</v>
      </c>
      <c r="C2348">
        <v>289</v>
      </c>
      <c r="D2348" t="s">
        <v>23</v>
      </c>
      <c r="E2348" t="s">
        <v>20</v>
      </c>
      <c r="F2348" t="s">
        <v>21</v>
      </c>
      <c r="G2348" t="s">
        <v>26</v>
      </c>
      <c r="H2348">
        <v>279.39999999999998</v>
      </c>
      <c r="I2348">
        <v>256</v>
      </c>
      <c r="J2348">
        <v>95.5</v>
      </c>
      <c r="K2348">
        <v>69.5</v>
      </c>
      <c r="L2348">
        <v>26.8</v>
      </c>
      <c r="M2348">
        <v>13</v>
      </c>
      <c r="N2348">
        <v>0.110799608039013</v>
      </c>
      <c r="O2348">
        <v>0.44000454275358097</v>
      </c>
    </row>
    <row r="2349" spans="1:15" x14ac:dyDescent="0.3">
      <c r="A2349">
        <v>9820</v>
      </c>
      <c r="B2349">
        <v>94</v>
      </c>
      <c r="C2349">
        <v>80</v>
      </c>
      <c r="D2349" t="s">
        <v>23</v>
      </c>
      <c r="E2349" t="s">
        <v>20</v>
      </c>
      <c r="F2349" t="s">
        <v>21</v>
      </c>
      <c r="G2349" t="s">
        <v>24</v>
      </c>
      <c r="H2349">
        <v>279</v>
      </c>
      <c r="I2349">
        <v>254</v>
      </c>
      <c r="J2349">
        <v>97.1</v>
      </c>
      <c r="K2349">
        <v>67</v>
      </c>
      <c r="L2349">
        <v>24.6</v>
      </c>
      <c r="M2349">
        <v>7</v>
      </c>
      <c r="N2349">
        <v>0.219096697088735</v>
      </c>
      <c r="O2349">
        <v>0.35794432664451897</v>
      </c>
    </row>
    <row r="2350" spans="1:15" x14ac:dyDescent="0.3">
      <c r="A2350">
        <v>9835</v>
      </c>
      <c r="B2350">
        <v>947</v>
      </c>
      <c r="C2350">
        <v>366</v>
      </c>
      <c r="D2350" t="s">
        <v>19</v>
      </c>
      <c r="E2350" t="s">
        <v>20</v>
      </c>
      <c r="F2350" t="s">
        <v>21</v>
      </c>
      <c r="G2350" t="s">
        <v>24</v>
      </c>
      <c r="H2350">
        <v>275.89999999999998</v>
      </c>
      <c r="I2350">
        <v>255</v>
      </c>
      <c r="J2350">
        <v>94.9</v>
      </c>
      <c r="K2350">
        <v>64</v>
      </c>
      <c r="L2350">
        <v>26.8</v>
      </c>
      <c r="M2350">
        <v>17</v>
      </c>
      <c r="N2350">
        <v>0.18866046866758601</v>
      </c>
      <c r="O2350">
        <v>0.17106298719860499</v>
      </c>
    </row>
    <row r="2351" spans="1:15" x14ac:dyDescent="0.3">
      <c r="A2351">
        <v>9836</v>
      </c>
      <c r="B2351">
        <v>947</v>
      </c>
      <c r="C2351">
        <v>366</v>
      </c>
      <c r="D2351" t="s">
        <v>19</v>
      </c>
      <c r="E2351" t="s">
        <v>20</v>
      </c>
      <c r="F2351" t="s">
        <v>21</v>
      </c>
      <c r="G2351" t="s">
        <v>24</v>
      </c>
      <c r="H2351">
        <v>275.89999999999998</v>
      </c>
      <c r="I2351">
        <v>255</v>
      </c>
      <c r="J2351">
        <v>94.9</v>
      </c>
      <c r="K2351">
        <v>64</v>
      </c>
      <c r="L2351">
        <v>26.8</v>
      </c>
      <c r="M2351">
        <v>17</v>
      </c>
      <c r="N2351">
        <v>0.16342266257093099</v>
      </c>
      <c r="O2351">
        <v>0.14312887869612501</v>
      </c>
    </row>
    <row r="2352" spans="1:15" x14ac:dyDescent="0.3">
      <c r="A2352">
        <v>9841</v>
      </c>
      <c r="B2352">
        <v>949</v>
      </c>
      <c r="C2352">
        <v>122</v>
      </c>
      <c r="D2352" t="s">
        <v>23</v>
      </c>
      <c r="E2352" t="s">
        <v>20</v>
      </c>
      <c r="F2352" t="s">
        <v>21</v>
      </c>
      <c r="G2352" t="s">
        <v>26</v>
      </c>
      <c r="H2352">
        <v>276.60000000000002</v>
      </c>
      <c r="I2352">
        <v>246.5</v>
      </c>
      <c r="J2352">
        <v>96.7</v>
      </c>
      <c r="K2352">
        <v>65.5</v>
      </c>
      <c r="L2352">
        <v>30.9</v>
      </c>
      <c r="M2352">
        <v>8.5</v>
      </c>
      <c r="N2352">
        <v>5.8311442576385202E-2</v>
      </c>
      <c r="O2352">
        <v>0.28706430756849199</v>
      </c>
    </row>
    <row r="2353" spans="1:15" x14ac:dyDescent="0.3">
      <c r="A2353">
        <v>9842</v>
      </c>
      <c r="B2353">
        <v>949</v>
      </c>
      <c r="C2353">
        <v>122</v>
      </c>
      <c r="D2353" t="s">
        <v>23</v>
      </c>
      <c r="E2353" t="s">
        <v>20</v>
      </c>
      <c r="F2353" t="s">
        <v>21</v>
      </c>
      <c r="G2353" t="s">
        <v>26</v>
      </c>
      <c r="H2353">
        <v>276.60000000000002</v>
      </c>
      <c r="I2353">
        <v>246.5</v>
      </c>
      <c r="J2353">
        <v>96.7</v>
      </c>
      <c r="K2353">
        <v>65.5</v>
      </c>
      <c r="L2353">
        <v>30.9</v>
      </c>
      <c r="M2353">
        <v>8.5</v>
      </c>
      <c r="N2353">
        <v>5.1119883865178198E-2</v>
      </c>
      <c r="O2353">
        <v>0.29915974713739701</v>
      </c>
    </row>
    <row r="2354" spans="1:15" x14ac:dyDescent="0.3">
      <c r="A2354">
        <v>9843</v>
      </c>
      <c r="B2354">
        <v>949</v>
      </c>
      <c r="C2354">
        <v>122</v>
      </c>
      <c r="D2354" t="s">
        <v>23</v>
      </c>
      <c r="E2354" t="s">
        <v>20</v>
      </c>
      <c r="F2354" t="s">
        <v>21</v>
      </c>
      <c r="G2354" t="s">
        <v>26</v>
      </c>
      <c r="H2354">
        <v>276.60000000000002</v>
      </c>
      <c r="I2354">
        <v>246.5</v>
      </c>
      <c r="J2354">
        <v>96.7</v>
      </c>
      <c r="K2354">
        <v>65.5</v>
      </c>
      <c r="L2354">
        <v>30.9</v>
      </c>
      <c r="M2354">
        <v>8.5</v>
      </c>
      <c r="N2354">
        <v>6.6870334556736993E-2</v>
      </c>
      <c r="O2354">
        <v>0.29183594596048201</v>
      </c>
    </row>
    <row r="2355" spans="1:15" x14ac:dyDescent="0.3">
      <c r="A2355">
        <v>9844</v>
      </c>
      <c r="B2355">
        <v>95</v>
      </c>
      <c r="C2355">
        <v>249</v>
      </c>
      <c r="D2355" t="s">
        <v>19</v>
      </c>
      <c r="E2355" t="s">
        <v>16</v>
      </c>
      <c r="F2355" t="s">
        <v>17</v>
      </c>
      <c r="G2355" t="s">
        <v>18</v>
      </c>
      <c r="H2355">
        <v>275.7</v>
      </c>
      <c r="I2355">
        <v>254.5</v>
      </c>
      <c r="J2355">
        <v>97.9</v>
      </c>
      <c r="K2355">
        <v>66</v>
      </c>
      <c r="L2355">
        <v>26.3</v>
      </c>
      <c r="M2355">
        <v>9</v>
      </c>
      <c r="N2355">
        <v>0.23440166934221601</v>
      </c>
      <c r="O2355">
        <v>3.8946616332782999E-2</v>
      </c>
    </row>
    <row r="2356" spans="1:15" x14ac:dyDescent="0.3">
      <c r="A2356">
        <v>9845</v>
      </c>
      <c r="B2356">
        <v>95</v>
      </c>
      <c r="C2356">
        <v>249</v>
      </c>
      <c r="D2356" t="s">
        <v>19</v>
      </c>
      <c r="E2356" t="s">
        <v>16</v>
      </c>
      <c r="F2356" t="s">
        <v>17</v>
      </c>
      <c r="G2356" t="s">
        <v>18</v>
      </c>
      <c r="H2356">
        <v>275.7</v>
      </c>
      <c r="I2356">
        <v>254.5</v>
      </c>
      <c r="J2356">
        <v>97.9</v>
      </c>
      <c r="K2356">
        <v>66</v>
      </c>
      <c r="L2356">
        <v>26.3</v>
      </c>
      <c r="M2356">
        <v>9</v>
      </c>
      <c r="N2356">
        <v>0.240273906278655</v>
      </c>
      <c r="O2356">
        <v>3.7332840987158902E-2</v>
      </c>
    </row>
    <row r="2357" spans="1:15" x14ac:dyDescent="0.3">
      <c r="A2357">
        <v>9846</v>
      </c>
      <c r="B2357">
        <v>95</v>
      </c>
      <c r="C2357">
        <v>249</v>
      </c>
      <c r="D2357" t="s">
        <v>19</v>
      </c>
      <c r="E2357" t="s">
        <v>16</v>
      </c>
      <c r="F2357" t="s">
        <v>17</v>
      </c>
      <c r="G2357" t="s">
        <v>18</v>
      </c>
      <c r="H2357">
        <v>275.7</v>
      </c>
      <c r="I2357">
        <v>254.5</v>
      </c>
      <c r="J2357">
        <v>97.9</v>
      </c>
      <c r="K2357">
        <v>66</v>
      </c>
      <c r="L2357">
        <v>26.3</v>
      </c>
      <c r="M2357">
        <v>9</v>
      </c>
      <c r="N2357">
        <v>0.243849878785073</v>
      </c>
      <c r="O2357">
        <v>4.0997467501392097E-2</v>
      </c>
    </row>
    <row r="2358" spans="1:15" x14ac:dyDescent="0.3">
      <c r="A2358">
        <v>9860</v>
      </c>
      <c r="B2358">
        <v>955</v>
      </c>
      <c r="C2358">
        <v>279</v>
      </c>
      <c r="D2358" t="s">
        <v>23</v>
      </c>
      <c r="E2358" t="s">
        <v>16</v>
      </c>
      <c r="F2358" t="s">
        <v>21</v>
      </c>
      <c r="G2358" t="s">
        <v>22</v>
      </c>
      <c r="H2358">
        <v>273.8</v>
      </c>
      <c r="I2358">
        <v>248.5</v>
      </c>
      <c r="J2358">
        <v>97.9</v>
      </c>
      <c r="K2358">
        <v>65.5</v>
      </c>
      <c r="L2358">
        <v>24.9</v>
      </c>
      <c r="M2358">
        <v>4</v>
      </c>
      <c r="N2358">
        <v>0.230509918727371</v>
      </c>
      <c r="O2358">
        <v>0.37473994005633499</v>
      </c>
    </row>
    <row r="2359" spans="1:15" x14ac:dyDescent="0.3">
      <c r="A2359">
        <v>9861</v>
      </c>
      <c r="B2359">
        <v>955</v>
      </c>
      <c r="C2359">
        <v>279</v>
      </c>
      <c r="D2359" t="s">
        <v>23</v>
      </c>
      <c r="E2359" t="s">
        <v>16</v>
      </c>
      <c r="F2359" t="s">
        <v>21</v>
      </c>
      <c r="G2359" t="s">
        <v>22</v>
      </c>
      <c r="H2359">
        <v>273.8</v>
      </c>
      <c r="I2359">
        <v>248.5</v>
      </c>
      <c r="J2359">
        <v>97.9</v>
      </c>
      <c r="K2359">
        <v>65.5</v>
      </c>
      <c r="L2359">
        <v>24.9</v>
      </c>
      <c r="M2359">
        <v>4</v>
      </c>
      <c r="N2359">
        <v>0.24737149066098499</v>
      </c>
      <c r="O2359">
        <v>0.37107771858668098</v>
      </c>
    </row>
    <row r="2360" spans="1:15" x14ac:dyDescent="0.3">
      <c r="A2360">
        <v>9862</v>
      </c>
      <c r="B2360">
        <v>955</v>
      </c>
      <c r="C2360">
        <v>279</v>
      </c>
      <c r="D2360" t="s">
        <v>23</v>
      </c>
      <c r="E2360" t="s">
        <v>16</v>
      </c>
      <c r="F2360" t="s">
        <v>21</v>
      </c>
      <c r="G2360" t="s">
        <v>22</v>
      </c>
      <c r="H2360">
        <v>273.8</v>
      </c>
      <c r="I2360">
        <v>248.5</v>
      </c>
      <c r="J2360">
        <v>97.9</v>
      </c>
      <c r="K2360">
        <v>65.5</v>
      </c>
      <c r="L2360">
        <v>24.9</v>
      </c>
      <c r="M2360">
        <v>4</v>
      </c>
      <c r="N2360">
        <v>0.24053625734032799</v>
      </c>
      <c r="O2360">
        <v>0.39670998485765002</v>
      </c>
    </row>
    <row r="2361" spans="1:15" x14ac:dyDescent="0.3">
      <c r="A2361">
        <v>9863</v>
      </c>
      <c r="B2361">
        <v>955</v>
      </c>
      <c r="C2361">
        <v>279</v>
      </c>
      <c r="D2361" t="s">
        <v>23</v>
      </c>
      <c r="E2361" t="s">
        <v>16</v>
      </c>
      <c r="F2361" t="s">
        <v>21</v>
      </c>
      <c r="G2361" t="s">
        <v>22</v>
      </c>
      <c r="H2361">
        <v>273.8</v>
      </c>
      <c r="I2361">
        <v>248.5</v>
      </c>
      <c r="J2361">
        <v>97.9</v>
      </c>
      <c r="K2361">
        <v>65.5</v>
      </c>
      <c r="L2361">
        <v>24.9</v>
      </c>
      <c r="M2361">
        <v>4</v>
      </c>
      <c r="N2361">
        <v>0.238359033427995</v>
      </c>
      <c r="O2361">
        <v>0.37821852932297301</v>
      </c>
    </row>
    <row r="2362" spans="1:15" x14ac:dyDescent="0.3">
      <c r="A2362">
        <v>9872</v>
      </c>
      <c r="B2362">
        <v>959</v>
      </c>
      <c r="C2362">
        <v>314</v>
      </c>
      <c r="D2362" t="s">
        <v>19</v>
      </c>
      <c r="E2362" t="s">
        <v>20</v>
      </c>
      <c r="F2362" t="s">
        <v>17</v>
      </c>
      <c r="G2362" t="s">
        <v>26</v>
      </c>
      <c r="H2362">
        <v>273.5</v>
      </c>
      <c r="I2362">
        <v>251.5</v>
      </c>
      <c r="J2362">
        <v>97.5</v>
      </c>
      <c r="K2362">
        <v>65</v>
      </c>
      <c r="L2362">
        <v>25.5</v>
      </c>
      <c r="M2362">
        <v>13</v>
      </c>
      <c r="N2362">
        <v>0.222845937224628</v>
      </c>
      <c r="O2362">
        <v>7.6139026662911002E-2</v>
      </c>
    </row>
    <row r="2363" spans="1:15" x14ac:dyDescent="0.3">
      <c r="A2363">
        <v>9873</v>
      </c>
      <c r="B2363">
        <v>959</v>
      </c>
      <c r="C2363">
        <v>314</v>
      </c>
      <c r="D2363" t="s">
        <v>19</v>
      </c>
      <c r="E2363" t="s">
        <v>20</v>
      </c>
      <c r="F2363" t="s">
        <v>17</v>
      </c>
      <c r="G2363" t="s">
        <v>26</v>
      </c>
      <c r="H2363">
        <v>273.5</v>
      </c>
      <c r="I2363">
        <v>251.5</v>
      </c>
      <c r="J2363">
        <v>97.5</v>
      </c>
      <c r="K2363">
        <v>65</v>
      </c>
      <c r="L2363">
        <v>25.5</v>
      </c>
      <c r="M2363">
        <v>13</v>
      </c>
      <c r="N2363">
        <v>0.23708064915048299</v>
      </c>
      <c r="O2363">
        <v>9.6546847876210901E-2</v>
      </c>
    </row>
    <row r="2364" spans="1:15" x14ac:dyDescent="0.3">
      <c r="A2364">
        <v>9874</v>
      </c>
      <c r="B2364">
        <v>959</v>
      </c>
      <c r="C2364">
        <v>314</v>
      </c>
      <c r="D2364" t="s">
        <v>19</v>
      </c>
      <c r="E2364" t="s">
        <v>20</v>
      </c>
      <c r="F2364" t="s">
        <v>17</v>
      </c>
      <c r="G2364" t="s">
        <v>26</v>
      </c>
      <c r="H2364">
        <v>273.5</v>
      </c>
      <c r="I2364">
        <v>251.5</v>
      </c>
      <c r="J2364">
        <v>97.5</v>
      </c>
      <c r="K2364">
        <v>65</v>
      </c>
      <c r="L2364">
        <v>25.5</v>
      </c>
      <c r="M2364">
        <v>13</v>
      </c>
      <c r="N2364">
        <v>0.22520328830276401</v>
      </c>
      <c r="O2364">
        <v>0.10163714818611801</v>
      </c>
    </row>
    <row r="2365" spans="1:15" x14ac:dyDescent="0.3">
      <c r="A2365">
        <v>9875</v>
      </c>
      <c r="B2365">
        <v>959</v>
      </c>
      <c r="C2365">
        <v>314</v>
      </c>
      <c r="D2365" t="s">
        <v>19</v>
      </c>
      <c r="E2365" t="s">
        <v>20</v>
      </c>
      <c r="F2365" t="s">
        <v>17</v>
      </c>
      <c r="G2365" t="s">
        <v>26</v>
      </c>
      <c r="H2365">
        <v>273.5</v>
      </c>
      <c r="I2365">
        <v>251.5</v>
      </c>
      <c r="J2365">
        <v>97.5</v>
      </c>
      <c r="K2365">
        <v>65</v>
      </c>
      <c r="L2365">
        <v>25.5</v>
      </c>
      <c r="M2365">
        <v>13</v>
      </c>
      <c r="N2365">
        <v>0.22685835931091</v>
      </c>
      <c r="O2365">
        <v>6.7308065070009193E-2</v>
      </c>
    </row>
    <row r="2366" spans="1:15" x14ac:dyDescent="0.3">
      <c r="A2366">
        <v>9877</v>
      </c>
      <c r="B2366">
        <v>960</v>
      </c>
      <c r="C2366">
        <v>27</v>
      </c>
      <c r="D2366" t="s">
        <v>19</v>
      </c>
      <c r="E2366" t="s">
        <v>20</v>
      </c>
      <c r="F2366" t="s">
        <v>17</v>
      </c>
      <c r="G2366" t="s">
        <v>18</v>
      </c>
      <c r="H2366">
        <v>276.60000000000002</v>
      </c>
      <c r="I2366">
        <v>251.5</v>
      </c>
      <c r="J2366">
        <v>95.3</v>
      </c>
      <c r="K2366">
        <v>67.5</v>
      </c>
      <c r="L2366">
        <v>29.7</v>
      </c>
      <c r="M2366">
        <v>2</v>
      </c>
      <c r="N2366">
        <v>0.163243484938974</v>
      </c>
      <c r="O2366">
        <v>0.12642596131453901</v>
      </c>
    </row>
    <row r="2367" spans="1:15" x14ac:dyDescent="0.3">
      <c r="A2367">
        <v>9878</v>
      </c>
      <c r="B2367">
        <v>960</v>
      </c>
      <c r="C2367">
        <v>27</v>
      </c>
      <c r="D2367" t="s">
        <v>19</v>
      </c>
      <c r="E2367" t="s">
        <v>20</v>
      </c>
      <c r="F2367" t="s">
        <v>17</v>
      </c>
      <c r="G2367" t="s">
        <v>18</v>
      </c>
      <c r="H2367">
        <v>276.60000000000002</v>
      </c>
      <c r="I2367">
        <v>251.5</v>
      </c>
      <c r="J2367">
        <v>95.3</v>
      </c>
      <c r="K2367">
        <v>67.5</v>
      </c>
      <c r="L2367">
        <v>29.7</v>
      </c>
      <c r="M2367">
        <v>2</v>
      </c>
      <c r="N2367">
        <v>0.14253979153273399</v>
      </c>
      <c r="O2367">
        <v>0.14571368384348499</v>
      </c>
    </row>
    <row r="2368" spans="1:15" x14ac:dyDescent="0.3">
      <c r="A2368">
        <v>9879</v>
      </c>
      <c r="B2368">
        <v>960</v>
      </c>
      <c r="C2368">
        <v>27</v>
      </c>
      <c r="D2368" t="s">
        <v>19</v>
      </c>
      <c r="E2368" t="s">
        <v>20</v>
      </c>
      <c r="F2368" t="s">
        <v>17</v>
      </c>
      <c r="G2368" t="s">
        <v>18</v>
      </c>
      <c r="H2368">
        <v>276.60000000000002</v>
      </c>
      <c r="I2368">
        <v>251.5</v>
      </c>
      <c r="J2368">
        <v>95.3</v>
      </c>
      <c r="K2368">
        <v>67.5</v>
      </c>
      <c r="L2368">
        <v>29.7</v>
      </c>
      <c r="M2368">
        <v>2</v>
      </c>
      <c r="N2368">
        <v>0.153670047815435</v>
      </c>
      <c r="O2368">
        <v>0.14624156931146401</v>
      </c>
    </row>
    <row r="2369" spans="1:15" x14ac:dyDescent="0.3">
      <c r="A2369">
        <v>9880</v>
      </c>
      <c r="B2369">
        <v>960</v>
      </c>
      <c r="C2369">
        <v>27</v>
      </c>
      <c r="D2369" t="s">
        <v>19</v>
      </c>
      <c r="E2369" t="s">
        <v>20</v>
      </c>
      <c r="F2369" t="s">
        <v>17</v>
      </c>
      <c r="G2369" t="s">
        <v>18</v>
      </c>
      <c r="H2369">
        <v>276.60000000000002</v>
      </c>
      <c r="I2369">
        <v>251.5</v>
      </c>
      <c r="J2369">
        <v>95.3</v>
      </c>
      <c r="K2369">
        <v>67.5</v>
      </c>
      <c r="L2369">
        <v>29.7</v>
      </c>
      <c r="M2369">
        <v>2</v>
      </c>
      <c r="N2369">
        <v>0.14069315127152901</v>
      </c>
      <c r="O2369">
        <v>0.12943911412818301</v>
      </c>
    </row>
    <row r="2370" spans="1:15" x14ac:dyDescent="0.3">
      <c r="A2370">
        <v>9881</v>
      </c>
      <c r="B2370">
        <v>960</v>
      </c>
      <c r="C2370">
        <v>27</v>
      </c>
      <c r="D2370" t="s">
        <v>19</v>
      </c>
      <c r="E2370" t="s">
        <v>20</v>
      </c>
      <c r="F2370" t="s">
        <v>17</v>
      </c>
      <c r="G2370" t="s">
        <v>18</v>
      </c>
      <c r="H2370">
        <v>276.60000000000002</v>
      </c>
      <c r="I2370">
        <v>251.5</v>
      </c>
      <c r="J2370">
        <v>95.3</v>
      </c>
      <c r="K2370">
        <v>67.5</v>
      </c>
      <c r="L2370">
        <v>29.7</v>
      </c>
      <c r="M2370">
        <v>2</v>
      </c>
      <c r="N2370">
        <v>0.13948687543455901</v>
      </c>
      <c r="O2370">
        <v>0.11789812791646</v>
      </c>
    </row>
    <row r="2371" spans="1:15" x14ac:dyDescent="0.3">
      <c r="A2371">
        <v>9899</v>
      </c>
      <c r="B2371">
        <v>967</v>
      </c>
      <c r="C2371">
        <v>388</v>
      </c>
      <c r="D2371" t="s">
        <v>19</v>
      </c>
      <c r="E2371" t="s">
        <v>16</v>
      </c>
      <c r="F2371" t="s">
        <v>21</v>
      </c>
      <c r="G2371" t="s">
        <v>25</v>
      </c>
      <c r="H2371">
        <v>277.10000000000002</v>
      </c>
      <c r="I2371">
        <v>244.5</v>
      </c>
      <c r="J2371">
        <v>91.9</v>
      </c>
      <c r="K2371">
        <v>62.5</v>
      </c>
      <c r="L2371">
        <v>25.9</v>
      </c>
      <c r="M2371">
        <v>7</v>
      </c>
      <c r="N2371">
        <v>0.115322375616314</v>
      </c>
      <c r="O2371">
        <v>6.4365923788294796E-2</v>
      </c>
    </row>
    <row r="2372" spans="1:15" x14ac:dyDescent="0.3">
      <c r="A2372">
        <v>9900</v>
      </c>
      <c r="B2372">
        <v>967</v>
      </c>
      <c r="C2372">
        <v>388</v>
      </c>
      <c r="D2372" t="s">
        <v>19</v>
      </c>
      <c r="E2372" t="s">
        <v>16</v>
      </c>
      <c r="F2372" t="s">
        <v>21</v>
      </c>
      <c r="G2372" t="s">
        <v>25</v>
      </c>
      <c r="H2372">
        <v>277.10000000000002</v>
      </c>
      <c r="I2372">
        <v>244.5</v>
      </c>
      <c r="J2372">
        <v>91.9</v>
      </c>
      <c r="K2372">
        <v>62.5</v>
      </c>
      <c r="L2372">
        <v>25.9</v>
      </c>
      <c r="M2372">
        <v>7</v>
      </c>
      <c r="N2372">
        <v>9.3216880623767401E-2</v>
      </c>
      <c r="O2372">
        <v>8.4748823561179396E-2</v>
      </c>
    </row>
    <row r="2373" spans="1:15" x14ac:dyDescent="0.3">
      <c r="A2373">
        <v>9901</v>
      </c>
      <c r="B2373">
        <v>967</v>
      </c>
      <c r="C2373">
        <v>388</v>
      </c>
      <c r="D2373" t="s">
        <v>19</v>
      </c>
      <c r="E2373" t="s">
        <v>16</v>
      </c>
      <c r="F2373" t="s">
        <v>21</v>
      </c>
      <c r="G2373" t="s">
        <v>25</v>
      </c>
      <c r="H2373">
        <v>277.10000000000002</v>
      </c>
      <c r="I2373">
        <v>244.5</v>
      </c>
      <c r="J2373">
        <v>91.9</v>
      </c>
      <c r="K2373">
        <v>62.5</v>
      </c>
      <c r="L2373">
        <v>25.9</v>
      </c>
      <c r="M2373">
        <v>7</v>
      </c>
      <c r="N2373">
        <v>9.5677788638582506E-2</v>
      </c>
      <c r="O2373">
        <v>8.6269024534288502E-2</v>
      </c>
    </row>
    <row r="2374" spans="1:15" x14ac:dyDescent="0.3">
      <c r="A2374">
        <v>9902</v>
      </c>
      <c r="B2374">
        <v>967</v>
      </c>
      <c r="C2374">
        <v>388</v>
      </c>
      <c r="D2374" t="s">
        <v>19</v>
      </c>
      <c r="E2374" t="s">
        <v>16</v>
      </c>
      <c r="F2374" t="s">
        <v>21</v>
      </c>
      <c r="G2374" t="s">
        <v>25</v>
      </c>
      <c r="H2374">
        <v>277.10000000000002</v>
      </c>
      <c r="I2374">
        <v>244.5</v>
      </c>
      <c r="J2374">
        <v>91.9</v>
      </c>
      <c r="K2374">
        <v>62.5</v>
      </c>
      <c r="L2374">
        <v>25.9</v>
      </c>
      <c r="M2374">
        <v>7</v>
      </c>
      <c r="N2374">
        <v>0.11123898929043199</v>
      </c>
      <c r="O2374">
        <v>8.5312331002053293E-2</v>
      </c>
    </row>
    <row r="2375" spans="1:15" x14ac:dyDescent="0.3">
      <c r="A2375">
        <v>9903</v>
      </c>
      <c r="B2375">
        <v>967</v>
      </c>
      <c r="C2375">
        <v>388</v>
      </c>
      <c r="D2375" t="s">
        <v>19</v>
      </c>
      <c r="E2375" t="s">
        <v>16</v>
      </c>
      <c r="F2375" t="s">
        <v>21</v>
      </c>
      <c r="G2375" t="s">
        <v>25</v>
      </c>
      <c r="H2375">
        <v>277.10000000000002</v>
      </c>
      <c r="I2375">
        <v>244.5</v>
      </c>
      <c r="J2375">
        <v>91.9</v>
      </c>
      <c r="K2375">
        <v>62.5</v>
      </c>
      <c r="L2375">
        <v>25.9</v>
      </c>
      <c r="M2375">
        <v>7</v>
      </c>
      <c r="N2375">
        <v>0.105285082367</v>
      </c>
      <c r="O2375">
        <v>5.8970544559275098E-2</v>
      </c>
    </row>
    <row r="2376" spans="1:15" x14ac:dyDescent="0.3">
      <c r="A2376">
        <v>9904</v>
      </c>
      <c r="B2376">
        <v>967</v>
      </c>
      <c r="C2376">
        <v>388</v>
      </c>
      <c r="D2376" t="s">
        <v>19</v>
      </c>
      <c r="E2376" t="s">
        <v>16</v>
      </c>
      <c r="F2376" t="s">
        <v>21</v>
      </c>
      <c r="G2376" t="s">
        <v>25</v>
      </c>
      <c r="H2376">
        <v>277.10000000000002</v>
      </c>
      <c r="I2376">
        <v>244.5</v>
      </c>
      <c r="J2376">
        <v>91.9</v>
      </c>
      <c r="K2376">
        <v>62.5</v>
      </c>
      <c r="L2376">
        <v>25.9</v>
      </c>
      <c r="M2376">
        <v>7</v>
      </c>
      <c r="N2376">
        <v>0.116136592213633</v>
      </c>
      <c r="O2376">
        <v>6.9522327629175804E-2</v>
      </c>
    </row>
    <row r="2377" spans="1:15" x14ac:dyDescent="0.3">
      <c r="A2377">
        <v>9905</v>
      </c>
      <c r="B2377">
        <v>967</v>
      </c>
      <c r="C2377">
        <v>388</v>
      </c>
      <c r="D2377" t="s">
        <v>19</v>
      </c>
      <c r="E2377" t="s">
        <v>16</v>
      </c>
      <c r="F2377" t="s">
        <v>21</v>
      </c>
      <c r="G2377" t="s">
        <v>25</v>
      </c>
      <c r="H2377">
        <v>277.10000000000002</v>
      </c>
      <c r="I2377">
        <v>244.5</v>
      </c>
      <c r="J2377">
        <v>91.9</v>
      </c>
      <c r="K2377">
        <v>62.5</v>
      </c>
      <c r="L2377">
        <v>25.9</v>
      </c>
      <c r="M2377">
        <v>7</v>
      </c>
      <c r="N2377">
        <v>0.117567107196403</v>
      </c>
      <c r="O2377">
        <v>9.4772320667315696E-2</v>
      </c>
    </row>
    <row r="2378" spans="1:15" x14ac:dyDescent="0.3">
      <c r="A2378">
        <v>9915</v>
      </c>
      <c r="B2378">
        <v>970</v>
      </c>
      <c r="C2378">
        <v>147</v>
      </c>
      <c r="D2378" t="s">
        <v>19</v>
      </c>
      <c r="E2378" t="s">
        <v>20</v>
      </c>
      <c r="F2378" t="s">
        <v>21</v>
      </c>
      <c r="G2378" t="s">
        <v>18</v>
      </c>
      <c r="H2378">
        <v>274.7</v>
      </c>
      <c r="I2378">
        <v>246</v>
      </c>
      <c r="J2378">
        <v>94.8</v>
      </c>
      <c r="K2378">
        <v>66.5</v>
      </c>
      <c r="L2378">
        <v>23.6</v>
      </c>
      <c r="M2378">
        <v>10.5</v>
      </c>
      <c r="N2378">
        <v>0.14759035556510799</v>
      </c>
      <c r="O2378">
        <v>0.10287788904</v>
      </c>
    </row>
    <row r="2379" spans="1:15" x14ac:dyDescent="0.3">
      <c r="A2379">
        <v>9916</v>
      </c>
      <c r="B2379">
        <v>970</v>
      </c>
      <c r="C2379">
        <v>147</v>
      </c>
      <c r="D2379" t="s">
        <v>19</v>
      </c>
      <c r="E2379" t="s">
        <v>20</v>
      </c>
      <c r="F2379" t="s">
        <v>21</v>
      </c>
      <c r="G2379" t="s">
        <v>18</v>
      </c>
      <c r="H2379">
        <v>274.7</v>
      </c>
      <c r="I2379">
        <v>246</v>
      </c>
      <c r="J2379">
        <v>94.8</v>
      </c>
      <c r="K2379">
        <v>66.5</v>
      </c>
      <c r="L2379">
        <v>23.6</v>
      </c>
      <c r="M2379">
        <v>10.5</v>
      </c>
      <c r="N2379">
        <v>0.13771640910701199</v>
      </c>
      <c r="O2379">
        <v>0.102806290681959</v>
      </c>
    </row>
    <row r="2380" spans="1:15" x14ac:dyDescent="0.3">
      <c r="A2380">
        <v>9922</v>
      </c>
      <c r="B2380">
        <v>972</v>
      </c>
      <c r="C2380">
        <v>388</v>
      </c>
      <c r="D2380" t="s">
        <v>19</v>
      </c>
      <c r="E2380" t="s">
        <v>16</v>
      </c>
      <c r="F2380" t="s">
        <v>17</v>
      </c>
      <c r="G2380" t="s">
        <v>24</v>
      </c>
      <c r="H2380">
        <v>277.10000000000002</v>
      </c>
      <c r="I2380">
        <v>244.5</v>
      </c>
      <c r="J2380">
        <v>91.9</v>
      </c>
      <c r="K2380">
        <v>62.5</v>
      </c>
      <c r="L2380">
        <v>25.9</v>
      </c>
      <c r="M2380">
        <v>7</v>
      </c>
      <c r="N2380">
        <v>0.114099421846456</v>
      </c>
      <c r="O2380">
        <v>8.2045619462733296E-2</v>
      </c>
    </row>
    <row r="2381" spans="1:15" x14ac:dyDescent="0.3">
      <c r="A2381">
        <v>9923</v>
      </c>
      <c r="B2381">
        <v>972</v>
      </c>
      <c r="C2381">
        <v>388</v>
      </c>
      <c r="D2381" t="s">
        <v>19</v>
      </c>
      <c r="E2381" t="s">
        <v>16</v>
      </c>
      <c r="F2381" t="s">
        <v>17</v>
      </c>
      <c r="G2381" t="s">
        <v>24</v>
      </c>
      <c r="H2381">
        <v>277.10000000000002</v>
      </c>
      <c r="I2381">
        <v>244.5</v>
      </c>
      <c r="J2381">
        <v>91.9</v>
      </c>
      <c r="K2381">
        <v>62.5</v>
      </c>
      <c r="L2381">
        <v>25.9</v>
      </c>
      <c r="M2381">
        <v>7</v>
      </c>
      <c r="N2381">
        <v>9.5831521943990805E-2</v>
      </c>
      <c r="O2381">
        <v>6.9681682594720407E-2</v>
      </c>
    </row>
    <row r="2382" spans="1:15" x14ac:dyDescent="0.3">
      <c r="A2382">
        <v>9926</v>
      </c>
      <c r="B2382">
        <v>974</v>
      </c>
      <c r="C2382">
        <v>228</v>
      </c>
      <c r="D2382" t="s">
        <v>19</v>
      </c>
      <c r="E2382" t="s">
        <v>16</v>
      </c>
      <c r="F2382" t="s">
        <v>17</v>
      </c>
      <c r="G2382" t="s">
        <v>22</v>
      </c>
      <c r="H2382">
        <v>275.39999999999998</v>
      </c>
      <c r="I2382">
        <v>249.5</v>
      </c>
      <c r="J2382">
        <v>93.4</v>
      </c>
      <c r="K2382">
        <v>64</v>
      </c>
      <c r="L2382">
        <v>28.4</v>
      </c>
      <c r="M2382">
        <v>13</v>
      </c>
      <c r="N2382">
        <v>9.9672017165364502E-2</v>
      </c>
      <c r="O2382">
        <v>0.134562752291458</v>
      </c>
    </row>
    <row r="2383" spans="1:15" x14ac:dyDescent="0.3">
      <c r="A2383">
        <v>9927</v>
      </c>
      <c r="B2383">
        <v>974</v>
      </c>
      <c r="C2383">
        <v>228</v>
      </c>
      <c r="D2383" t="s">
        <v>19</v>
      </c>
      <c r="E2383" t="s">
        <v>16</v>
      </c>
      <c r="F2383" t="s">
        <v>17</v>
      </c>
      <c r="G2383" t="s">
        <v>22</v>
      </c>
      <c r="H2383">
        <v>275.39999999999998</v>
      </c>
      <c r="I2383">
        <v>249.5</v>
      </c>
      <c r="J2383">
        <v>93.4</v>
      </c>
      <c r="K2383">
        <v>64</v>
      </c>
      <c r="L2383">
        <v>28.4</v>
      </c>
      <c r="M2383">
        <v>13</v>
      </c>
      <c r="N2383">
        <v>8.2434761757443298E-2</v>
      </c>
      <c r="O2383">
        <v>0.133816757165372</v>
      </c>
    </row>
    <row r="2384" spans="1:15" x14ac:dyDescent="0.3">
      <c r="A2384">
        <v>9931</v>
      </c>
      <c r="B2384">
        <v>975</v>
      </c>
      <c r="C2384">
        <v>235</v>
      </c>
      <c r="D2384" t="s">
        <v>19</v>
      </c>
      <c r="E2384" t="s">
        <v>20</v>
      </c>
      <c r="F2384" t="s">
        <v>21</v>
      </c>
      <c r="G2384" t="s">
        <v>22</v>
      </c>
      <c r="H2384">
        <v>271.60000000000002</v>
      </c>
      <c r="I2384">
        <v>241</v>
      </c>
      <c r="J2384">
        <v>94.5</v>
      </c>
      <c r="K2384">
        <v>68</v>
      </c>
      <c r="L2384">
        <v>23.5</v>
      </c>
      <c r="M2384">
        <v>8</v>
      </c>
      <c r="N2384">
        <v>0.30948918139535098</v>
      </c>
      <c r="O2384">
        <v>1.28026583206595E-2</v>
      </c>
    </row>
    <row r="2385" spans="1:15" x14ac:dyDescent="0.3">
      <c r="A2385">
        <v>9941</v>
      </c>
      <c r="B2385">
        <v>978</v>
      </c>
      <c r="C2385">
        <v>387</v>
      </c>
      <c r="D2385" t="s">
        <v>19</v>
      </c>
      <c r="E2385" t="s">
        <v>16</v>
      </c>
      <c r="F2385" t="s">
        <v>21</v>
      </c>
      <c r="G2385" t="s">
        <v>22</v>
      </c>
      <c r="H2385">
        <v>275.2</v>
      </c>
      <c r="I2385">
        <v>249.5</v>
      </c>
      <c r="J2385">
        <v>96.8</v>
      </c>
      <c r="K2385">
        <v>66</v>
      </c>
      <c r="L2385">
        <v>25.3</v>
      </c>
      <c r="M2385">
        <v>8.5</v>
      </c>
      <c r="N2385">
        <v>0.105510499651069</v>
      </c>
      <c r="O2385">
        <v>8.3133493554374299E-2</v>
      </c>
    </row>
    <row r="2386" spans="1:15" x14ac:dyDescent="0.3">
      <c r="A2386">
        <v>9956</v>
      </c>
      <c r="B2386">
        <v>984</v>
      </c>
      <c r="C2386">
        <v>340</v>
      </c>
      <c r="D2386" t="s">
        <v>23</v>
      </c>
      <c r="E2386" t="s">
        <v>20</v>
      </c>
      <c r="F2386" t="s">
        <v>17</v>
      </c>
      <c r="G2386" t="s">
        <v>26</v>
      </c>
      <c r="H2386">
        <v>274.60000000000002</v>
      </c>
      <c r="I2386">
        <v>261.5</v>
      </c>
      <c r="J2386">
        <v>96.7</v>
      </c>
      <c r="K2386">
        <v>62</v>
      </c>
      <c r="L2386">
        <v>28.9</v>
      </c>
      <c r="M2386">
        <v>10.5</v>
      </c>
      <c r="N2386">
        <v>6.2214916437595601E-2</v>
      </c>
      <c r="O2386">
        <v>0.38270397866295502</v>
      </c>
    </row>
    <row r="2387" spans="1:15" x14ac:dyDescent="0.3">
      <c r="A2387">
        <v>9972</v>
      </c>
      <c r="B2387">
        <v>99</v>
      </c>
      <c r="C2387">
        <v>461</v>
      </c>
      <c r="D2387" t="s">
        <v>23</v>
      </c>
      <c r="E2387" t="s">
        <v>16</v>
      </c>
      <c r="F2387" t="s">
        <v>21</v>
      </c>
      <c r="G2387" t="s">
        <v>18</v>
      </c>
      <c r="H2387">
        <v>276.60000000000002</v>
      </c>
      <c r="I2387">
        <v>260.5</v>
      </c>
      <c r="J2387">
        <v>98.2</v>
      </c>
      <c r="K2387">
        <v>68</v>
      </c>
      <c r="L2387">
        <v>26.5</v>
      </c>
      <c r="M2387">
        <v>6</v>
      </c>
      <c r="N2387">
        <v>0.20308075530115499</v>
      </c>
      <c r="O2387">
        <v>0.27238727077140201</v>
      </c>
    </row>
    <row r="2388" spans="1:15" x14ac:dyDescent="0.3">
      <c r="A2388">
        <v>9978</v>
      </c>
      <c r="B2388">
        <v>992</v>
      </c>
      <c r="C2388">
        <v>366</v>
      </c>
      <c r="D2388" t="s">
        <v>19</v>
      </c>
      <c r="E2388" t="s">
        <v>20</v>
      </c>
      <c r="F2388" t="s">
        <v>21</v>
      </c>
      <c r="G2388" t="s">
        <v>24</v>
      </c>
      <c r="H2388">
        <v>275.89999999999998</v>
      </c>
      <c r="I2388">
        <v>255</v>
      </c>
      <c r="J2388">
        <v>94.9</v>
      </c>
      <c r="K2388">
        <v>64</v>
      </c>
      <c r="L2388">
        <v>26.8</v>
      </c>
      <c r="M2388">
        <v>17</v>
      </c>
      <c r="N2388">
        <v>0.16985706610898399</v>
      </c>
      <c r="O2388">
        <v>0.13712145619866101</v>
      </c>
    </row>
    <row r="2389" spans="1:15" x14ac:dyDescent="0.3">
      <c r="A2389">
        <v>9979</v>
      </c>
      <c r="B2389">
        <v>992</v>
      </c>
      <c r="C2389">
        <v>366</v>
      </c>
      <c r="D2389" t="s">
        <v>19</v>
      </c>
      <c r="E2389" t="s">
        <v>20</v>
      </c>
      <c r="F2389" t="s">
        <v>21</v>
      </c>
      <c r="G2389" t="s">
        <v>24</v>
      </c>
      <c r="H2389">
        <v>275.89999999999998</v>
      </c>
      <c r="I2389">
        <v>255</v>
      </c>
      <c r="J2389">
        <v>94.9</v>
      </c>
      <c r="K2389">
        <v>64</v>
      </c>
      <c r="L2389">
        <v>26.8</v>
      </c>
      <c r="M2389">
        <v>17</v>
      </c>
      <c r="N2389">
        <v>0.17913730470946199</v>
      </c>
      <c r="O2389">
        <v>0.16204300367782901</v>
      </c>
    </row>
    <row r="2390" spans="1:15" x14ac:dyDescent="0.3">
      <c r="A2390">
        <v>9980</v>
      </c>
      <c r="B2390">
        <v>992</v>
      </c>
      <c r="C2390">
        <v>366</v>
      </c>
      <c r="D2390" t="s">
        <v>19</v>
      </c>
      <c r="E2390" t="s">
        <v>20</v>
      </c>
      <c r="F2390" t="s">
        <v>21</v>
      </c>
      <c r="G2390" t="s">
        <v>24</v>
      </c>
      <c r="H2390">
        <v>275.89999999999998</v>
      </c>
      <c r="I2390">
        <v>255</v>
      </c>
      <c r="J2390">
        <v>94.9</v>
      </c>
      <c r="K2390">
        <v>64</v>
      </c>
      <c r="L2390">
        <v>26.8</v>
      </c>
      <c r="M2390">
        <v>17</v>
      </c>
      <c r="N2390">
        <v>0.181422052500812</v>
      </c>
      <c r="O2390">
        <v>0.174547265258721</v>
      </c>
    </row>
    <row r="2391" spans="1:15" x14ac:dyDescent="0.3">
      <c r="A2391">
        <v>9981</v>
      </c>
      <c r="B2391">
        <v>992</v>
      </c>
      <c r="C2391">
        <v>366</v>
      </c>
      <c r="D2391" t="s">
        <v>19</v>
      </c>
      <c r="E2391" t="s">
        <v>20</v>
      </c>
      <c r="F2391" t="s">
        <v>21</v>
      </c>
      <c r="G2391" t="s">
        <v>24</v>
      </c>
      <c r="H2391">
        <v>275.89999999999998</v>
      </c>
      <c r="I2391">
        <v>255</v>
      </c>
      <c r="J2391">
        <v>94.9</v>
      </c>
      <c r="K2391">
        <v>64</v>
      </c>
      <c r="L2391">
        <v>26.8</v>
      </c>
      <c r="M2391">
        <v>17</v>
      </c>
      <c r="N2391">
        <v>0.155949095499125</v>
      </c>
      <c r="O2391">
        <v>0.16835435003735</v>
      </c>
    </row>
    <row r="2392" spans="1:15" x14ac:dyDescent="0.3">
      <c r="A2392">
        <v>9984</v>
      </c>
      <c r="B2392">
        <v>994</v>
      </c>
      <c r="C2392">
        <v>395</v>
      </c>
      <c r="D2392" t="s">
        <v>23</v>
      </c>
      <c r="E2392" t="s">
        <v>20</v>
      </c>
      <c r="F2392" t="s">
        <v>21</v>
      </c>
      <c r="G2392" t="s">
        <v>18</v>
      </c>
      <c r="H2392">
        <v>273.60000000000002</v>
      </c>
      <c r="I2392">
        <v>247</v>
      </c>
      <c r="J2392">
        <v>94</v>
      </c>
      <c r="K2392">
        <v>68</v>
      </c>
      <c r="L2392">
        <v>26.7</v>
      </c>
      <c r="M2392">
        <v>7.5</v>
      </c>
      <c r="N2392">
        <v>0.15349303773078299</v>
      </c>
      <c r="O2392">
        <v>0.34916871277017802</v>
      </c>
    </row>
    <row r="2393" spans="1:15" x14ac:dyDescent="0.3">
      <c r="A2393">
        <v>9985</v>
      </c>
      <c r="B2393">
        <v>994</v>
      </c>
      <c r="C2393">
        <v>395</v>
      </c>
      <c r="D2393" t="s">
        <v>23</v>
      </c>
      <c r="E2393" t="s">
        <v>20</v>
      </c>
      <c r="F2393" t="s">
        <v>21</v>
      </c>
      <c r="G2393" t="s">
        <v>18</v>
      </c>
      <c r="H2393">
        <v>273.60000000000002</v>
      </c>
      <c r="I2393">
        <v>247</v>
      </c>
      <c r="J2393">
        <v>94</v>
      </c>
      <c r="K2393">
        <v>68</v>
      </c>
      <c r="L2393">
        <v>26.7</v>
      </c>
      <c r="M2393">
        <v>7.5</v>
      </c>
      <c r="N2393">
        <v>0.184649342416457</v>
      </c>
      <c r="O2393">
        <v>0.37397036816478701</v>
      </c>
    </row>
    <row r="2394" spans="1:15" x14ac:dyDescent="0.3">
      <c r="A2394">
        <v>9986</v>
      </c>
      <c r="B2394">
        <v>994</v>
      </c>
      <c r="C2394">
        <v>395</v>
      </c>
      <c r="D2394" t="s">
        <v>23</v>
      </c>
      <c r="E2394" t="s">
        <v>20</v>
      </c>
      <c r="F2394" t="s">
        <v>21</v>
      </c>
      <c r="G2394" t="s">
        <v>18</v>
      </c>
      <c r="H2394">
        <v>273.60000000000002</v>
      </c>
      <c r="I2394">
        <v>247</v>
      </c>
      <c r="J2394">
        <v>94</v>
      </c>
      <c r="K2394">
        <v>68</v>
      </c>
      <c r="L2394">
        <v>26.7</v>
      </c>
      <c r="M2394">
        <v>7.5</v>
      </c>
      <c r="N2394">
        <v>0.15448705062582099</v>
      </c>
      <c r="O2394">
        <v>0.36889168362991498</v>
      </c>
    </row>
    <row r="2395" spans="1:15" x14ac:dyDescent="0.3">
      <c r="A2395">
        <v>9987</v>
      </c>
      <c r="B2395">
        <v>994</v>
      </c>
      <c r="C2395">
        <v>395</v>
      </c>
      <c r="D2395" t="s">
        <v>23</v>
      </c>
      <c r="E2395" t="s">
        <v>20</v>
      </c>
      <c r="F2395" t="s">
        <v>21</v>
      </c>
      <c r="G2395" t="s">
        <v>18</v>
      </c>
      <c r="H2395">
        <v>273.60000000000002</v>
      </c>
      <c r="I2395">
        <v>247</v>
      </c>
      <c r="J2395">
        <v>94</v>
      </c>
      <c r="K2395">
        <v>68</v>
      </c>
      <c r="L2395">
        <v>26.7</v>
      </c>
      <c r="M2395">
        <v>7.5</v>
      </c>
      <c r="N2395">
        <v>0.17740657050348799</v>
      </c>
      <c r="O2395">
        <v>0.33918103281229001</v>
      </c>
    </row>
    <row r="2396" spans="1:15" x14ac:dyDescent="0.3">
      <c r="A2396">
        <v>9988</v>
      </c>
      <c r="B2396">
        <v>995</v>
      </c>
      <c r="C2396">
        <v>325</v>
      </c>
      <c r="D2396" t="s">
        <v>19</v>
      </c>
      <c r="E2396" t="s">
        <v>16</v>
      </c>
      <c r="F2396" t="s">
        <v>17</v>
      </c>
      <c r="G2396" t="s">
        <v>25</v>
      </c>
      <c r="H2396">
        <v>274</v>
      </c>
      <c r="I2396">
        <v>243.5</v>
      </c>
      <c r="J2396">
        <v>94.8</v>
      </c>
      <c r="K2396">
        <v>65.5</v>
      </c>
      <c r="L2396">
        <v>26.1</v>
      </c>
      <c r="M2396">
        <v>13</v>
      </c>
      <c r="N2396">
        <v>0.226786717996842</v>
      </c>
      <c r="O2396">
        <v>8.6842446162518697E-2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F5BCE-6248-47D8-BCF1-A96E3E359300}">
  <sheetPr filterMode="1"/>
  <dimension ref="A1:Q56"/>
  <sheetViews>
    <sheetView zoomScale="90" zoomScaleNormal="90" workbookViewId="0">
      <selection activeCell="L62" sqref="L62"/>
    </sheetView>
  </sheetViews>
  <sheetFormatPr defaultRowHeight="14.55" x14ac:dyDescent="0.3"/>
  <cols>
    <col min="1" max="1" width="9.44140625" bestFit="1" customWidth="1"/>
    <col min="2" max="2" width="9.109375" bestFit="1" customWidth="1"/>
    <col min="3" max="3" width="7.109375" bestFit="1" customWidth="1"/>
    <col min="4" max="4" width="16.77734375" bestFit="1" customWidth="1"/>
    <col min="5" max="5" width="11.21875" bestFit="1" customWidth="1"/>
    <col min="6" max="6" width="10.21875" bestFit="1" customWidth="1"/>
    <col min="7" max="7" width="14.21875" bestFit="1" customWidth="1"/>
    <col min="8" max="8" width="12.77734375" bestFit="1" customWidth="1"/>
    <col min="9" max="9" width="9.6640625" bestFit="1" customWidth="1"/>
    <col min="10" max="10" width="10.44140625" bestFit="1" customWidth="1"/>
    <col min="11" max="11" width="10.5546875" bestFit="1" customWidth="1"/>
    <col min="12" max="12" width="10.109375" bestFit="1" customWidth="1"/>
    <col min="13" max="13" width="11.21875" bestFit="1" customWidth="1"/>
    <col min="14" max="15" width="13.33203125" bestFit="1" customWidth="1"/>
    <col min="16" max="16" width="15.5546875" bestFit="1" customWidth="1"/>
    <col min="17" max="17" width="1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</v>
      </c>
      <c r="Q1" t="s">
        <v>28</v>
      </c>
    </row>
    <row r="2" spans="1:17" hidden="1" x14ac:dyDescent="0.3">
      <c r="A2">
        <v>4877</v>
      </c>
      <c r="B2">
        <v>2775</v>
      </c>
      <c r="C2">
        <v>474</v>
      </c>
      <c r="D2" t="s">
        <v>15</v>
      </c>
      <c r="E2" t="s">
        <v>16</v>
      </c>
      <c r="F2" t="s">
        <v>17</v>
      </c>
      <c r="G2" t="s">
        <v>22</v>
      </c>
      <c r="H2">
        <v>273.89999999999998</v>
      </c>
      <c r="I2">
        <v>243</v>
      </c>
      <c r="J2">
        <v>92.6</v>
      </c>
      <c r="K2">
        <v>64.5</v>
      </c>
      <c r="L2">
        <v>27.4</v>
      </c>
      <c r="M2">
        <v>5</v>
      </c>
      <c r="N2">
        <v>0.147639107913273</v>
      </c>
      <c r="O2">
        <v>0.198710978313131</v>
      </c>
      <c r="P2" t="str">
        <f>IF(N2&lt;0.118447, "T", "F")</f>
        <v>F</v>
      </c>
      <c r="Q2" t="str">
        <f>IF(O2&lt;0.111668, "T", "F")</f>
        <v>F</v>
      </c>
    </row>
    <row r="3" spans="1:17" hidden="1" x14ac:dyDescent="0.3">
      <c r="A3">
        <v>7477</v>
      </c>
      <c r="B3">
        <v>3706</v>
      </c>
      <c r="C3">
        <v>462</v>
      </c>
      <c r="D3" t="s">
        <v>15</v>
      </c>
      <c r="E3" t="s">
        <v>16</v>
      </c>
      <c r="F3" t="s">
        <v>21</v>
      </c>
      <c r="G3" t="s">
        <v>18</v>
      </c>
      <c r="H3">
        <v>278.10000000000002</v>
      </c>
      <c r="I3">
        <v>240.5</v>
      </c>
      <c r="J3">
        <v>94.2</v>
      </c>
      <c r="K3">
        <v>66</v>
      </c>
      <c r="L3">
        <v>26.1</v>
      </c>
      <c r="M3">
        <v>6.5</v>
      </c>
      <c r="N3">
        <v>0.27020456364753398</v>
      </c>
      <c r="O3">
        <v>3.9302379247658698E-2</v>
      </c>
      <c r="P3" t="str">
        <f t="shared" ref="P3:P56" si="0">IF(N3&lt;0.118447, "T", "F")</f>
        <v>F</v>
      </c>
      <c r="Q3" t="str">
        <f t="shared" ref="Q3:Q56" si="1">IF(O3&lt;0.111668, "T", "F")</f>
        <v>T</v>
      </c>
    </row>
    <row r="4" spans="1:17" hidden="1" x14ac:dyDescent="0.3">
      <c r="A4">
        <v>9029</v>
      </c>
      <c r="B4">
        <v>65</v>
      </c>
      <c r="C4">
        <v>84</v>
      </c>
      <c r="D4" t="s">
        <v>15</v>
      </c>
      <c r="E4" t="s">
        <v>16</v>
      </c>
      <c r="F4" t="s">
        <v>21</v>
      </c>
      <c r="G4" t="s">
        <v>18</v>
      </c>
      <c r="H4">
        <v>270.89999999999998</v>
      </c>
      <c r="I4">
        <v>244</v>
      </c>
      <c r="J4">
        <v>95.8</v>
      </c>
      <c r="K4">
        <v>64.5</v>
      </c>
      <c r="L4">
        <v>22.8</v>
      </c>
      <c r="M4">
        <v>8</v>
      </c>
      <c r="N4">
        <v>0.27529870117872601</v>
      </c>
      <c r="O4">
        <v>3.04586079026084E-2</v>
      </c>
      <c r="P4" t="str">
        <f t="shared" si="0"/>
        <v>F</v>
      </c>
      <c r="Q4" t="str">
        <f t="shared" si="1"/>
        <v>T</v>
      </c>
    </row>
    <row r="5" spans="1:17" hidden="1" x14ac:dyDescent="0.3">
      <c r="A5">
        <v>3</v>
      </c>
      <c r="B5">
        <v>1</v>
      </c>
      <c r="C5">
        <v>378</v>
      </c>
      <c r="D5" t="s">
        <v>15</v>
      </c>
      <c r="E5" t="s">
        <v>16</v>
      </c>
      <c r="F5" t="s">
        <v>17</v>
      </c>
      <c r="G5" t="s">
        <v>18</v>
      </c>
      <c r="H5">
        <v>277.39999999999998</v>
      </c>
      <c r="I5">
        <v>254</v>
      </c>
      <c r="J5">
        <v>95.7</v>
      </c>
      <c r="K5">
        <v>69.5</v>
      </c>
      <c r="L5">
        <v>27.4</v>
      </c>
      <c r="M5">
        <v>5</v>
      </c>
      <c r="N5">
        <v>0.27526447157337303</v>
      </c>
      <c r="O5">
        <v>2.91879137214189E-2</v>
      </c>
      <c r="P5" t="str">
        <f t="shared" si="0"/>
        <v>F</v>
      </c>
      <c r="Q5" t="str">
        <f t="shared" si="1"/>
        <v>T</v>
      </c>
    </row>
    <row r="6" spans="1:17" hidden="1" x14ac:dyDescent="0.3">
      <c r="A6">
        <v>4</v>
      </c>
      <c r="B6">
        <v>1</v>
      </c>
      <c r="C6">
        <v>378</v>
      </c>
      <c r="D6" t="s">
        <v>15</v>
      </c>
      <c r="E6" t="s">
        <v>16</v>
      </c>
      <c r="F6" t="s">
        <v>17</v>
      </c>
      <c r="G6" t="s">
        <v>18</v>
      </c>
      <c r="H6">
        <v>277.39999999999998</v>
      </c>
      <c r="I6">
        <v>254</v>
      </c>
      <c r="J6">
        <v>95.7</v>
      </c>
      <c r="K6">
        <v>69.5</v>
      </c>
      <c r="L6">
        <v>27.4</v>
      </c>
      <c r="M6">
        <v>5</v>
      </c>
      <c r="N6">
        <v>0.26001445971981302</v>
      </c>
      <c r="O6">
        <v>4.0713947957231503E-2</v>
      </c>
      <c r="P6" t="str">
        <f t="shared" si="0"/>
        <v>F</v>
      </c>
      <c r="Q6" t="str">
        <f t="shared" si="1"/>
        <v>T</v>
      </c>
    </row>
    <row r="7" spans="1:17" hidden="1" x14ac:dyDescent="0.3">
      <c r="A7">
        <v>3118</v>
      </c>
      <c r="B7">
        <v>2123</v>
      </c>
      <c r="C7">
        <v>17</v>
      </c>
      <c r="D7" t="s">
        <v>15</v>
      </c>
      <c r="E7" t="s">
        <v>16</v>
      </c>
      <c r="F7" t="s">
        <v>21</v>
      </c>
      <c r="G7" t="s">
        <v>22</v>
      </c>
      <c r="H7">
        <v>270.2</v>
      </c>
      <c r="I7">
        <v>242.5</v>
      </c>
      <c r="J7">
        <v>93.9</v>
      </c>
      <c r="K7">
        <v>65.5</v>
      </c>
      <c r="L7">
        <v>25.2</v>
      </c>
      <c r="M7">
        <v>5</v>
      </c>
      <c r="N7">
        <v>0.27113568923138098</v>
      </c>
      <c r="O7">
        <v>2.25326031511369E-2</v>
      </c>
      <c r="P7" t="str">
        <f t="shared" si="0"/>
        <v>F</v>
      </c>
      <c r="Q7" t="str">
        <f t="shared" si="1"/>
        <v>T</v>
      </c>
    </row>
    <row r="8" spans="1:17" hidden="1" x14ac:dyDescent="0.3">
      <c r="A8">
        <v>8142</v>
      </c>
      <c r="B8">
        <v>3942</v>
      </c>
      <c r="C8">
        <v>84</v>
      </c>
      <c r="D8" t="s">
        <v>15</v>
      </c>
      <c r="E8" t="s">
        <v>16</v>
      </c>
      <c r="F8" t="s">
        <v>21</v>
      </c>
      <c r="G8" t="s">
        <v>22</v>
      </c>
      <c r="H8">
        <v>270.89999999999998</v>
      </c>
      <c r="I8">
        <v>244</v>
      </c>
      <c r="J8">
        <v>95.8</v>
      </c>
      <c r="K8">
        <v>64.5</v>
      </c>
      <c r="L8">
        <v>22.8</v>
      </c>
      <c r="M8">
        <v>8</v>
      </c>
      <c r="N8">
        <v>0.26535758187784197</v>
      </c>
      <c r="O8">
        <v>2.60593412297754E-2</v>
      </c>
      <c r="P8" t="str">
        <f t="shared" si="0"/>
        <v>F</v>
      </c>
      <c r="Q8" t="str">
        <f t="shared" si="1"/>
        <v>T</v>
      </c>
    </row>
    <row r="9" spans="1:17" hidden="1" x14ac:dyDescent="0.3">
      <c r="A9">
        <v>8141</v>
      </c>
      <c r="B9">
        <v>3942</v>
      </c>
      <c r="C9">
        <v>84</v>
      </c>
      <c r="D9" t="s">
        <v>15</v>
      </c>
      <c r="E9" t="s">
        <v>16</v>
      </c>
      <c r="F9" t="s">
        <v>21</v>
      </c>
      <c r="G9" t="s">
        <v>22</v>
      </c>
      <c r="H9">
        <v>270.89999999999998</v>
      </c>
      <c r="I9">
        <v>244</v>
      </c>
      <c r="J9">
        <v>95.8</v>
      </c>
      <c r="K9">
        <v>64.5</v>
      </c>
      <c r="L9">
        <v>22.8</v>
      </c>
      <c r="M9">
        <v>8</v>
      </c>
      <c r="N9">
        <v>0.26790265792357898</v>
      </c>
      <c r="O9">
        <v>1.9594789784477699E-2</v>
      </c>
      <c r="P9" t="str">
        <f t="shared" si="0"/>
        <v>F</v>
      </c>
      <c r="Q9" t="str">
        <f t="shared" si="1"/>
        <v>T</v>
      </c>
    </row>
    <row r="10" spans="1:17" hidden="1" x14ac:dyDescent="0.3">
      <c r="A10">
        <v>8139</v>
      </c>
      <c r="B10">
        <v>3942</v>
      </c>
      <c r="C10">
        <v>84</v>
      </c>
      <c r="D10" t="s">
        <v>15</v>
      </c>
      <c r="E10" t="s">
        <v>16</v>
      </c>
      <c r="F10" t="s">
        <v>21</v>
      </c>
      <c r="G10" t="s">
        <v>22</v>
      </c>
      <c r="H10">
        <v>270.89999999999998</v>
      </c>
      <c r="I10">
        <v>244</v>
      </c>
      <c r="J10">
        <v>95.8</v>
      </c>
      <c r="K10">
        <v>64.5</v>
      </c>
      <c r="L10">
        <v>22.8</v>
      </c>
      <c r="M10">
        <v>8</v>
      </c>
      <c r="N10">
        <v>0.26525192835161499</v>
      </c>
      <c r="O10">
        <v>2.1897013044657101E-2</v>
      </c>
      <c r="P10" t="str">
        <f t="shared" si="0"/>
        <v>F</v>
      </c>
      <c r="Q10" t="str">
        <f t="shared" si="1"/>
        <v>T</v>
      </c>
    </row>
    <row r="11" spans="1:17" hidden="1" x14ac:dyDescent="0.3">
      <c r="A11">
        <v>20</v>
      </c>
      <c r="B11">
        <v>1003</v>
      </c>
      <c r="C11">
        <v>17</v>
      </c>
      <c r="D11" t="s">
        <v>15</v>
      </c>
      <c r="E11" t="s">
        <v>16</v>
      </c>
      <c r="F11" t="s">
        <v>21</v>
      </c>
      <c r="G11" t="s">
        <v>22</v>
      </c>
      <c r="H11">
        <v>270.2</v>
      </c>
      <c r="I11">
        <v>242.5</v>
      </c>
      <c r="J11">
        <v>93.9</v>
      </c>
      <c r="K11">
        <v>65.5</v>
      </c>
      <c r="L11">
        <v>25.2</v>
      </c>
      <c r="M11">
        <v>5</v>
      </c>
      <c r="N11">
        <v>0.25943047108294498</v>
      </c>
      <c r="O11">
        <v>1.8975040457116499E-2</v>
      </c>
      <c r="P11" t="str">
        <f t="shared" si="0"/>
        <v>F</v>
      </c>
      <c r="Q11" t="str">
        <f t="shared" si="1"/>
        <v>T</v>
      </c>
    </row>
    <row r="12" spans="1:17" hidden="1" x14ac:dyDescent="0.3">
      <c r="A12">
        <v>7479</v>
      </c>
      <c r="B12">
        <v>3706</v>
      </c>
      <c r="C12">
        <v>462</v>
      </c>
      <c r="D12" t="s">
        <v>15</v>
      </c>
      <c r="E12" t="s">
        <v>16</v>
      </c>
      <c r="F12" t="s">
        <v>21</v>
      </c>
      <c r="G12" t="s">
        <v>18</v>
      </c>
      <c r="H12">
        <v>278.10000000000002</v>
      </c>
      <c r="I12">
        <v>240.5</v>
      </c>
      <c r="J12">
        <v>94.2</v>
      </c>
      <c r="K12">
        <v>66</v>
      </c>
      <c r="L12">
        <v>26.1</v>
      </c>
      <c r="M12">
        <v>6.5</v>
      </c>
      <c r="N12">
        <v>0.26287927436507402</v>
      </c>
      <c r="O12">
        <v>1.3224360362096E-2</v>
      </c>
      <c r="P12" t="str">
        <f t="shared" si="0"/>
        <v>F</v>
      </c>
      <c r="Q12" t="str">
        <f t="shared" si="1"/>
        <v>T</v>
      </c>
    </row>
    <row r="13" spans="1:17" hidden="1" x14ac:dyDescent="0.3">
      <c r="A13">
        <v>3683</v>
      </c>
      <c r="B13">
        <v>2332</v>
      </c>
      <c r="C13">
        <v>17</v>
      </c>
      <c r="D13" t="s">
        <v>15</v>
      </c>
      <c r="E13" t="s">
        <v>16</v>
      </c>
      <c r="F13" t="s">
        <v>17</v>
      </c>
      <c r="G13" t="s">
        <v>18</v>
      </c>
      <c r="H13">
        <v>270.2</v>
      </c>
      <c r="I13">
        <v>242.5</v>
      </c>
      <c r="J13">
        <v>93.9</v>
      </c>
      <c r="K13">
        <v>65.5</v>
      </c>
      <c r="L13">
        <v>25.2</v>
      </c>
      <c r="M13">
        <v>5</v>
      </c>
      <c r="N13">
        <v>0.24643064134517001</v>
      </c>
      <c r="O13">
        <v>1.43430196960255E-2</v>
      </c>
      <c r="P13" t="str">
        <f t="shared" si="0"/>
        <v>F</v>
      </c>
      <c r="Q13" t="str">
        <f t="shared" si="1"/>
        <v>T</v>
      </c>
    </row>
    <row r="14" spans="1:17" hidden="1" x14ac:dyDescent="0.3">
      <c r="A14">
        <v>4554</v>
      </c>
      <c r="B14">
        <v>2657</v>
      </c>
      <c r="C14">
        <v>332</v>
      </c>
      <c r="D14" t="s">
        <v>15</v>
      </c>
      <c r="E14" t="s">
        <v>16</v>
      </c>
      <c r="F14" t="s">
        <v>21</v>
      </c>
      <c r="G14" t="s">
        <v>22</v>
      </c>
      <c r="H14">
        <v>276.8</v>
      </c>
      <c r="I14">
        <v>249.5</v>
      </c>
      <c r="J14">
        <v>91.1</v>
      </c>
      <c r="K14">
        <v>65.5</v>
      </c>
      <c r="L14">
        <v>24.7</v>
      </c>
      <c r="M14">
        <v>8.5</v>
      </c>
      <c r="N14">
        <v>0.119424971197955</v>
      </c>
      <c r="O14">
        <v>0.13992907986407899</v>
      </c>
      <c r="P14" t="str">
        <f t="shared" si="0"/>
        <v>F</v>
      </c>
      <c r="Q14" t="str">
        <f t="shared" si="1"/>
        <v>F</v>
      </c>
    </row>
    <row r="15" spans="1:17" hidden="1" x14ac:dyDescent="0.3">
      <c r="A15">
        <v>9240</v>
      </c>
      <c r="B15">
        <v>721</v>
      </c>
      <c r="C15">
        <v>332</v>
      </c>
      <c r="D15" t="s">
        <v>15</v>
      </c>
      <c r="E15" t="s">
        <v>16</v>
      </c>
      <c r="F15" t="s">
        <v>21</v>
      </c>
      <c r="G15" t="s">
        <v>18</v>
      </c>
      <c r="H15">
        <v>276.8</v>
      </c>
      <c r="I15">
        <v>249.5</v>
      </c>
      <c r="J15">
        <v>91.1</v>
      </c>
      <c r="K15">
        <v>65.5</v>
      </c>
      <c r="L15">
        <v>24.7</v>
      </c>
      <c r="M15">
        <v>8.5</v>
      </c>
      <c r="N15">
        <v>0.12432598831613299</v>
      </c>
      <c r="O15">
        <v>0.13183348735570399</v>
      </c>
      <c r="P15" t="str">
        <f t="shared" si="0"/>
        <v>F</v>
      </c>
      <c r="Q15" t="str">
        <f t="shared" si="1"/>
        <v>F</v>
      </c>
    </row>
    <row r="16" spans="1:17" hidden="1" x14ac:dyDescent="0.3">
      <c r="A16">
        <v>6088</v>
      </c>
      <c r="B16">
        <v>3213</v>
      </c>
      <c r="C16">
        <v>332</v>
      </c>
      <c r="D16" t="s">
        <v>15</v>
      </c>
      <c r="E16" t="s">
        <v>16</v>
      </c>
      <c r="F16" t="s">
        <v>21</v>
      </c>
      <c r="G16" t="s">
        <v>18</v>
      </c>
      <c r="H16">
        <v>276.8</v>
      </c>
      <c r="I16">
        <v>249.5</v>
      </c>
      <c r="J16">
        <v>91.1</v>
      </c>
      <c r="K16">
        <v>65.5</v>
      </c>
      <c r="L16">
        <v>24.7</v>
      </c>
      <c r="M16">
        <v>8.5</v>
      </c>
      <c r="N16">
        <v>0.121950112743805</v>
      </c>
      <c r="O16">
        <v>0.13089402220303201</v>
      </c>
      <c r="P16" t="str">
        <f t="shared" si="0"/>
        <v>F</v>
      </c>
      <c r="Q16" t="str">
        <f t="shared" si="1"/>
        <v>F</v>
      </c>
    </row>
    <row r="17" spans="1:17" hidden="1" x14ac:dyDescent="0.3">
      <c r="A17">
        <v>4555</v>
      </c>
      <c r="B17">
        <v>2657</v>
      </c>
      <c r="C17">
        <v>332</v>
      </c>
      <c r="D17" t="s">
        <v>15</v>
      </c>
      <c r="E17" t="s">
        <v>16</v>
      </c>
      <c r="F17" t="s">
        <v>21</v>
      </c>
      <c r="G17" t="s">
        <v>22</v>
      </c>
      <c r="H17">
        <v>276.8</v>
      </c>
      <c r="I17">
        <v>249.5</v>
      </c>
      <c r="J17">
        <v>91.1</v>
      </c>
      <c r="K17">
        <v>65.5</v>
      </c>
      <c r="L17">
        <v>24.7</v>
      </c>
      <c r="M17">
        <v>8.5</v>
      </c>
      <c r="N17">
        <v>0.120988232207595</v>
      </c>
      <c r="O17">
        <v>0.12965849950772601</v>
      </c>
      <c r="P17" t="str">
        <f t="shared" si="0"/>
        <v>F</v>
      </c>
      <c r="Q17" t="str">
        <f t="shared" si="1"/>
        <v>F</v>
      </c>
    </row>
    <row r="18" spans="1:17" hidden="1" x14ac:dyDescent="0.3">
      <c r="A18">
        <v>19</v>
      </c>
      <c r="B18">
        <v>1003</v>
      </c>
      <c r="C18">
        <v>17</v>
      </c>
      <c r="D18" t="s">
        <v>15</v>
      </c>
      <c r="E18" t="s">
        <v>16</v>
      </c>
      <c r="F18" t="s">
        <v>21</v>
      </c>
      <c r="G18" t="s">
        <v>22</v>
      </c>
      <c r="H18">
        <v>270.2</v>
      </c>
      <c r="I18">
        <v>242.5</v>
      </c>
      <c r="J18">
        <v>93.9</v>
      </c>
      <c r="K18">
        <v>65.5</v>
      </c>
      <c r="L18">
        <v>25.2</v>
      </c>
      <c r="M18">
        <v>5</v>
      </c>
      <c r="N18">
        <v>0.235818523785575</v>
      </c>
      <c r="O18">
        <v>1.2022576580529101E-2</v>
      </c>
      <c r="P18" t="str">
        <f t="shared" si="0"/>
        <v>F</v>
      </c>
      <c r="Q18" t="str">
        <f t="shared" si="1"/>
        <v>T</v>
      </c>
    </row>
    <row r="19" spans="1:17" hidden="1" x14ac:dyDescent="0.3">
      <c r="A19">
        <v>3119</v>
      </c>
      <c r="B19">
        <v>2123</v>
      </c>
      <c r="C19">
        <v>17</v>
      </c>
      <c r="D19" t="s">
        <v>15</v>
      </c>
      <c r="E19" t="s">
        <v>16</v>
      </c>
      <c r="F19" t="s">
        <v>21</v>
      </c>
      <c r="G19" t="s">
        <v>22</v>
      </c>
      <c r="H19">
        <v>270.2</v>
      </c>
      <c r="I19">
        <v>242.5</v>
      </c>
      <c r="J19">
        <v>93.9</v>
      </c>
      <c r="K19">
        <v>65.5</v>
      </c>
      <c r="L19">
        <v>25.2</v>
      </c>
      <c r="M19">
        <v>5</v>
      </c>
      <c r="N19">
        <v>0.23769985488502801</v>
      </c>
      <c r="O19">
        <v>1.0083353195584999E-2</v>
      </c>
      <c r="P19" t="str">
        <f t="shared" si="0"/>
        <v>F</v>
      </c>
      <c r="Q19" t="str">
        <f t="shared" si="1"/>
        <v>T</v>
      </c>
    </row>
    <row r="20" spans="1:17" hidden="1" x14ac:dyDescent="0.3">
      <c r="A20">
        <v>7201</v>
      </c>
      <c r="B20">
        <v>3607</v>
      </c>
      <c r="C20">
        <v>332</v>
      </c>
      <c r="D20" t="s">
        <v>15</v>
      </c>
      <c r="E20" t="s">
        <v>16</v>
      </c>
      <c r="F20" t="s">
        <v>21</v>
      </c>
      <c r="G20" t="s">
        <v>22</v>
      </c>
      <c r="H20">
        <v>276.8</v>
      </c>
      <c r="I20">
        <v>249.5</v>
      </c>
      <c r="J20">
        <v>91.1</v>
      </c>
      <c r="K20">
        <v>65.5</v>
      </c>
      <c r="L20">
        <v>24.7</v>
      </c>
      <c r="M20">
        <v>8.5</v>
      </c>
      <c r="N20">
        <v>0.12695302190791999</v>
      </c>
      <c r="O20">
        <v>0.12080379073908901</v>
      </c>
      <c r="P20" t="str">
        <f t="shared" si="0"/>
        <v>F</v>
      </c>
      <c r="Q20" t="str">
        <f t="shared" si="1"/>
        <v>F</v>
      </c>
    </row>
    <row r="21" spans="1:17" hidden="1" x14ac:dyDescent="0.3">
      <c r="A21">
        <v>2378</v>
      </c>
      <c r="B21">
        <v>187</v>
      </c>
      <c r="C21">
        <v>332</v>
      </c>
      <c r="D21" t="s">
        <v>15</v>
      </c>
      <c r="E21" t="s">
        <v>16</v>
      </c>
      <c r="F21" t="s">
        <v>21</v>
      </c>
      <c r="G21" t="s">
        <v>18</v>
      </c>
      <c r="H21">
        <v>276.8</v>
      </c>
      <c r="I21">
        <v>249.5</v>
      </c>
      <c r="J21">
        <v>91.1</v>
      </c>
      <c r="K21">
        <v>65.5</v>
      </c>
      <c r="L21">
        <v>24.7</v>
      </c>
      <c r="M21">
        <v>8.5</v>
      </c>
      <c r="N21">
        <v>0.114656054018048</v>
      </c>
      <c r="O21">
        <v>0.13243359515722</v>
      </c>
      <c r="P21" t="str">
        <f t="shared" si="0"/>
        <v>T</v>
      </c>
      <c r="Q21" t="str">
        <f t="shared" si="1"/>
        <v>F</v>
      </c>
    </row>
    <row r="22" spans="1:17" hidden="1" x14ac:dyDescent="0.3">
      <c r="A22">
        <v>2380</v>
      </c>
      <c r="B22">
        <v>187</v>
      </c>
      <c r="C22">
        <v>332</v>
      </c>
      <c r="D22" t="s">
        <v>15</v>
      </c>
      <c r="E22" t="s">
        <v>16</v>
      </c>
      <c r="F22" t="s">
        <v>21</v>
      </c>
      <c r="G22" t="s">
        <v>18</v>
      </c>
      <c r="H22">
        <v>276.8</v>
      </c>
      <c r="I22">
        <v>249.5</v>
      </c>
      <c r="J22">
        <v>91.1</v>
      </c>
      <c r="K22">
        <v>65.5</v>
      </c>
      <c r="L22">
        <v>24.7</v>
      </c>
      <c r="M22">
        <v>8.5</v>
      </c>
      <c r="N22">
        <v>0.130279804291667</v>
      </c>
      <c r="O22">
        <v>0.10973162550853</v>
      </c>
      <c r="P22" t="str">
        <f t="shared" si="0"/>
        <v>F</v>
      </c>
      <c r="Q22" t="str">
        <f t="shared" si="1"/>
        <v>T</v>
      </c>
    </row>
    <row r="23" spans="1:17" hidden="1" x14ac:dyDescent="0.3">
      <c r="A23">
        <v>345</v>
      </c>
      <c r="B23">
        <v>1118</v>
      </c>
      <c r="C23">
        <v>457</v>
      </c>
      <c r="D23" t="s">
        <v>15</v>
      </c>
      <c r="E23" t="s">
        <v>16</v>
      </c>
      <c r="F23" t="s">
        <v>17</v>
      </c>
      <c r="G23" t="s">
        <v>18</v>
      </c>
      <c r="H23">
        <v>279.3</v>
      </c>
      <c r="I23">
        <v>250</v>
      </c>
      <c r="J23">
        <v>95</v>
      </c>
      <c r="K23">
        <v>67</v>
      </c>
      <c r="L23">
        <v>28.5</v>
      </c>
      <c r="M23">
        <v>7.5</v>
      </c>
      <c r="N23">
        <v>5.1771973932872903E-2</v>
      </c>
      <c r="O23">
        <v>0.17982433969095499</v>
      </c>
      <c r="P23" t="str">
        <f t="shared" si="0"/>
        <v>T</v>
      </c>
      <c r="Q23" t="str">
        <f t="shared" si="1"/>
        <v>F</v>
      </c>
    </row>
    <row r="24" spans="1:17" hidden="1" x14ac:dyDescent="0.3">
      <c r="A24">
        <v>9241</v>
      </c>
      <c r="B24">
        <v>721</v>
      </c>
      <c r="C24">
        <v>332</v>
      </c>
      <c r="D24" t="s">
        <v>15</v>
      </c>
      <c r="E24" t="s">
        <v>16</v>
      </c>
      <c r="F24" t="s">
        <v>21</v>
      </c>
      <c r="G24" t="s">
        <v>18</v>
      </c>
      <c r="H24">
        <v>276.8</v>
      </c>
      <c r="I24">
        <v>249.5</v>
      </c>
      <c r="J24">
        <v>91.1</v>
      </c>
      <c r="K24">
        <v>65.5</v>
      </c>
      <c r="L24">
        <v>24.7</v>
      </c>
      <c r="M24">
        <v>8.5</v>
      </c>
      <c r="N24">
        <v>0.12521960519241901</v>
      </c>
      <c r="O24">
        <v>0.10470468610985099</v>
      </c>
      <c r="P24" t="str">
        <f t="shared" si="0"/>
        <v>F</v>
      </c>
      <c r="Q24" t="str">
        <f t="shared" si="1"/>
        <v>T</v>
      </c>
    </row>
    <row r="25" spans="1:17" hidden="1" x14ac:dyDescent="0.3">
      <c r="A25">
        <v>2379</v>
      </c>
      <c r="B25">
        <v>187</v>
      </c>
      <c r="C25">
        <v>332</v>
      </c>
      <c r="D25" t="s">
        <v>15</v>
      </c>
      <c r="E25" t="s">
        <v>16</v>
      </c>
      <c r="F25" t="s">
        <v>21</v>
      </c>
      <c r="G25" t="s">
        <v>18</v>
      </c>
      <c r="H25">
        <v>276.8</v>
      </c>
      <c r="I25">
        <v>249.5</v>
      </c>
      <c r="J25">
        <v>91.1</v>
      </c>
      <c r="K25">
        <v>65.5</v>
      </c>
      <c r="L25">
        <v>24.7</v>
      </c>
      <c r="M25">
        <v>8.5</v>
      </c>
      <c r="N25">
        <v>9.8115010041543105E-2</v>
      </c>
      <c r="O25">
        <v>0.12414427179306101</v>
      </c>
      <c r="P25" t="str">
        <f t="shared" si="0"/>
        <v>T</v>
      </c>
      <c r="Q25" t="str">
        <f t="shared" si="1"/>
        <v>F</v>
      </c>
    </row>
    <row r="26" spans="1:17" hidden="1" x14ac:dyDescent="0.3">
      <c r="A26">
        <v>992</v>
      </c>
      <c r="B26">
        <v>1354</v>
      </c>
      <c r="C26">
        <v>440</v>
      </c>
      <c r="D26" t="s">
        <v>15</v>
      </c>
      <c r="E26" t="s">
        <v>16</v>
      </c>
      <c r="F26" t="s">
        <v>21</v>
      </c>
      <c r="G26" t="s">
        <v>22</v>
      </c>
      <c r="H26">
        <v>276.89999999999998</v>
      </c>
      <c r="I26">
        <v>254</v>
      </c>
      <c r="J26">
        <v>95.2</v>
      </c>
      <c r="K26">
        <v>65</v>
      </c>
      <c r="L26">
        <v>29.8</v>
      </c>
      <c r="M26">
        <v>10.5</v>
      </c>
      <c r="N26">
        <v>5.20859316797634E-2</v>
      </c>
      <c r="O26">
        <v>0.16929450348637601</v>
      </c>
      <c r="P26" t="str">
        <f t="shared" si="0"/>
        <v>T</v>
      </c>
      <c r="Q26" t="str">
        <f t="shared" si="1"/>
        <v>F</v>
      </c>
    </row>
    <row r="27" spans="1:17" hidden="1" x14ac:dyDescent="0.3">
      <c r="A27">
        <v>1342</v>
      </c>
      <c r="B27">
        <v>149</v>
      </c>
      <c r="C27">
        <v>332</v>
      </c>
      <c r="D27" t="s">
        <v>15</v>
      </c>
      <c r="E27" t="s">
        <v>16</v>
      </c>
      <c r="F27" t="s">
        <v>17</v>
      </c>
      <c r="G27" t="s">
        <v>22</v>
      </c>
      <c r="H27">
        <v>276.8</v>
      </c>
      <c r="I27">
        <v>249.5</v>
      </c>
      <c r="J27">
        <v>91.1</v>
      </c>
      <c r="K27">
        <v>65.5</v>
      </c>
      <c r="L27">
        <v>24.7</v>
      </c>
      <c r="M27">
        <v>8.5</v>
      </c>
      <c r="N27">
        <v>0.107162744267514</v>
      </c>
      <c r="O27">
        <v>0.112598479444958</v>
      </c>
      <c r="P27" t="str">
        <f t="shared" si="0"/>
        <v>T</v>
      </c>
      <c r="Q27" t="str">
        <f t="shared" si="1"/>
        <v>F</v>
      </c>
    </row>
    <row r="28" spans="1:17" hidden="1" x14ac:dyDescent="0.3">
      <c r="A28">
        <v>9628</v>
      </c>
      <c r="B28">
        <v>87</v>
      </c>
      <c r="C28">
        <v>440</v>
      </c>
      <c r="D28" t="s">
        <v>15</v>
      </c>
      <c r="E28" t="s">
        <v>16</v>
      </c>
      <c r="F28" t="s">
        <v>21</v>
      </c>
      <c r="G28" t="s">
        <v>18</v>
      </c>
      <c r="H28">
        <v>276.89999999999998</v>
      </c>
      <c r="I28">
        <v>254</v>
      </c>
      <c r="J28">
        <v>95.2</v>
      </c>
      <c r="K28">
        <v>65</v>
      </c>
      <c r="L28">
        <v>29.8</v>
      </c>
      <c r="M28">
        <v>10.5</v>
      </c>
      <c r="N28">
        <v>5.2221040626894998E-2</v>
      </c>
      <c r="O28">
        <v>0.16688819767041199</v>
      </c>
      <c r="P28" t="str">
        <f t="shared" si="0"/>
        <v>T</v>
      </c>
      <c r="Q28" t="str">
        <f t="shared" si="1"/>
        <v>F</v>
      </c>
    </row>
    <row r="29" spans="1:17" x14ac:dyDescent="0.3">
      <c r="A29">
        <v>1700</v>
      </c>
      <c r="B29">
        <v>1628</v>
      </c>
      <c r="C29">
        <v>332</v>
      </c>
      <c r="D29" t="s">
        <v>15</v>
      </c>
      <c r="E29" t="s">
        <v>16</v>
      </c>
      <c r="F29" t="s">
        <v>17</v>
      </c>
      <c r="G29" t="s">
        <v>22</v>
      </c>
      <c r="H29">
        <v>276.8</v>
      </c>
      <c r="I29">
        <v>249.5</v>
      </c>
      <c r="J29">
        <v>91.1</v>
      </c>
      <c r="K29">
        <v>65.5</v>
      </c>
      <c r="L29">
        <v>24.7</v>
      </c>
      <c r="M29">
        <v>8.5</v>
      </c>
      <c r="N29">
        <v>0.113910628029206</v>
      </c>
      <c r="O29">
        <v>0.10518369246706701</v>
      </c>
      <c r="P29" t="str">
        <f t="shared" si="0"/>
        <v>T</v>
      </c>
      <c r="Q29" t="str">
        <f t="shared" si="1"/>
        <v>T</v>
      </c>
    </row>
    <row r="30" spans="1:17" hidden="1" x14ac:dyDescent="0.3">
      <c r="A30">
        <v>7420</v>
      </c>
      <c r="B30">
        <v>3679</v>
      </c>
      <c r="C30">
        <v>457</v>
      </c>
      <c r="D30" t="s">
        <v>15</v>
      </c>
      <c r="E30" t="s">
        <v>16</v>
      </c>
      <c r="F30" t="s">
        <v>17</v>
      </c>
      <c r="G30" t="s">
        <v>22</v>
      </c>
      <c r="H30">
        <v>279.3</v>
      </c>
      <c r="I30">
        <v>250</v>
      </c>
      <c r="J30">
        <v>95</v>
      </c>
      <c r="K30">
        <v>67</v>
      </c>
      <c r="L30">
        <v>28.5</v>
      </c>
      <c r="M30">
        <v>7.5</v>
      </c>
      <c r="N30">
        <v>4.9937740873804697E-2</v>
      </c>
      <c r="O30">
        <v>0.16881695367371699</v>
      </c>
      <c r="P30" t="str">
        <f t="shared" si="0"/>
        <v>T</v>
      </c>
      <c r="Q30" t="str">
        <f t="shared" si="1"/>
        <v>F</v>
      </c>
    </row>
    <row r="31" spans="1:17" hidden="1" x14ac:dyDescent="0.3">
      <c r="A31">
        <v>1702</v>
      </c>
      <c r="B31">
        <v>1628</v>
      </c>
      <c r="C31">
        <v>332</v>
      </c>
      <c r="D31" t="s">
        <v>15</v>
      </c>
      <c r="E31" t="s">
        <v>16</v>
      </c>
      <c r="F31" t="s">
        <v>17</v>
      </c>
      <c r="G31" t="s">
        <v>22</v>
      </c>
      <c r="H31">
        <v>276.8</v>
      </c>
      <c r="I31">
        <v>249.5</v>
      </c>
      <c r="J31">
        <v>91.1</v>
      </c>
      <c r="K31">
        <v>65.5</v>
      </c>
      <c r="L31">
        <v>24.7</v>
      </c>
      <c r="M31">
        <v>8.5</v>
      </c>
      <c r="N31">
        <v>9.0068284780241703E-2</v>
      </c>
      <c r="O31">
        <v>0.12818417563984499</v>
      </c>
      <c r="P31" t="str">
        <f t="shared" si="0"/>
        <v>T</v>
      </c>
      <c r="Q31" t="str">
        <f t="shared" si="1"/>
        <v>F</v>
      </c>
    </row>
    <row r="32" spans="1:17" x14ac:dyDescent="0.3">
      <c r="A32">
        <v>1169</v>
      </c>
      <c r="B32">
        <v>1423</v>
      </c>
      <c r="C32">
        <v>332</v>
      </c>
      <c r="D32" t="s">
        <v>15</v>
      </c>
      <c r="E32" t="s">
        <v>16</v>
      </c>
      <c r="F32" t="s">
        <v>17</v>
      </c>
      <c r="G32" t="s">
        <v>22</v>
      </c>
      <c r="H32">
        <v>276.8</v>
      </c>
      <c r="I32">
        <v>249.5</v>
      </c>
      <c r="J32">
        <v>91.1</v>
      </c>
      <c r="K32">
        <v>65.5</v>
      </c>
      <c r="L32">
        <v>24.7</v>
      </c>
      <c r="M32">
        <v>8.5</v>
      </c>
      <c r="N32">
        <v>0.118446714791652</v>
      </c>
      <c r="O32">
        <v>9.9429295237213805E-2</v>
      </c>
      <c r="P32" t="str">
        <f t="shared" si="0"/>
        <v>T</v>
      </c>
      <c r="Q32" t="str">
        <f t="shared" si="1"/>
        <v>T</v>
      </c>
    </row>
    <row r="33" spans="1:17" hidden="1" x14ac:dyDescent="0.3">
      <c r="A33">
        <v>9216</v>
      </c>
      <c r="B33">
        <v>714</v>
      </c>
      <c r="C33">
        <v>358</v>
      </c>
      <c r="D33" t="s">
        <v>15</v>
      </c>
      <c r="E33" t="s">
        <v>16</v>
      </c>
      <c r="F33" t="s">
        <v>17</v>
      </c>
      <c r="G33" t="s">
        <v>22</v>
      </c>
      <c r="H33">
        <v>278.10000000000002</v>
      </c>
      <c r="I33">
        <v>245.5</v>
      </c>
      <c r="J33">
        <v>93.1</v>
      </c>
      <c r="K33">
        <v>70</v>
      </c>
      <c r="L33">
        <v>26.1</v>
      </c>
      <c r="M33">
        <v>1</v>
      </c>
      <c r="N33">
        <v>0.176490564067803</v>
      </c>
      <c r="O33">
        <v>4.12516987013462E-2</v>
      </c>
      <c r="P33" t="str">
        <f t="shared" si="0"/>
        <v>F</v>
      </c>
      <c r="Q33" t="str">
        <f t="shared" si="1"/>
        <v>T</v>
      </c>
    </row>
    <row r="34" spans="1:17" x14ac:dyDescent="0.3">
      <c r="A34">
        <v>1701</v>
      </c>
      <c r="B34">
        <v>1628</v>
      </c>
      <c r="C34">
        <v>332</v>
      </c>
      <c r="D34" t="s">
        <v>15</v>
      </c>
      <c r="E34" t="s">
        <v>16</v>
      </c>
      <c r="F34" t="s">
        <v>17</v>
      </c>
      <c r="G34" t="s">
        <v>22</v>
      </c>
      <c r="H34">
        <v>276.8</v>
      </c>
      <c r="I34">
        <v>249.5</v>
      </c>
      <c r="J34">
        <v>91.1</v>
      </c>
      <c r="K34">
        <v>65.5</v>
      </c>
      <c r="L34">
        <v>24.7</v>
      </c>
      <c r="M34">
        <v>8.5</v>
      </c>
      <c r="N34">
        <v>0.103363947226741</v>
      </c>
      <c r="O34">
        <v>0.111667848455789</v>
      </c>
      <c r="P34" t="str">
        <f t="shared" si="0"/>
        <v>T</v>
      </c>
      <c r="Q34" t="str">
        <f t="shared" si="1"/>
        <v>T</v>
      </c>
    </row>
    <row r="35" spans="1:17" hidden="1" x14ac:dyDescent="0.3">
      <c r="A35">
        <v>8319</v>
      </c>
      <c r="B35">
        <v>400</v>
      </c>
      <c r="C35">
        <v>332</v>
      </c>
      <c r="D35" t="s">
        <v>15</v>
      </c>
      <c r="E35" t="s">
        <v>16</v>
      </c>
      <c r="F35" t="s">
        <v>21</v>
      </c>
      <c r="G35" t="s">
        <v>22</v>
      </c>
      <c r="H35">
        <v>276.8</v>
      </c>
      <c r="I35">
        <v>249.5</v>
      </c>
      <c r="J35">
        <v>91.1</v>
      </c>
      <c r="K35">
        <v>65.5</v>
      </c>
      <c r="L35">
        <v>24.7</v>
      </c>
      <c r="M35">
        <v>8.5</v>
      </c>
      <c r="N35">
        <v>9.6178028727815001E-2</v>
      </c>
      <c r="O35">
        <v>0.118489308272743</v>
      </c>
      <c r="P35" t="str">
        <f t="shared" si="0"/>
        <v>T</v>
      </c>
      <c r="Q35" t="str">
        <f t="shared" si="1"/>
        <v>F</v>
      </c>
    </row>
    <row r="36" spans="1:17" hidden="1" x14ac:dyDescent="0.3">
      <c r="A36">
        <v>3266</v>
      </c>
      <c r="B36">
        <v>2181</v>
      </c>
      <c r="C36">
        <v>457</v>
      </c>
      <c r="D36" t="s">
        <v>15</v>
      </c>
      <c r="E36" t="s">
        <v>16</v>
      </c>
      <c r="F36" t="s">
        <v>21</v>
      </c>
      <c r="G36" t="s">
        <v>18</v>
      </c>
      <c r="H36">
        <v>279.3</v>
      </c>
      <c r="I36">
        <v>250</v>
      </c>
      <c r="J36">
        <v>95</v>
      </c>
      <c r="K36">
        <v>67</v>
      </c>
      <c r="L36">
        <v>28.5</v>
      </c>
      <c r="M36">
        <v>7.5</v>
      </c>
      <c r="N36">
        <v>3.9305928770794897E-2</v>
      </c>
      <c r="O36">
        <v>0.17425500459895801</v>
      </c>
      <c r="P36" t="str">
        <f t="shared" si="0"/>
        <v>T</v>
      </c>
      <c r="Q36" t="str">
        <f t="shared" si="1"/>
        <v>F</v>
      </c>
    </row>
    <row r="37" spans="1:17" x14ac:dyDescent="0.3">
      <c r="A37">
        <v>8318</v>
      </c>
      <c r="B37">
        <v>400</v>
      </c>
      <c r="C37">
        <v>332</v>
      </c>
      <c r="D37" t="s">
        <v>15</v>
      </c>
      <c r="E37" t="s">
        <v>16</v>
      </c>
      <c r="F37" t="s">
        <v>21</v>
      </c>
      <c r="G37" t="s">
        <v>22</v>
      </c>
      <c r="H37">
        <v>276.8</v>
      </c>
      <c r="I37">
        <v>249.5</v>
      </c>
      <c r="J37">
        <v>91.1</v>
      </c>
      <c r="K37">
        <v>65.5</v>
      </c>
      <c r="L37">
        <v>24.7</v>
      </c>
      <c r="M37">
        <v>8.5</v>
      </c>
      <c r="N37">
        <v>0.110146224173077</v>
      </c>
      <c r="O37">
        <v>0.10314047929111</v>
      </c>
      <c r="P37" t="str">
        <f t="shared" si="0"/>
        <v>T</v>
      </c>
      <c r="Q37" t="str">
        <f t="shared" si="1"/>
        <v>T</v>
      </c>
    </row>
    <row r="38" spans="1:17" x14ac:dyDescent="0.3">
      <c r="A38">
        <v>7202</v>
      </c>
      <c r="B38">
        <v>3607</v>
      </c>
      <c r="C38">
        <v>332</v>
      </c>
      <c r="D38" t="s">
        <v>15</v>
      </c>
      <c r="E38" t="s">
        <v>16</v>
      </c>
      <c r="F38" t="s">
        <v>21</v>
      </c>
      <c r="G38" t="s">
        <v>22</v>
      </c>
      <c r="H38">
        <v>276.8</v>
      </c>
      <c r="I38">
        <v>249.5</v>
      </c>
      <c r="J38">
        <v>91.1</v>
      </c>
      <c r="K38">
        <v>65.5</v>
      </c>
      <c r="L38">
        <v>24.7</v>
      </c>
      <c r="M38">
        <v>8.5</v>
      </c>
      <c r="N38">
        <v>0.108902744223468</v>
      </c>
      <c r="O38">
        <v>0.103732744442527</v>
      </c>
      <c r="P38" t="str">
        <f t="shared" si="0"/>
        <v>T</v>
      </c>
      <c r="Q38" t="str">
        <f t="shared" si="1"/>
        <v>T</v>
      </c>
    </row>
    <row r="39" spans="1:17" hidden="1" x14ac:dyDescent="0.3">
      <c r="A39">
        <v>1339</v>
      </c>
      <c r="B39">
        <v>149</v>
      </c>
      <c r="C39">
        <v>332</v>
      </c>
      <c r="D39" t="s">
        <v>15</v>
      </c>
      <c r="E39" t="s">
        <v>16</v>
      </c>
      <c r="F39" t="s">
        <v>17</v>
      </c>
      <c r="G39" t="s">
        <v>22</v>
      </c>
      <c r="H39">
        <v>276.8</v>
      </c>
      <c r="I39">
        <v>249.5</v>
      </c>
      <c r="J39">
        <v>91.1</v>
      </c>
      <c r="K39">
        <v>65.5</v>
      </c>
      <c r="L39">
        <v>24.7</v>
      </c>
      <c r="M39">
        <v>8.5</v>
      </c>
      <c r="N39">
        <v>9.3612222545308293E-2</v>
      </c>
      <c r="O39">
        <v>0.118929029856826</v>
      </c>
      <c r="P39" t="str">
        <f t="shared" si="0"/>
        <v>T</v>
      </c>
      <c r="Q39" t="str">
        <f t="shared" si="1"/>
        <v>F</v>
      </c>
    </row>
    <row r="40" spans="1:17" x14ac:dyDescent="0.3">
      <c r="A40">
        <v>1340</v>
      </c>
      <c r="B40">
        <v>149</v>
      </c>
      <c r="C40">
        <v>332</v>
      </c>
      <c r="D40" t="s">
        <v>15</v>
      </c>
      <c r="E40" t="s">
        <v>16</v>
      </c>
      <c r="F40" t="s">
        <v>17</v>
      </c>
      <c r="G40" t="s">
        <v>22</v>
      </c>
      <c r="H40">
        <v>276.8</v>
      </c>
      <c r="I40">
        <v>249.5</v>
      </c>
      <c r="J40">
        <v>91.1</v>
      </c>
      <c r="K40">
        <v>65.5</v>
      </c>
      <c r="L40">
        <v>24.7</v>
      </c>
      <c r="M40">
        <v>8.5</v>
      </c>
      <c r="N40">
        <v>0.11080506386482</v>
      </c>
      <c r="O40">
        <v>0.10063185642707</v>
      </c>
      <c r="P40" t="str">
        <f t="shared" si="0"/>
        <v>T</v>
      </c>
      <c r="Q40" t="str">
        <f t="shared" si="1"/>
        <v>T</v>
      </c>
    </row>
    <row r="41" spans="1:17" hidden="1" x14ac:dyDescent="0.3">
      <c r="A41">
        <v>993</v>
      </c>
      <c r="B41">
        <v>1354</v>
      </c>
      <c r="C41">
        <v>440</v>
      </c>
      <c r="D41" t="s">
        <v>15</v>
      </c>
      <c r="E41" t="s">
        <v>16</v>
      </c>
      <c r="F41" t="s">
        <v>21</v>
      </c>
      <c r="G41" t="s">
        <v>22</v>
      </c>
      <c r="H41">
        <v>276.89999999999998</v>
      </c>
      <c r="I41">
        <v>254</v>
      </c>
      <c r="J41">
        <v>95.2</v>
      </c>
      <c r="K41">
        <v>65</v>
      </c>
      <c r="L41">
        <v>29.8</v>
      </c>
      <c r="M41">
        <v>10.5</v>
      </c>
      <c r="N41">
        <v>5.1436526314820298E-2</v>
      </c>
      <c r="O41">
        <v>0.159486432344951</v>
      </c>
      <c r="P41" t="str">
        <f t="shared" si="0"/>
        <v>T</v>
      </c>
      <c r="Q41" t="str">
        <f t="shared" si="1"/>
        <v>F</v>
      </c>
    </row>
    <row r="42" spans="1:17" hidden="1" x14ac:dyDescent="0.3">
      <c r="A42">
        <v>8320</v>
      </c>
      <c r="B42">
        <v>400</v>
      </c>
      <c r="C42">
        <v>332</v>
      </c>
      <c r="D42" t="s">
        <v>15</v>
      </c>
      <c r="E42" t="s">
        <v>16</v>
      </c>
      <c r="F42" t="s">
        <v>21</v>
      </c>
      <c r="G42" t="s">
        <v>22</v>
      </c>
      <c r="H42">
        <v>276.8</v>
      </c>
      <c r="I42">
        <v>249.5</v>
      </c>
      <c r="J42">
        <v>91.1</v>
      </c>
      <c r="K42">
        <v>65.5</v>
      </c>
      <c r="L42">
        <v>24.7</v>
      </c>
      <c r="M42">
        <v>8.5</v>
      </c>
      <c r="N42">
        <v>9.4625426182942493E-2</v>
      </c>
      <c r="O42">
        <v>0.11547856328766901</v>
      </c>
      <c r="P42" t="str">
        <f t="shared" si="0"/>
        <v>T</v>
      </c>
      <c r="Q42" t="str">
        <f t="shared" si="1"/>
        <v>F</v>
      </c>
    </row>
    <row r="43" spans="1:17" hidden="1" x14ac:dyDescent="0.3">
      <c r="A43">
        <v>9212</v>
      </c>
      <c r="B43">
        <v>714</v>
      </c>
      <c r="C43">
        <v>358</v>
      </c>
      <c r="D43" t="s">
        <v>15</v>
      </c>
      <c r="E43" t="s">
        <v>16</v>
      </c>
      <c r="F43" t="s">
        <v>17</v>
      </c>
      <c r="G43" t="s">
        <v>22</v>
      </c>
      <c r="H43">
        <v>278.10000000000002</v>
      </c>
      <c r="I43">
        <v>245.5</v>
      </c>
      <c r="J43">
        <v>93.1</v>
      </c>
      <c r="K43">
        <v>70</v>
      </c>
      <c r="L43">
        <v>26.1</v>
      </c>
      <c r="M43">
        <v>1</v>
      </c>
      <c r="N43">
        <v>0.17266354342845</v>
      </c>
      <c r="O43">
        <v>3.5053301020752402E-2</v>
      </c>
      <c r="P43" t="str">
        <f t="shared" si="0"/>
        <v>F</v>
      </c>
      <c r="Q43" t="str">
        <f t="shared" si="1"/>
        <v>T</v>
      </c>
    </row>
    <row r="44" spans="1:17" hidden="1" x14ac:dyDescent="0.3">
      <c r="A44">
        <v>9217</v>
      </c>
      <c r="B44">
        <v>714</v>
      </c>
      <c r="C44">
        <v>358</v>
      </c>
      <c r="D44" t="s">
        <v>15</v>
      </c>
      <c r="E44" t="s">
        <v>16</v>
      </c>
      <c r="F44" t="s">
        <v>17</v>
      </c>
      <c r="G44" t="s">
        <v>22</v>
      </c>
      <c r="H44">
        <v>278.10000000000002</v>
      </c>
      <c r="I44">
        <v>245.5</v>
      </c>
      <c r="J44">
        <v>93.1</v>
      </c>
      <c r="K44">
        <v>70</v>
      </c>
      <c r="L44">
        <v>26.1</v>
      </c>
      <c r="M44">
        <v>1</v>
      </c>
      <c r="N44">
        <v>0.16966950858975099</v>
      </c>
      <c r="O44">
        <v>3.7997152298831501E-2</v>
      </c>
      <c r="P44" t="str">
        <f t="shared" si="0"/>
        <v>F</v>
      </c>
      <c r="Q44" t="str">
        <f t="shared" si="1"/>
        <v>T</v>
      </c>
    </row>
    <row r="45" spans="1:17" x14ac:dyDescent="0.3">
      <c r="A45">
        <v>1341</v>
      </c>
      <c r="B45">
        <v>149</v>
      </c>
      <c r="C45">
        <v>332</v>
      </c>
      <c r="D45" t="s">
        <v>15</v>
      </c>
      <c r="E45" t="s">
        <v>16</v>
      </c>
      <c r="F45" t="s">
        <v>17</v>
      </c>
      <c r="G45" t="s">
        <v>22</v>
      </c>
      <c r="H45">
        <v>276.8</v>
      </c>
      <c r="I45">
        <v>249.5</v>
      </c>
      <c r="J45">
        <v>91.1</v>
      </c>
      <c r="K45">
        <v>65.5</v>
      </c>
      <c r="L45">
        <v>24.7</v>
      </c>
      <c r="M45">
        <v>8.5</v>
      </c>
      <c r="N45">
        <v>9.5359629400591797E-2</v>
      </c>
      <c r="O45">
        <v>0.107170129776921</v>
      </c>
      <c r="P45" t="str">
        <f t="shared" si="0"/>
        <v>T</v>
      </c>
      <c r="Q45" t="str">
        <f t="shared" si="1"/>
        <v>T</v>
      </c>
    </row>
    <row r="46" spans="1:17" hidden="1" x14ac:dyDescent="0.3">
      <c r="A46">
        <v>9213</v>
      </c>
      <c r="B46">
        <v>714</v>
      </c>
      <c r="C46">
        <v>358</v>
      </c>
      <c r="D46" t="s">
        <v>15</v>
      </c>
      <c r="E46" t="s">
        <v>16</v>
      </c>
      <c r="F46" t="s">
        <v>17</v>
      </c>
      <c r="G46" t="s">
        <v>22</v>
      </c>
      <c r="H46">
        <v>278.10000000000002</v>
      </c>
      <c r="I46">
        <v>245.5</v>
      </c>
      <c r="J46">
        <v>93.1</v>
      </c>
      <c r="K46">
        <v>70</v>
      </c>
      <c r="L46">
        <v>26.1</v>
      </c>
      <c r="M46">
        <v>1</v>
      </c>
      <c r="N46">
        <v>0.16096102195961301</v>
      </c>
      <c r="O46">
        <v>3.8943450800446297E-2</v>
      </c>
      <c r="P46" t="str">
        <f t="shared" si="0"/>
        <v>F</v>
      </c>
      <c r="Q46" t="str">
        <f t="shared" si="1"/>
        <v>T</v>
      </c>
    </row>
    <row r="47" spans="1:17" hidden="1" x14ac:dyDescent="0.3">
      <c r="A47">
        <v>9215</v>
      </c>
      <c r="B47">
        <v>714</v>
      </c>
      <c r="C47">
        <v>358</v>
      </c>
      <c r="D47" t="s">
        <v>15</v>
      </c>
      <c r="E47" t="s">
        <v>16</v>
      </c>
      <c r="F47" t="s">
        <v>17</v>
      </c>
      <c r="G47" t="s">
        <v>22</v>
      </c>
      <c r="H47">
        <v>278.10000000000002</v>
      </c>
      <c r="I47">
        <v>245.5</v>
      </c>
      <c r="J47">
        <v>93.1</v>
      </c>
      <c r="K47">
        <v>70</v>
      </c>
      <c r="L47">
        <v>26.1</v>
      </c>
      <c r="M47">
        <v>1</v>
      </c>
      <c r="N47">
        <v>0.178748366066311</v>
      </c>
      <c r="O47">
        <v>2.1119370233911701E-2</v>
      </c>
      <c r="P47" t="str">
        <f t="shared" si="0"/>
        <v>F</v>
      </c>
      <c r="Q47" t="str">
        <f t="shared" si="1"/>
        <v>T</v>
      </c>
    </row>
    <row r="48" spans="1:17" hidden="1" x14ac:dyDescent="0.3">
      <c r="A48">
        <v>1703</v>
      </c>
      <c r="B48">
        <v>1628</v>
      </c>
      <c r="C48">
        <v>332</v>
      </c>
      <c r="D48" t="s">
        <v>15</v>
      </c>
      <c r="E48" t="s">
        <v>16</v>
      </c>
      <c r="F48" t="s">
        <v>17</v>
      </c>
      <c r="G48" t="s">
        <v>22</v>
      </c>
      <c r="H48">
        <v>276.8</v>
      </c>
      <c r="I48">
        <v>249.5</v>
      </c>
      <c r="J48">
        <v>91.1</v>
      </c>
      <c r="K48">
        <v>65.5</v>
      </c>
      <c r="L48">
        <v>24.7</v>
      </c>
      <c r="M48">
        <v>8.5</v>
      </c>
      <c r="N48">
        <v>8.6422183589491303E-2</v>
      </c>
      <c r="O48">
        <v>0.112230612115875</v>
      </c>
      <c r="P48" t="str">
        <f t="shared" si="0"/>
        <v>T</v>
      </c>
      <c r="Q48" t="str">
        <f t="shared" si="1"/>
        <v>F</v>
      </c>
    </row>
    <row r="49" spans="1:17" hidden="1" x14ac:dyDescent="0.3">
      <c r="A49">
        <v>9214</v>
      </c>
      <c r="B49">
        <v>714</v>
      </c>
      <c r="C49">
        <v>358</v>
      </c>
      <c r="D49" t="s">
        <v>15</v>
      </c>
      <c r="E49" t="s">
        <v>16</v>
      </c>
      <c r="F49" t="s">
        <v>17</v>
      </c>
      <c r="G49" t="s">
        <v>22</v>
      </c>
      <c r="H49">
        <v>278.10000000000002</v>
      </c>
      <c r="I49">
        <v>245.5</v>
      </c>
      <c r="J49">
        <v>93.1</v>
      </c>
      <c r="K49">
        <v>70</v>
      </c>
      <c r="L49">
        <v>26.1</v>
      </c>
      <c r="M49">
        <v>1</v>
      </c>
      <c r="N49">
        <v>0.190340596430605</v>
      </c>
      <c r="O49">
        <v>7.1053423595580697E-3</v>
      </c>
      <c r="P49" t="str">
        <f t="shared" si="0"/>
        <v>F</v>
      </c>
      <c r="Q49" t="str">
        <f t="shared" si="1"/>
        <v>T</v>
      </c>
    </row>
    <row r="50" spans="1:17" hidden="1" x14ac:dyDescent="0.3">
      <c r="A50">
        <v>994</v>
      </c>
      <c r="B50">
        <v>1354</v>
      </c>
      <c r="C50">
        <v>440</v>
      </c>
      <c r="D50" t="s">
        <v>15</v>
      </c>
      <c r="E50" t="s">
        <v>16</v>
      </c>
      <c r="F50" t="s">
        <v>21</v>
      </c>
      <c r="G50" t="s">
        <v>22</v>
      </c>
      <c r="H50">
        <v>276.89999999999998</v>
      </c>
      <c r="I50">
        <v>254</v>
      </c>
      <c r="J50">
        <v>95.2</v>
      </c>
      <c r="K50">
        <v>65</v>
      </c>
      <c r="L50">
        <v>29.8</v>
      </c>
      <c r="M50">
        <v>10.5</v>
      </c>
      <c r="N50">
        <v>3.94174864131338E-2</v>
      </c>
      <c r="O50">
        <v>0.14850060001047299</v>
      </c>
      <c r="P50" t="str">
        <f t="shared" si="0"/>
        <v>T</v>
      </c>
      <c r="Q50" t="str">
        <f t="shared" si="1"/>
        <v>F</v>
      </c>
    </row>
    <row r="51" spans="1:17" hidden="1" x14ac:dyDescent="0.3">
      <c r="A51">
        <v>7325</v>
      </c>
      <c r="B51">
        <v>3645</v>
      </c>
      <c r="C51">
        <v>440</v>
      </c>
      <c r="D51" t="s">
        <v>15</v>
      </c>
      <c r="E51" t="s">
        <v>16</v>
      </c>
      <c r="F51" t="s">
        <v>21</v>
      </c>
      <c r="G51" t="s">
        <v>22</v>
      </c>
      <c r="H51">
        <v>276.89999999999998</v>
      </c>
      <c r="I51">
        <v>254</v>
      </c>
      <c r="J51">
        <v>95.2</v>
      </c>
      <c r="K51">
        <v>65</v>
      </c>
      <c r="L51">
        <v>29.8</v>
      </c>
      <c r="M51">
        <v>10.5</v>
      </c>
      <c r="N51">
        <v>1.94222147498045E-2</v>
      </c>
      <c r="O51">
        <v>0.167854662425378</v>
      </c>
      <c r="P51" t="str">
        <f t="shared" si="0"/>
        <v>T</v>
      </c>
      <c r="Q51" t="str">
        <f t="shared" si="1"/>
        <v>F</v>
      </c>
    </row>
    <row r="52" spans="1:17" hidden="1" x14ac:dyDescent="0.3">
      <c r="A52">
        <v>9629</v>
      </c>
      <c r="B52">
        <v>87</v>
      </c>
      <c r="C52">
        <v>440</v>
      </c>
      <c r="D52" t="s">
        <v>15</v>
      </c>
      <c r="E52" t="s">
        <v>16</v>
      </c>
      <c r="F52" t="s">
        <v>21</v>
      </c>
      <c r="G52" t="s">
        <v>18</v>
      </c>
      <c r="H52">
        <v>276.89999999999998</v>
      </c>
      <c r="I52">
        <v>254</v>
      </c>
      <c r="J52">
        <v>95.2</v>
      </c>
      <c r="K52">
        <v>65</v>
      </c>
      <c r="L52">
        <v>29.8</v>
      </c>
      <c r="M52">
        <v>10.5</v>
      </c>
      <c r="N52">
        <v>3.6433726063857197E-2</v>
      </c>
      <c r="O52">
        <v>0.148305910968107</v>
      </c>
      <c r="P52" t="str">
        <f t="shared" si="0"/>
        <v>T</v>
      </c>
      <c r="Q52" t="str">
        <f t="shared" si="1"/>
        <v>F</v>
      </c>
    </row>
    <row r="53" spans="1:17" hidden="1" x14ac:dyDescent="0.3">
      <c r="A53">
        <v>9630</v>
      </c>
      <c r="B53">
        <v>87</v>
      </c>
      <c r="C53">
        <v>440</v>
      </c>
      <c r="D53" t="s">
        <v>15</v>
      </c>
      <c r="E53" t="s">
        <v>16</v>
      </c>
      <c r="F53" t="s">
        <v>21</v>
      </c>
      <c r="G53" t="s">
        <v>18</v>
      </c>
      <c r="H53">
        <v>276.89999999999998</v>
      </c>
      <c r="I53">
        <v>254</v>
      </c>
      <c r="J53">
        <v>95.2</v>
      </c>
      <c r="K53">
        <v>65</v>
      </c>
      <c r="L53">
        <v>29.8</v>
      </c>
      <c r="M53">
        <v>10.5</v>
      </c>
      <c r="N53">
        <v>3.1781624202113702E-2</v>
      </c>
      <c r="O53">
        <v>0.15003412718936601</v>
      </c>
      <c r="P53" t="str">
        <f t="shared" si="0"/>
        <v>T</v>
      </c>
      <c r="Q53" t="str">
        <f t="shared" si="1"/>
        <v>F</v>
      </c>
    </row>
    <row r="54" spans="1:17" hidden="1" x14ac:dyDescent="0.3">
      <c r="A54">
        <v>7326</v>
      </c>
      <c r="B54">
        <v>3645</v>
      </c>
      <c r="C54">
        <v>440</v>
      </c>
      <c r="D54" t="s">
        <v>15</v>
      </c>
      <c r="E54" t="s">
        <v>16</v>
      </c>
      <c r="F54" t="s">
        <v>21</v>
      </c>
      <c r="G54" t="s">
        <v>22</v>
      </c>
      <c r="H54">
        <v>276.89999999999998</v>
      </c>
      <c r="I54">
        <v>254</v>
      </c>
      <c r="J54">
        <v>95.2</v>
      </c>
      <c r="K54">
        <v>65</v>
      </c>
      <c r="L54">
        <v>29.8</v>
      </c>
      <c r="M54">
        <v>10.5</v>
      </c>
      <c r="N54">
        <v>2.8360178895356001E-2</v>
      </c>
      <c r="O54">
        <v>0.14783525168557801</v>
      </c>
      <c r="P54" t="str">
        <f t="shared" si="0"/>
        <v>T</v>
      </c>
      <c r="Q54" t="str">
        <f t="shared" si="1"/>
        <v>F</v>
      </c>
    </row>
    <row r="55" spans="1:17" hidden="1" x14ac:dyDescent="0.3">
      <c r="A55">
        <v>5340</v>
      </c>
      <c r="B55">
        <v>294</v>
      </c>
      <c r="C55">
        <v>440</v>
      </c>
      <c r="D55" t="s">
        <v>15</v>
      </c>
      <c r="E55" t="s">
        <v>16</v>
      </c>
      <c r="F55" t="s">
        <v>17</v>
      </c>
      <c r="G55" t="s">
        <v>18</v>
      </c>
      <c r="H55">
        <v>276.89999999999998</v>
      </c>
      <c r="I55">
        <v>254</v>
      </c>
      <c r="J55">
        <v>95.2</v>
      </c>
      <c r="K55">
        <v>65</v>
      </c>
      <c r="L55">
        <v>29.8</v>
      </c>
      <c r="M55">
        <v>10.5</v>
      </c>
      <c r="N55">
        <v>1.7967045178919699E-2</v>
      </c>
      <c r="O55">
        <v>0.149433809947213</v>
      </c>
      <c r="P55" t="str">
        <f t="shared" si="0"/>
        <v>T</v>
      </c>
      <c r="Q55" t="str">
        <f t="shared" si="1"/>
        <v>F</v>
      </c>
    </row>
    <row r="56" spans="1:17" hidden="1" x14ac:dyDescent="0.3">
      <c r="A56">
        <v>991</v>
      </c>
      <c r="B56">
        <v>1354</v>
      </c>
      <c r="C56">
        <v>440</v>
      </c>
      <c r="D56" t="s">
        <v>15</v>
      </c>
      <c r="E56" t="s">
        <v>16</v>
      </c>
      <c r="F56" t="s">
        <v>21</v>
      </c>
      <c r="G56" t="s">
        <v>22</v>
      </c>
      <c r="H56">
        <v>276.89999999999998</v>
      </c>
      <c r="I56">
        <v>254</v>
      </c>
      <c r="J56">
        <v>95.2</v>
      </c>
      <c r="K56">
        <v>65</v>
      </c>
      <c r="L56">
        <v>29.8</v>
      </c>
      <c r="M56">
        <v>10.5</v>
      </c>
      <c r="N56">
        <v>2.22930623325946E-2</v>
      </c>
      <c r="O56">
        <v>0.13626110902986599</v>
      </c>
      <c r="P56" t="str">
        <f t="shared" si="0"/>
        <v>T</v>
      </c>
      <c r="Q56" t="str">
        <f t="shared" si="1"/>
        <v>F</v>
      </c>
    </row>
  </sheetData>
  <autoFilter ref="A1:Q56" xr:uid="{A43F5BCE-6248-47D8-BCF1-A96E3E359300}">
    <filterColumn colId="15">
      <filters>
        <filter val="T"/>
      </filters>
    </filterColumn>
    <filterColumn colId="16">
      <filters>
        <filter val="T"/>
      </filters>
    </filterColumn>
  </autoFilter>
  <sortState xmlns:xlrd2="http://schemas.microsoft.com/office/spreadsheetml/2017/richdata2" ref="A2:R56">
    <sortCondition descending="1" ref="R1:R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20E5-9551-4DA8-BE41-5079F565874D}">
  <sheetPr filterMode="1"/>
  <dimension ref="A1:Q105"/>
  <sheetViews>
    <sheetView zoomScale="90" zoomScaleNormal="90" workbookViewId="0">
      <selection activeCell="L109" sqref="L109"/>
    </sheetView>
  </sheetViews>
  <sheetFormatPr defaultRowHeight="14.55" x14ac:dyDescent="0.3"/>
  <cols>
    <col min="1" max="1" width="9.44140625" bestFit="1" customWidth="1"/>
    <col min="2" max="2" width="9.109375" bestFit="1" customWidth="1"/>
    <col min="3" max="3" width="7.109375" bestFit="1" customWidth="1"/>
    <col min="4" max="4" width="16.77734375" bestFit="1" customWidth="1"/>
    <col min="5" max="5" width="11.21875" bestFit="1" customWidth="1"/>
    <col min="6" max="6" width="10.21875" bestFit="1" customWidth="1"/>
    <col min="7" max="7" width="14.21875" bestFit="1" customWidth="1"/>
    <col min="8" max="8" width="12.77734375" bestFit="1" customWidth="1"/>
    <col min="9" max="9" width="9.6640625" bestFit="1" customWidth="1"/>
    <col min="10" max="10" width="10.44140625" bestFit="1" customWidth="1"/>
    <col min="11" max="11" width="10.5546875" bestFit="1" customWidth="1"/>
    <col min="12" max="12" width="10.109375" bestFit="1" customWidth="1"/>
    <col min="13" max="13" width="11.21875" bestFit="1" customWidth="1"/>
    <col min="14" max="15" width="13.33203125" bestFit="1" customWidth="1"/>
    <col min="16" max="16" width="15.5546875" bestFit="1" customWidth="1"/>
    <col min="17" max="17" width="1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</v>
      </c>
      <c r="Q1" t="s">
        <v>28</v>
      </c>
    </row>
    <row r="2" spans="1:17" hidden="1" x14ac:dyDescent="0.3">
      <c r="A2">
        <v>501</v>
      </c>
      <c r="B2">
        <v>118</v>
      </c>
      <c r="C2">
        <v>170</v>
      </c>
      <c r="D2" t="s">
        <v>15</v>
      </c>
      <c r="E2" t="s">
        <v>20</v>
      </c>
      <c r="F2" t="s">
        <v>21</v>
      </c>
      <c r="G2" t="s">
        <v>22</v>
      </c>
      <c r="H2">
        <v>277.10000000000002</v>
      </c>
      <c r="I2">
        <v>250</v>
      </c>
      <c r="J2">
        <v>96.8</v>
      </c>
      <c r="K2">
        <v>69</v>
      </c>
      <c r="L2">
        <v>27.6</v>
      </c>
      <c r="M2">
        <v>10</v>
      </c>
      <c r="N2">
        <v>2.0153833915271899E-2</v>
      </c>
      <c r="O2">
        <v>0.14559083701363601</v>
      </c>
      <c r="P2" t="str">
        <f>IF(N2&lt;0.125854, "T", "F")</f>
        <v>T</v>
      </c>
      <c r="Q2" t="str">
        <f>IF(O2&lt;0.047822, "T", "F")</f>
        <v>F</v>
      </c>
    </row>
    <row r="3" spans="1:17" hidden="1" x14ac:dyDescent="0.3">
      <c r="A3">
        <v>984</v>
      </c>
      <c r="B3">
        <v>135</v>
      </c>
      <c r="C3">
        <v>161</v>
      </c>
      <c r="D3" t="s">
        <v>15</v>
      </c>
      <c r="E3" t="s">
        <v>20</v>
      </c>
      <c r="F3" t="s">
        <v>21</v>
      </c>
      <c r="G3" t="s">
        <v>18</v>
      </c>
      <c r="H3">
        <v>274.8</v>
      </c>
      <c r="I3">
        <v>251.5</v>
      </c>
      <c r="J3">
        <v>97.3</v>
      </c>
      <c r="K3">
        <v>68.5</v>
      </c>
      <c r="L3">
        <v>27.2</v>
      </c>
      <c r="M3">
        <v>10.5</v>
      </c>
      <c r="N3">
        <v>5.2851962109044803E-2</v>
      </c>
      <c r="O3">
        <v>0.123805573025564</v>
      </c>
      <c r="P3" t="str">
        <f t="shared" ref="P3:P66" si="0">IF(N3&lt;0.125854, "T", "F")</f>
        <v>T</v>
      </c>
      <c r="Q3" t="str">
        <f t="shared" ref="Q3:Q66" si="1">IF(O3&lt;0.047822, "T", "F")</f>
        <v>F</v>
      </c>
    </row>
    <row r="4" spans="1:17" hidden="1" x14ac:dyDescent="0.3">
      <c r="A4">
        <v>985</v>
      </c>
      <c r="B4">
        <v>135</v>
      </c>
      <c r="C4">
        <v>161</v>
      </c>
      <c r="D4" t="s">
        <v>15</v>
      </c>
      <c r="E4" t="s">
        <v>20</v>
      </c>
      <c r="F4" t="s">
        <v>21</v>
      </c>
      <c r="G4" t="s">
        <v>18</v>
      </c>
      <c r="H4">
        <v>274.8</v>
      </c>
      <c r="I4">
        <v>251.5</v>
      </c>
      <c r="J4">
        <v>97.3</v>
      </c>
      <c r="K4">
        <v>68.5</v>
      </c>
      <c r="L4">
        <v>27.2</v>
      </c>
      <c r="M4">
        <v>10.5</v>
      </c>
      <c r="N4">
        <v>4.9279014450408803E-2</v>
      </c>
      <c r="O4">
        <v>0.12933525034884299</v>
      </c>
      <c r="P4" t="str">
        <f t="shared" si="0"/>
        <v>T</v>
      </c>
      <c r="Q4" t="str">
        <f t="shared" si="1"/>
        <v>F</v>
      </c>
    </row>
    <row r="5" spans="1:17" hidden="1" x14ac:dyDescent="0.3">
      <c r="A5">
        <v>986</v>
      </c>
      <c r="B5">
        <v>135</v>
      </c>
      <c r="C5">
        <v>161</v>
      </c>
      <c r="D5" t="s">
        <v>15</v>
      </c>
      <c r="E5" t="s">
        <v>20</v>
      </c>
      <c r="F5" t="s">
        <v>21</v>
      </c>
      <c r="G5" t="s">
        <v>18</v>
      </c>
      <c r="H5">
        <v>274.8</v>
      </c>
      <c r="I5">
        <v>251.5</v>
      </c>
      <c r="J5">
        <v>97.3</v>
      </c>
      <c r="K5">
        <v>68.5</v>
      </c>
      <c r="L5">
        <v>27.2</v>
      </c>
      <c r="M5">
        <v>10.5</v>
      </c>
      <c r="N5">
        <v>5.3870274809577998E-2</v>
      </c>
      <c r="O5">
        <v>9.1900761226920494E-2</v>
      </c>
      <c r="P5" t="str">
        <f t="shared" si="0"/>
        <v>T</v>
      </c>
      <c r="Q5" t="str">
        <f t="shared" si="1"/>
        <v>F</v>
      </c>
    </row>
    <row r="6" spans="1:17" hidden="1" x14ac:dyDescent="0.3">
      <c r="A6">
        <v>1206</v>
      </c>
      <c r="B6">
        <v>144</v>
      </c>
      <c r="C6">
        <v>177</v>
      </c>
      <c r="D6" t="s">
        <v>15</v>
      </c>
      <c r="E6" t="s">
        <v>20</v>
      </c>
      <c r="F6" t="s">
        <v>17</v>
      </c>
      <c r="G6" t="s">
        <v>22</v>
      </c>
      <c r="H6">
        <v>277</v>
      </c>
      <c r="I6">
        <v>242.5</v>
      </c>
      <c r="J6">
        <v>94.7</v>
      </c>
      <c r="K6">
        <v>64.5</v>
      </c>
      <c r="L6">
        <v>26.5</v>
      </c>
      <c r="M6">
        <v>12.5</v>
      </c>
      <c r="N6">
        <v>3.0211916100007001E-2</v>
      </c>
      <c r="O6">
        <v>0.16288060704871499</v>
      </c>
      <c r="P6" t="str">
        <f t="shared" si="0"/>
        <v>T</v>
      </c>
      <c r="Q6" t="str">
        <f t="shared" si="1"/>
        <v>F</v>
      </c>
    </row>
    <row r="7" spans="1:17" hidden="1" x14ac:dyDescent="0.3">
      <c r="A7">
        <v>1309</v>
      </c>
      <c r="B7">
        <v>1479</v>
      </c>
      <c r="C7">
        <v>247</v>
      </c>
      <c r="D7" t="s">
        <v>15</v>
      </c>
      <c r="E7" t="s">
        <v>20</v>
      </c>
      <c r="F7" t="s">
        <v>17</v>
      </c>
      <c r="G7" t="s">
        <v>22</v>
      </c>
      <c r="H7">
        <v>275.3</v>
      </c>
      <c r="I7">
        <v>259.5</v>
      </c>
      <c r="J7">
        <v>96.7</v>
      </c>
      <c r="K7">
        <v>69.5</v>
      </c>
      <c r="L7">
        <v>26.1</v>
      </c>
      <c r="M7">
        <v>10.5</v>
      </c>
      <c r="N7">
        <v>5.9421359760036402E-2</v>
      </c>
      <c r="O7">
        <v>0.158793254300612</v>
      </c>
      <c r="P7" t="str">
        <f t="shared" si="0"/>
        <v>T</v>
      </c>
      <c r="Q7" t="str">
        <f t="shared" si="1"/>
        <v>F</v>
      </c>
    </row>
    <row r="8" spans="1:17" hidden="1" x14ac:dyDescent="0.3">
      <c r="A8">
        <v>1310</v>
      </c>
      <c r="B8">
        <v>1479</v>
      </c>
      <c r="C8">
        <v>247</v>
      </c>
      <c r="D8" t="s">
        <v>15</v>
      </c>
      <c r="E8" t="s">
        <v>20</v>
      </c>
      <c r="F8" t="s">
        <v>17</v>
      </c>
      <c r="G8" t="s">
        <v>22</v>
      </c>
      <c r="H8">
        <v>275.3</v>
      </c>
      <c r="I8">
        <v>259.5</v>
      </c>
      <c r="J8">
        <v>96.7</v>
      </c>
      <c r="K8">
        <v>69.5</v>
      </c>
      <c r="L8">
        <v>26.1</v>
      </c>
      <c r="M8">
        <v>10.5</v>
      </c>
      <c r="N8">
        <v>5.6378467404944399E-2</v>
      </c>
      <c r="O8">
        <v>0.144341819159202</v>
      </c>
      <c r="P8" t="str">
        <f t="shared" si="0"/>
        <v>T</v>
      </c>
      <c r="Q8" t="str">
        <f t="shared" si="1"/>
        <v>F</v>
      </c>
    </row>
    <row r="9" spans="1:17" hidden="1" x14ac:dyDescent="0.3">
      <c r="A9">
        <v>1311</v>
      </c>
      <c r="B9">
        <v>1479</v>
      </c>
      <c r="C9">
        <v>247</v>
      </c>
      <c r="D9" t="s">
        <v>15</v>
      </c>
      <c r="E9" t="s">
        <v>20</v>
      </c>
      <c r="F9" t="s">
        <v>17</v>
      </c>
      <c r="G9" t="s">
        <v>22</v>
      </c>
      <c r="H9">
        <v>275.3</v>
      </c>
      <c r="I9">
        <v>259.5</v>
      </c>
      <c r="J9">
        <v>96.7</v>
      </c>
      <c r="K9">
        <v>69.5</v>
      </c>
      <c r="L9">
        <v>26.1</v>
      </c>
      <c r="M9">
        <v>10.5</v>
      </c>
      <c r="N9">
        <v>3.9359471717342498E-2</v>
      </c>
      <c r="O9">
        <v>0.162894785905769</v>
      </c>
      <c r="P9" t="str">
        <f t="shared" si="0"/>
        <v>T</v>
      </c>
      <c r="Q9" t="str">
        <f t="shared" si="1"/>
        <v>F</v>
      </c>
    </row>
    <row r="10" spans="1:17" hidden="1" x14ac:dyDescent="0.3">
      <c r="A10">
        <v>1618</v>
      </c>
      <c r="B10">
        <v>1593</v>
      </c>
      <c r="C10">
        <v>148</v>
      </c>
      <c r="D10" t="s">
        <v>15</v>
      </c>
      <c r="E10" t="s">
        <v>20</v>
      </c>
      <c r="F10" t="s">
        <v>21</v>
      </c>
      <c r="G10" t="s">
        <v>18</v>
      </c>
      <c r="H10">
        <v>273.39999999999998</v>
      </c>
      <c r="I10">
        <v>237.5</v>
      </c>
      <c r="J10">
        <v>91.6</v>
      </c>
      <c r="K10">
        <v>66</v>
      </c>
      <c r="L10">
        <v>26</v>
      </c>
      <c r="M10">
        <v>4.5</v>
      </c>
      <c r="N10">
        <v>0.20061620036049799</v>
      </c>
      <c r="O10">
        <v>0.14466288121666299</v>
      </c>
      <c r="P10" t="str">
        <f t="shared" si="0"/>
        <v>F</v>
      </c>
      <c r="Q10" t="str">
        <f t="shared" si="1"/>
        <v>F</v>
      </c>
    </row>
    <row r="11" spans="1:17" hidden="1" x14ac:dyDescent="0.3">
      <c r="A11">
        <v>1907</v>
      </c>
      <c r="B11">
        <v>1705</v>
      </c>
      <c r="C11">
        <v>161</v>
      </c>
      <c r="D11" t="s">
        <v>15</v>
      </c>
      <c r="E11" t="s">
        <v>20</v>
      </c>
      <c r="F11" t="s">
        <v>21</v>
      </c>
      <c r="G11" t="s">
        <v>18</v>
      </c>
      <c r="H11">
        <v>274.8</v>
      </c>
      <c r="I11">
        <v>251.5</v>
      </c>
      <c r="J11">
        <v>97.3</v>
      </c>
      <c r="K11">
        <v>68.5</v>
      </c>
      <c r="L11">
        <v>27.2</v>
      </c>
      <c r="M11">
        <v>10.5</v>
      </c>
      <c r="N11">
        <v>4.7391357181433898E-2</v>
      </c>
      <c r="O11">
        <v>0.102270915319062</v>
      </c>
      <c r="P11" t="str">
        <f t="shared" si="0"/>
        <v>T</v>
      </c>
      <c r="Q11" t="str">
        <f t="shared" si="1"/>
        <v>F</v>
      </c>
    </row>
    <row r="12" spans="1:17" hidden="1" x14ac:dyDescent="0.3">
      <c r="A12">
        <v>1908</v>
      </c>
      <c r="B12">
        <v>1705</v>
      </c>
      <c r="C12">
        <v>161</v>
      </c>
      <c r="D12" t="s">
        <v>15</v>
      </c>
      <c r="E12" t="s">
        <v>20</v>
      </c>
      <c r="F12" t="s">
        <v>21</v>
      </c>
      <c r="G12" t="s">
        <v>18</v>
      </c>
      <c r="H12">
        <v>274.8</v>
      </c>
      <c r="I12">
        <v>251.5</v>
      </c>
      <c r="J12">
        <v>97.3</v>
      </c>
      <c r="K12">
        <v>68.5</v>
      </c>
      <c r="L12">
        <v>27.2</v>
      </c>
      <c r="M12">
        <v>10.5</v>
      </c>
      <c r="N12">
        <v>6.3343830457052899E-2</v>
      </c>
      <c r="O12">
        <v>9.53608487551348E-2</v>
      </c>
      <c r="P12" t="str">
        <f t="shared" si="0"/>
        <v>T</v>
      </c>
      <c r="Q12" t="str">
        <f t="shared" si="1"/>
        <v>F</v>
      </c>
    </row>
    <row r="13" spans="1:17" hidden="1" x14ac:dyDescent="0.3">
      <c r="A13">
        <v>1941</v>
      </c>
      <c r="B13">
        <v>1713</v>
      </c>
      <c r="C13">
        <v>75</v>
      </c>
      <c r="D13" t="s">
        <v>15</v>
      </c>
      <c r="E13" t="s">
        <v>20</v>
      </c>
      <c r="F13" t="s">
        <v>21</v>
      </c>
      <c r="G13" t="s">
        <v>18</v>
      </c>
      <c r="H13">
        <v>278</v>
      </c>
      <c r="I13">
        <v>259</v>
      </c>
      <c r="J13">
        <v>97.6</v>
      </c>
      <c r="K13">
        <v>68.5</v>
      </c>
      <c r="L13">
        <v>26.2</v>
      </c>
      <c r="M13">
        <v>4</v>
      </c>
      <c r="N13">
        <v>0.16443505597639399</v>
      </c>
      <c r="O13">
        <v>0.183820548344337</v>
      </c>
      <c r="P13" t="str">
        <f t="shared" si="0"/>
        <v>F</v>
      </c>
      <c r="Q13" t="str">
        <f t="shared" si="1"/>
        <v>F</v>
      </c>
    </row>
    <row r="14" spans="1:17" hidden="1" x14ac:dyDescent="0.3">
      <c r="A14">
        <v>1942</v>
      </c>
      <c r="B14">
        <v>1713</v>
      </c>
      <c r="C14">
        <v>75</v>
      </c>
      <c r="D14" t="s">
        <v>15</v>
      </c>
      <c r="E14" t="s">
        <v>20</v>
      </c>
      <c r="F14" t="s">
        <v>21</v>
      </c>
      <c r="G14" t="s">
        <v>18</v>
      </c>
      <c r="H14">
        <v>278</v>
      </c>
      <c r="I14">
        <v>259</v>
      </c>
      <c r="J14">
        <v>97.6</v>
      </c>
      <c r="K14">
        <v>68.5</v>
      </c>
      <c r="L14">
        <v>26.2</v>
      </c>
      <c r="M14">
        <v>4</v>
      </c>
      <c r="N14">
        <v>0.14065733840085101</v>
      </c>
      <c r="O14">
        <v>0.164731733264701</v>
      </c>
      <c r="P14" t="str">
        <f t="shared" si="0"/>
        <v>F</v>
      </c>
      <c r="Q14" t="str">
        <f t="shared" si="1"/>
        <v>F</v>
      </c>
    </row>
    <row r="15" spans="1:17" hidden="1" x14ac:dyDescent="0.3">
      <c r="A15">
        <v>1943</v>
      </c>
      <c r="B15">
        <v>1713</v>
      </c>
      <c r="C15">
        <v>75</v>
      </c>
      <c r="D15" t="s">
        <v>15</v>
      </c>
      <c r="E15" t="s">
        <v>20</v>
      </c>
      <c r="F15" t="s">
        <v>21</v>
      </c>
      <c r="G15" t="s">
        <v>18</v>
      </c>
      <c r="H15">
        <v>278</v>
      </c>
      <c r="I15">
        <v>259</v>
      </c>
      <c r="J15">
        <v>97.6</v>
      </c>
      <c r="K15">
        <v>68.5</v>
      </c>
      <c r="L15">
        <v>26.2</v>
      </c>
      <c r="M15">
        <v>4</v>
      </c>
      <c r="N15">
        <v>0.143426918759229</v>
      </c>
      <c r="O15">
        <v>0.148213050797706</v>
      </c>
      <c r="P15" t="str">
        <f t="shared" si="0"/>
        <v>F</v>
      </c>
      <c r="Q15" t="str">
        <f t="shared" si="1"/>
        <v>F</v>
      </c>
    </row>
    <row r="16" spans="1:17" hidden="1" x14ac:dyDescent="0.3">
      <c r="A16">
        <v>2114</v>
      </c>
      <c r="B16">
        <v>178</v>
      </c>
      <c r="C16">
        <v>434</v>
      </c>
      <c r="D16" t="s">
        <v>15</v>
      </c>
      <c r="E16" t="s">
        <v>20</v>
      </c>
      <c r="F16" t="s">
        <v>17</v>
      </c>
      <c r="G16" t="s">
        <v>18</v>
      </c>
      <c r="H16">
        <v>279.10000000000002</v>
      </c>
      <c r="I16">
        <v>250</v>
      </c>
      <c r="J16">
        <v>93.3</v>
      </c>
      <c r="K16">
        <v>66</v>
      </c>
      <c r="L16">
        <v>27.9</v>
      </c>
      <c r="M16">
        <v>6</v>
      </c>
      <c r="N16">
        <v>0.258328892602535</v>
      </c>
      <c r="O16">
        <v>3.8277332839728999E-2</v>
      </c>
      <c r="P16" t="str">
        <f t="shared" si="0"/>
        <v>F</v>
      </c>
      <c r="Q16" t="str">
        <f t="shared" si="1"/>
        <v>T</v>
      </c>
    </row>
    <row r="17" spans="1:17" hidden="1" x14ac:dyDescent="0.3">
      <c r="A17">
        <v>2186</v>
      </c>
      <c r="B17">
        <v>1803</v>
      </c>
      <c r="C17">
        <v>115</v>
      </c>
      <c r="D17" t="s">
        <v>15</v>
      </c>
      <c r="E17" t="s">
        <v>20</v>
      </c>
      <c r="F17" t="s">
        <v>17</v>
      </c>
      <c r="G17" t="s">
        <v>22</v>
      </c>
      <c r="H17">
        <v>274.7</v>
      </c>
      <c r="I17">
        <v>242.5</v>
      </c>
      <c r="J17">
        <v>91.6</v>
      </c>
      <c r="K17">
        <v>66.5</v>
      </c>
      <c r="L17">
        <v>28.1</v>
      </c>
      <c r="M17">
        <v>4.5</v>
      </c>
      <c r="N17">
        <v>0.289598777418895</v>
      </c>
      <c r="O17">
        <v>5.4381253942333202E-2</v>
      </c>
      <c r="P17" t="str">
        <f t="shared" si="0"/>
        <v>F</v>
      </c>
      <c r="Q17" t="str">
        <f t="shared" si="1"/>
        <v>F</v>
      </c>
    </row>
    <row r="18" spans="1:17" hidden="1" x14ac:dyDescent="0.3">
      <c r="A18">
        <v>2187</v>
      </c>
      <c r="B18">
        <v>1803</v>
      </c>
      <c r="C18">
        <v>115</v>
      </c>
      <c r="D18" t="s">
        <v>15</v>
      </c>
      <c r="E18" t="s">
        <v>20</v>
      </c>
      <c r="F18" t="s">
        <v>17</v>
      </c>
      <c r="G18" t="s">
        <v>22</v>
      </c>
      <c r="H18">
        <v>274.7</v>
      </c>
      <c r="I18">
        <v>242.5</v>
      </c>
      <c r="J18">
        <v>91.6</v>
      </c>
      <c r="K18">
        <v>66.5</v>
      </c>
      <c r="L18">
        <v>28.1</v>
      </c>
      <c r="M18">
        <v>4.5</v>
      </c>
      <c r="N18">
        <v>0.28638523813574801</v>
      </c>
      <c r="O18">
        <v>4.8247849358225403E-2</v>
      </c>
      <c r="P18" t="str">
        <f t="shared" si="0"/>
        <v>F</v>
      </c>
      <c r="Q18" t="str">
        <f t="shared" si="1"/>
        <v>F</v>
      </c>
    </row>
    <row r="19" spans="1:17" hidden="1" x14ac:dyDescent="0.3">
      <c r="A19">
        <v>2373</v>
      </c>
      <c r="B19">
        <v>1866</v>
      </c>
      <c r="C19">
        <v>301</v>
      </c>
      <c r="D19" t="s">
        <v>15</v>
      </c>
      <c r="E19" t="s">
        <v>20</v>
      </c>
      <c r="F19" t="s">
        <v>21</v>
      </c>
      <c r="G19" t="s">
        <v>18</v>
      </c>
      <c r="H19">
        <v>275.5</v>
      </c>
      <c r="I19">
        <v>250</v>
      </c>
      <c r="J19">
        <v>94.4</v>
      </c>
      <c r="K19">
        <v>68.5</v>
      </c>
      <c r="L19">
        <v>22.1</v>
      </c>
      <c r="M19">
        <v>6</v>
      </c>
      <c r="N19">
        <v>0.21426313574697201</v>
      </c>
      <c r="O19">
        <v>1.2783427009875101E-2</v>
      </c>
      <c r="P19" t="str">
        <f t="shared" si="0"/>
        <v>F</v>
      </c>
      <c r="Q19" t="str">
        <f t="shared" si="1"/>
        <v>T</v>
      </c>
    </row>
    <row r="20" spans="1:17" hidden="1" x14ac:dyDescent="0.3">
      <c r="A20">
        <v>2601</v>
      </c>
      <c r="B20">
        <v>1942</v>
      </c>
      <c r="C20">
        <v>301</v>
      </c>
      <c r="D20" t="s">
        <v>15</v>
      </c>
      <c r="E20" t="s">
        <v>20</v>
      </c>
      <c r="F20" t="s">
        <v>17</v>
      </c>
      <c r="G20" t="s">
        <v>22</v>
      </c>
      <c r="H20">
        <v>275.5</v>
      </c>
      <c r="I20">
        <v>250</v>
      </c>
      <c r="J20">
        <v>94.4</v>
      </c>
      <c r="K20">
        <v>68.5</v>
      </c>
      <c r="L20">
        <v>22.1</v>
      </c>
      <c r="M20">
        <v>6</v>
      </c>
      <c r="N20">
        <v>0.21289688323605199</v>
      </c>
      <c r="O20">
        <v>1.82437974388053E-2</v>
      </c>
      <c r="P20" t="str">
        <f t="shared" si="0"/>
        <v>F</v>
      </c>
      <c r="Q20" t="str">
        <f t="shared" si="1"/>
        <v>T</v>
      </c>
    </row>
    <row r="21" spans="1:17" x14ac:dyDescent="0.3">
      <c r="A21">
        <v>3084</v>
      </c>
      <c r="B21">
        <v>2111</v>
      </c>
      <c r="C21">
        <v>6</v>
      </c>
      <c r="D21" t="s">
        <v>15</v>
      </c>
      <c r="E21" t="s">
        <v>20</v>
      </c>
      <c r="F21" t="s">
        <v>21</v>
      </c>
      <c r="G21" t="s">
        <v>18</v>
      </c>
      <c r="H21">
        <v>275.5</v>
      </c>
      <c r="I21">
        <v>250.5</v>
      </c>
      <c r="J21">
        <v>94.7</v>
      </c>
      <c r="K21">
        <v>66.5</v>
      </c>
      <c r="L21">
        <v>25.3</v>
      </c>
      <c r="M21">
        <v>7.5</v>
      </c>
      <c r="N21">
        <v>0.12579168299538501</v>
      </c>
      <c r="O21">
        <v>5.6515672844811102E-3</v>
      </c>
      <c r="P21" t="str">
        <f t="shared" si="0"/>
        <v>T</v>
      </c>
      <c r="Q21" t="str">
        <f t="shared" si="1"/>
        <v>T</v>
      </c>
    </row>
    <row r="22" spans="1:17" hidden="1" x14ac:dyDescent="0.3">
      <c r="A22">
        <v>3085</v>
      </c>
      <c r="B22">
        <v>2111</v>
      </c>
      <c r="C22">
        <v>6</v>
      </c>
      <c r="D22" t="s">
        <v>15</v>
      </c>
      <c r="E22" t="s">
        <v>20</v>
      </c>
      <c r="F22" t="s">
        <v>21</v>
      </c>
      <c r="G22" t="s">
        <v>18</v>
      </c>
      <c r="H22">
        <v>275.5</v>
      </c>
      <c r="I22">
        <v>250.5</v>
      </c>
      <c r="J22">
        <v>94.7</v>
      </c>
      <c r="K22">
        <v>66.5</v>
      </c>
      <c r="L22">
        <v>25.3</v>
      </c>
      <c r="M22">
        <v>7.5</v>
      </c>
      <c r="N22">
        <v>0.133855196239864</v>
      </c>
      <c r="O22">
        <v>3.7596164717362102E-2</v>
      </c>
      <c r="P22" t="str">
        <f t="shared" si="0"/>
        <v>F</v>
      </c>
      <c r="Q22" t="str">
        <f t="shared" si="1"/>
        <v>T</v>
      </c>
    </row>
    <row r="23" spans="1:17" x14ac:dyDescent="0.3">
      <c r="A23">
        <v>3086</v>
      </c>
      <c r="B23">
        <v>2111</v>
      </c>
      <c r="C23">
        <v>6</v>
      </c>
      <c r="D23" t="s">
        <v>15</v>
      </c>
      <c r="E23" t="s">
        <v>20</v>
      </c>
      <c r="F23" t="s">
        <v>21</v>
      </c>
      <c r="G23" t="s">
        <v>18</v>
      </c>
      <c r="H23">
        <v>275.5</v>
      </c>
      <c r="I23">
        <v>250.5</v>
      </c>
      <c r="J23">
        <v>94.7</v>
      </c>
      <c r="K23">
        <v>66.5</v>
      </c>
      <c r="L23">
        <v>25.3</v>
      </c>
      <c r="M23">
        <v>7.5</v>
      </c>
      <c r="N23">
        <v>0.123379640286363</v>
      </c>
      <c r="O23">
        <v>3.00310675054547E-2</v>
      </c>
      <c r="P23" t="str">
        <f t="shared" si="0"/>
        <v>T</v>
      </c>
      <c r="Q23" t="str">
        <f t="shared" si="1"/>
        <v>T</v>
      </c>
    </row>
    <row r="24" spans="1:17" x14ac:dyDescent="0.3">
      <c r="A24" s="1">
        <v>3146</v>
      </c>
      <c r="B24" s="1">
        <v>2134</v>
      </c>
      <c r="C24" s="1">
        <v>192</v>
      </c>
      <c r="D24" s="1" t="s">
        <v>15</v>
      </c>
      <c r="E24" s="1" t="s">
        <v>20</v>
      </c>
      <c r="F24" s="1" t="s">
        <v>17</v>
      </c>
      <c r="G24" s="1" t="s">
        <v>22</v>
      </c>
      <c r="H24" s="1">
        <v>276</v>
      </c>
      <c r="I24" s="1">
        <v>253</v>
      </c>
      <c r="J24" s="1">
        <v>94.6</v>
      </c>
      <c r="K24" s="1">
        <v>69</v>
      </c>
      <c r="L24" s="1">
        <v>28.5</v>
      </c>
      <c r="M24" s="1">
        <v>8</v>
      </c>
      <c r="N24" s="1">
        <v>3.7349484267425299E-2</v>
      </c>
      <c r="O24" s="1">
        <v>4.7814913398517699E-2</v>
      </c>
      <c r="P24" s="1" t="str">
        <f t="shared" si="0"/>
        <v>T</v>
      </c>
      <c r="Q24" s="1" t="str">
        <f t="shared" si="1"/>
        <v>T</v>
      </c>
    </row>
    <row r="25" spans="1:17" hidden="1" x14ac:dyDescent="0.3">
      <c r="A25">
        <v>3147</v>
      </c>
      <c r="B25">
        <v>2134</v>
      </c>
      <c r="C25">
        <v>192</v>
      </c>
      <c r="D25" t="s">
        <v>15</v>
      </c>
      <c r="E25" t="s">
        <v>20</v>
      </c>
      <c r="F25" t="s">
        <v>17</v>
      </c>
      <c r="G25" t="s">
        <v>22</v>
      </c>
      <c r="H25">
        <v>276</v>
      </c>
      <c r="I25">
        <v>253</v>
      </c>
      <c r="J25">
        <v>94.6</v>
      </c>
      <c r="K25">
        <v>69</v>
      </c>
      <c r="L25">
        <v>28.5</v>
      </c>
      <c r="M25">
        <v>8</v>
      </c>
      <c r="N25">
        <v>4.1359602526300797E-2</v>
      </c>
      <c r="O25">
        <v>4.9305763107655498E-2</v>
      </c>
      <c r="P25" t="str">
        <f t="shared" si="0"/>
        <v>T</v>
      </c>
      <c r="Q25" t="str">
        <f t="shared" si="1"/>
        <v>F</v>
      </c>
    </row>
    <row r="26" spans="1:17" hidden="1" x14ac:dyDescent="0.3">
      <c r="A26">
        <v>3148</v>
      </c>
      <c r="B26">
        <v>2134</v>
      </c>
      <c r="C26">
        <v>192</v>
      </c>
      <c r="D26" t="s">
        <v>15</v>
      </c>
      <c r="E26" t="s">
        <v>20</v>
      </c>
      <c r="F26" t="s">
        <v>17</v>
      </c>
      <c r="G26" t="s">
        <v>22</v>
      </c>
      <c r="H26">
        <v>276</v>
      </c>
      <c r="I26">
        <v>253</v>
      </c>
      <c r="J26">
        <v>94.6</v>
      </c>
      <c r="K26">
        <v>69</v>
      </c>
      <c r="L26">
        <v>28.5</v>
      </c>
      <c r="M26">
        <v>8</v>
      </c>
      <c r="N26">
        <v>3.6154404869353701E-2</v>
      </c>
      <c r="O26">
        <v>4.8380744525134002E-2</v>
      </c>
      <c r="P26" t="str">
        <f t="shared" si="0"/>
        <v>T</v>
      </c>
      <c r="Q26" t="str">
        <f t="shared" si="1"/>
        <v>F</v>
      </c>
    </row>
    <row r="27" spans="1:17" x14ac:dyDescent="0.3">
      <c r="A27" s="1">
        <v>3149</v>
      </c>
      <c r="B27" s="1">
        <v>2134</v>
      </c>
      <c r="C27" s="1">
        <v>192</v>
      </c>
      <c r="D27" s="1" t="s">
        <v>15</v>
      </c>
      <c r="E27" s="1" t="s">
        <v>20</v>
      </c>
      <c r="F27" s="1" t="s">
        <v>17</v>
      </c>
      <c r="G27" s="1" t="s">
        <v>22</v>
      </c>
      <c r="H27" s="1">
        <v>276</v>
      </c>
      <c r="I27" s="1">
        <v>253</v>
      </c>
      <c r="J27" s="1">
        <v>94.6</v>
      </c>
      <c r="K27" s="1">
        <v>69</v>
      </c>
      <c r="L27" s="1">
        <v>28.5</v>
      </c>
      <c r="M27" s="1">
        <v>8</v>
      </c>
      <c r="N27" s="1">
        <v>2.74985684648224E-2</v>
      </c>
      <c r="O27" s="1">
        <v>4.1799416661580997E-2</v>
      </c>
      <c r="P27" s="1" t="str">
        <f t="shared" si="0"/>
        <v>T</v>
      </c>
      <c r="Q27" s="1" t="str">
        <f t="shared" si="1"/>
        <v>T</v>
      </c>
    </row>
    <row r="28" spans="1:17" hidden="1" x14ac:dyDescent="0.3">
      <c r="A28">
        <v>3169</v>
      </c>
      <c r="B28">
        <v>2144</v>
      </c>
      <c r="C28">
        <v>301</v>
      </c>
      <c r="D28" t="s">
        <v>15</v>
      </c>
      <c r="E28" t="s">
        <v>20</v>
      </c>
      <c r="F28" t="s">
        <v>21</v>
      </c>
      <c r="G28" t="s">
        <v>18</v>
      </c>
      <c r="H28">
        <v>275.5</v>
      </c>
      <c r="I28">
        <v>250</v>
      </c>
      <c r="J28">
        <v>94.4</v>
      </c>
      <c r="K28">
        <v>68.5</v>
      </c>
      <c r="L28">
        <v>22.1</v>
      </c>
      <c r="M28">
        <v>6</v>
      </c>
      <c r="N28">
        <v>0.23431936134797601</v>
      </c>
      <c r="O28">
        <v>3.8951371551799001E-2</v>
      </c>
      <c r="P28" t="str">
        <f t="shared" si="0"/>
        <v>F</v>
      </c>
      <c r="Q28" t="str">
        <f t="shared" si="1"/>
        <v>T</v>
      </c>
    </row>
    <row r="29" spans="1:17" hidden="1" x14ac:dyDescent="0.3">
      <c r="A29">
        <v>3380</v>
      </c>
      <c r="B29">
        <v>2227</v>
      </c>
      <c r="C29">
        <v>192</v>
      </c>
      <c r="D29" t="s">
        <v>15</v>
      </c>
      <c r="E29" t="s">
        <v>20</v>
      </c>
      <c r="F29" t="s">
        <v>17</v>
      </c>
      <c r="G29" t="s">
        <v>22</v>
      </c>
      <c r="H29">
        <v>276</v>
      </c>
      <c r="I29">
        <v>253</v>
      </c>
      <c r="J29">
        <v>94.6</v>
      </c>
      <c r="K29">
        <v>69</v>
      </c>
      <c r="L29">
        <v>28.5</v>
      </c>
      <c r="M29">
        <v>8</v>
      </c>
      <c r="N29">
        <v>4.4258426636382797E-2</v>
      </c>
      <c r="O29">
        <v>7.2512150985114807E-2</v>
      </c>
      <c r="P29" t="str">
        <f t="shared" si="0"/>
        <v>T</v>
      </c>
      <c r="Q29" t="str">
        <f t="shared" si="1"/>
        <v>F</v>
      </c>
    </row>
    <row r="30" spans="1:17" hidden="1" x14ac:dyDescent="0.3">
      <c r="A30">
        <v>3381</v>
      </c>
      <c r="B30">
        <v>2227</v>
      </c>
      <c r="C30">
        <v>192</v>
      </c>
      <c r="D30" t="s">
        <v>15</v>
      </c>
      <c r="E30" t="s">
        <v>20</v>
      </c>
      <c r="F30" t="s">
        <v>17</v>
      </c>
      <c r="G30" t="s">
        <v>22</v>
      </c>
      <c r="H30">
        <v>276</v>
      </c>
      <c r="I30">
        <v>253</v>
      </c>
      <c r="J30">
        <v>94.6</v>
      </c>
      <c r="K30">
        <v>69</v>
      </c>
      <c r="L30">
        <v>28.5</v>
      </c>
      <c r="M30">
        <v>8</v>
      </c>
      <c r="N30">
        <v>2.8798544336400202E-2</v>
      </c>
      <c r="O30">
        <v>7.3387463884072496E-2</v>
      </c>
      <c r="P30" t="str">
        <f t="shared" si="0"/>
        <v>T</v>
      </c>
      <c r="Q30" t="str">
        <f t="shared" si="1"/>
        <v>F</v>
      </c>
    </row>
    <row r="31" spans="1:17" x14ac:dyDescent="0.3">
      <c r="A31" s="1">
        <v>3382</v>
      </c>
      <c r="B31" s="1">
        <v>2227</v>
      </c>
      <c r="C31" s="1">
        <v>192</v>
      </c>
      <c r="D31" s="1" t="s">
        <v>15</v>
      </c>
      <c r="E31" s="1" t="s">
        <v>20</v>
      </c>
      <c r="F31" s="1" t="s">
        <v>17</v>
      </c>
      <c r="G31" s="1" t="s">
        <v>22</v>
      </c>
      <c r="H31" s="1">
        <v>276</v>
      </c>
      <c r="I31" s="1">
        <v>253</v>
      </c>
      <c r="J31" s="1">
        <v>94.6</v>
      </c>
      <c r="K31" s="1">
        <v>69</v>
      </c>
      <c r="L31" s="1">
        <v>28.5</v>
      </c>
      <c r="M31" s="1">
        <v>8</v>
      </c>
      <c r="N31" s="1">
        <v>1.90331792585599E-2</v>
      </c>
      <c r="O31" s="1">
        <v>4.3069383799289103E-2</v>
      </c>
      <c r="P31" s="1" t="str">
        <f t="shared" si="0"/>
        <v>T</v>
      </c>
      <c r="Q31" s="1" t="str">
        <f t="shared" si="1"/>
        <v>T</v>
      </c>
    </row>
    <row r="32" spans="1:17" hidden="1" x14ac:dyDescent="0.3">
      <c r="A32">
        <v>3383</v>
      </c>
      <c r="B32">
        <v>2227</v>
      </c>
      <c r="C32">
        <v>192</v>
      </c>
      <c r="D32" t="s">
        <v>15</v>
      </c>
      <c r="E32" t="s">
        <v>20</v>
      </c>
      <c r="F32" t="s">
        <v>17</v>
      </c>
      <c r="G32" t="s">
        <v>22</v>
      </c>
      <c r="H32">
        <v>276</v>
      </c>
      <c r="I32">
        <v>253</v>
      </c>
      <c r="J32">
        <v>94.6</v>
      </c>
      <c r="K32">
        <v>69</v>
      </c>
      <c r="L32">
        <v>28.5</v>
      </c>
      <c r="M32">
        <v>8</v>
      </c>
      <c r="N32">
        <v>4.2904721272424097E-2</v>
      </c>
      <c r="O32">
        <v>7.1402390311794198E-2</v>
      </c>
      <c r="P32" t="str">
        <f t="shared" si="0"/>
        <v>T</v>
      </c>
      <c r="Q32" t="str">
        <f t="shared" si="1"/>
        <v>F</v>
      </c>
    </row>
    <row r="33" spans="1:17" hidden="1" x14ac:dyDescent="0.3">
      <c r="A33">
        <v>3489</v>
      </c>
      <c r="B33">
        <v>2266</v>
      </c>
      <c r="C33">
        <v>170</v>
      </c>
      <c r="D33" t="s">
        <v>15</v>
      </c>
      <c r="E33" t="s">
        <v>20</v>
      </c>
      <c r="F33" t="s">
        <v>17</v>
      </c>
      <c r="G33" t="s">
        <v>22</v>
      </c>
      <c r="H33">
        <v>277.10000000000002</v>
      </c>
      <c r="I33">
        <v>250</v>
      </c>
      <c r="J33">
        <v>96.8</v>
      </c>
      <c r="K33">
        <v>69</v>
      </c>
      <c r="L33">
        <v>27.6</v>
      </c>
      <c r="M33">
        <v>10</v>
      </c>
      <c r="N33">
        <v>4.7615891350146197E-2</v>
      </c>
      <c r="O33">
        <v>0.146609726636136</v>
      </c>
      <c r="P33" t="str">
        <f t="shared" si="0"/>
        <v>T</v>
      </c>
      <c r="Q33" t="str">
        <f t="shared" si="1"/>
        <v>F</v>
      </c>
    </row>
    <row r="34" spans="1:17" hidden="1" x14ac:dyDescent="0.3">
      <c r="A34">
        <v>3490</v>
      </c>
      <c r="B34">
        <v>2266</v>
      </c>
      <c r="C34">
        <v>170</v>
      </c>
      <c r="D34" t="s">
        <v>15</v>
      </c>
      <c r="E34" t="s">
        <v>20</v>
      </c>
      <c r="F34" t="s">
        <v>17</v>
      </c>
      <c r="G34" t="s">
        <v>22</v>
      </c>
      <c r="H34">
        <v>277.10000000000002</v>
      </c>
      <c r="I34">
        <v>250</v>
      </c>
      <c r="J34">
        <v>96.8</v>
      </c>
      <c r="K34">
        <v>69</v>
      </c>
      <c r="L34">
        <v>27.6</v>
      </c>
      <c r="M34">
        <v>10</v>
      </c>
      <c r="N34">
        <v>1.8663541068282399E-2</v>
      </c>
      <c r="O34">
        <v>0.158507402443962</v>
      </c>
      <c r="P34" t="str">
        <f t="shared" si="0"/>
        <v>T</v>
      </c>
      <c r="Q34" t="str">
        <f t="shared" si="1"/>
        <v>F</v>
      </c>
    </row>
    <row r="35" spans="1:17" hidden="1" x14ac:dyDescent="0.3">
      <c r="A35">
        <v>3610</v>
      </c>
      <c r="B35">
        <v>2304</v>
      </c>
      <c r="C35">
        <v>161</v>
      </c>
      <c r="D35" t="s">
        <v>15</v>
      </c>
      <c r="E35" t="s">
        <v>20</v>
      </c>
      <c r="F35" t="s">
        <v>17</v>
      </c>
      <c r="G35" t="s">
        <v>22</v>
      </c>
      <c r="H35">
        <v>274.8</v>
      </c>
      <c r="I35">
        <v>251.5</v>
      </c>
      <c r="J35">
        <v>97.3</v>
      </c>
      <c r="K35">
        <v>68.5</v>
      </c>
      <c r="L35">
        <v>27.2</v>
      </c>
      <c r="M35">
        <v>10.5</v>
      </c>
      <c r="N35">
        <v>4.93120060219095E-2</v>
      </c>
      <c r="O35">
        <v>9.4716502832240895E-2</v>
      </c>
      <c r="P35" t="str">
        <f t="shared" si="0"/>
        <v>T</v>
      </c>
      <c r="Q35" t="str">
        <f t="shared" si="1"/>
        <v>F</v>
      </c>
    </row>
    <row r="36" spans="1:17" hidden="1" x14ac:dyDescent="0.3">
      <c r="A36">
        <v>3640</v>
      </c>
      <c r="B36">
        <v>2316</v>
      </c>
      <c r="C36">
        <v>6</v>
      </c>
      <c r="D36" t="s">
        <v>15</v>
      </c>
      <c r="E36" t="s">
        <v>20</v>
      </c>
      <c r="F36" t="s">
        <v>17</v>
      </c>
      <c r="G36" t="s">
        <v>22</v>
      </c>
      <c r="H36">
        <v>275.5</v>
      </c>
      <c r="I36">
        <v>250.5</v>
      </c>
      <c r="J36">
        <v>94.7</v>
      </c>
      <c r="K36">
        <v>66.5</v>
      </c>
      <c r="L36">
        <v>25.3</v>
      </c>
      <c r="M36">
        <v>7.5</v>
      </c>
      <c r="N36">
        <v>0.14485936631753099</v>
      </c>
      <c r="O36">
        <v>1.8753456255741499E-2</v>
      </c>
      <c r="P36" t="str">
        <f t="shared" si="0"/>
        <v>F</v>
      </c>
      <c r="Q36" t="str">
        <f t="shared" si="1"/>
        <v>T</v>
      </c>
    </row>
    <row r="37" spans="1:17" x14ac:dyDescent="0.3">
      <c r="A37">
        <v>3641</v>
      </c>
      <c r="B37">
        <v>2316</v>
      </c>
      <c r="C37">
        <v>6</v>
      </c>
      <c r="D37" t="s">
        <v>15</v>
      </c>
      <c r="E37" t="s">
        <v>20</v>
      </c>
      <c r="F37" t="s">
        <v>17</v>
      </c>
      <c r="G37" t="s">
        <v>22</v>
      </c>
      <c r="H37">
        <v>275.5</v>
      </c>
      <c r="I37">
        <v>250.5</v>
      </c>
      <c r="J37">
        <v>94.7</v>
      </c>
      <c r="K37">
        <v>66.5</v>
      </c>
      <c r="L37">
        <v>25.3</v>
      </c>
      <c r="M37">
        <v>7.5</v>
      </c>
      <c r="N37">
        <v>0.118064975783924</v>
      </c>
      <c r="O37">
        <v>2.0451124268946599E-2</v>
      </c>
      <c r="P37" t="str">
        <f t="shared" si="0"/>
        <v>T</v>
      </c>
      <c r="Q37" t="str">
        <f t="shared" si="1"/>
        <v>T</v>
      </c>
    </row>
    <row r="38" spans="1:17" x14ac:dyDescent="0.3">
      <c r="A38">
        <v>3642</v>
      </c>
      <c r="B38">
        <v>2316</v>
      </c>
      <c r="C38">
        <v>6</v>
      </c>
      <c r="D38" t="s">
        <v>15</v>
      </c>
      <c r="E38" t="s">
        <v>20</v>
      </c>
      <c r="F38" t="s">
        <v>17</v>
      </c>
      <c r="G38" t="s">
        <v>22</v>
      </c>
      <c r="H38">
        <v>275.5</v>
      </c>
      <c r="I38">
        <v>250.5</v>
      </c>
      <c r="J38">
        <v>94.7</v>
      </c>
      <c r="K38">
        <v>66.5</v>
      </c>
      <c r="L38">
        <v>25.3</v>
      </c>
      <c r="M38">
        <v>7.5</v>
      </c>
      <c r="N38">
        <v>0.120909147736074</v>
      </c>
      <c r="O38">
        <v>2.0742911391876E-2</v>
      </c>
      <c r="P38" t="str">
        <f t="shared" si="0"/>
        <v>T</v>
      </c>
      <c r="Q38" t="str">
        <f t="shared" si="1"/>
        <v>T</v>
      </c>
    </row>
    <row r="39" spans="1:17" x14ac:dyDescent="0.3">
      <c r="A39">
        <v>3643</v>
      </c>
      <c r="B39">
        <v>2316</v>
      </c>
      <c r="C39">
        <v>6</v>
      </c>
      <c r="D39" t="s">
        <v>15</v>
      </c>
      <c r="E39" t="s">
        <v>20</v>
      </c>
      <c r="F39" t="s">
        <v>17</v>
      </c>
      <c r="G39" t="s">
        <v>22</v>
      </c>
      <c r="H39">
        <v>275.5</v>
      </c>
      <c r="I39">
        <v>250.5</v>
      </c>
      <c r="J39">
        <v>94.7</v>
      </c>
      <c r="K39">
        <v>66.5</v>
      </c>
      <c r="L39">
        <v>25.3</v>
      </c>
      <c r="M39">
        <v>7.5</v>
      </c>
      <c r="N39">
        <v>0.122176881788973</v>
      </c>
      <c r="O39">
        <v>1.1812114122660399E-2</v>
      </c>
      <c r="P39" t="str">
        <f t="shared" si="0"/>
        <v>T</v>
      </c>
      <c r="Q39" t="str">
        <f t="shared" si="1"/>
        <v>T</v>
      </c>
    </row>
    <row r="40" spans="1:17" hidden="1" x14ac:dyDescent="0.3">
      <c r="A40">
        <v>3727</v>
      </c>
      <c r="B40">
        <v>2352</v>
      </c>
      <c r="C40">
        <v>301</v>
      </c>
      <c r="D40" t="s">
        <v>15</v>
      </c>
      <c r="E40" t="s">
        <v>20</v>
      </c>
      <c r="F40" t="s">
        <v>17</v>
      </c>
      <c r="G40" t="s">
        <v>18</v>
      </c>
      <c r="H40">
        <v>275.5</v>
      </c>
      <c r="I40">
        <v>250</v>
      </c>
      <c r="J40">
        <v>94.4</v>
      </c>
      <c r="K40">
        <v>68.5</v>
      </c>
      <c r="L40">
        <v>22.1</v>
      </c>
      <c r="M40">
        <v>6</v>
      </c>
      <c r="N40">
        <v>0.219566254701207</v>
      </c>
      <c r="O40">
        <v>3.1348169518382499E-2</v>
      </c>
      <c r="P40" t="str">
        <f t="shared" si="0"/>
        <v>F</v>
      </c>
      <c r="Q40" t="str">
        <f t="shared" si="1"/>
        <v>T</v>
      </c>
    </row>
    <row r="41" spans="1:17" hidden="1" x14ac:dyDescent="0.3">
      <c r="A41">
        <v>3728</v>
      </c>
      <c r="B41">
        <v>2352</v>
      </c>
      <c r="C41">
        <v>301</v>
      </c>
      <c r="D41" t="s">
        <v>15</v>
      </c>
      <c r="E41" t="s">
        <v>20</v>
      </c>
      <c r="F41" t="s">
        <v>17</v>
      </c>
      <c r="G41" t="s">
        <v>18</v>
      </c>
      <c r="H41">
        <v>275.5</v>
      </c>
      <c r="I41">
        <v>250</v>
      </c>
      <c r="J41">
        <v>94.4</v>
      </c>
      <c r="K41">
        <v>68.5</v>
      </c>
      <c r="L41">
        <v>22.1</v>
      </c>
      <c r="M41">
        <v>6</v>
      </c>
      <c r="N41">
        <v>0.22043677139982301</v>
      </c>
      <c r="O41">
        <v>1.14664660475785E-2</v>
      </c>
      <c r="P41" t="str">
        <f t="shared" si="0"/>
        <v>F</v>
      </c>
      <c r="Q41" t="str">
        <f t="shared" si="1"/>
        <v>T</v>
      </c>
    </row>
    <row r="42" spans="1:17" hidden="1" x14ac:dyDescent="0.3">
      <c r="A42">
        <v>3729</v>
      </c>
      <c r="B42">
        <v>2352</v>
      </c>
      <c r="C42">
        <v>301</v>
      </c>
      <c r="D42" t="s">
        <v>15</v>
      </c>
      <c r="E42" t="s">
        <v>20</v>
      </c>
      <c r="F42" t="s">
        <v>17</v>
      </c>
      <c r="G42" t="s">
        <v>18</v>
      </c>
      <c r="H42">
        <v>275.5</v>
      </c>
      <c r="I42">
        <v>250</v>
      </c>
      <c r="J42">
        <v>94.4</v>
      </c>
      <c r="K42">
        <v>68.5</v>
      </c>
      <c r="L42">
        <v>22.1</v>
      </c>
      <c r="M42">
        <v>6</v>
      </c>
      <c r="N42">
        <v>0.24270437823690499</v>
      </c>
      <c r="O42">
        <v>3.2942587730661402E-2</v>
      </c>
      <c r="P42" t="str">
        <f t="shared" si="0"/>
        <v>F</v>
      </c>
      <c r="Q42" t="str">
        <f t="shared" si="1"/>
        <v>T</v>
      </c>
    </row>
    <row r="43" spans="1:17" hidden="1" x14ac:dyDescent="0.3">
      <c r="A43">
        <v>3821</v>
      </c>
      <c r="B43">
        <v>2382</v>
      </c>
      <c r="C43">
        <v>177</v>
      </c>
      <c r="D43" t="s">
        <v>15</v>
      </c>
      <c r="E43" t="s">
        <v>20</v>
      </c>
      <c r="F43" t="s">
        <v>17</v>
      </c>
      <c r="G43" t="s">
        <v>22</v>
      </c>
      <c r="H43">
        <v>277</v>
      </c>
      <c r="I43">
        <v>242.5</v>
      </c>
      <c r="J43">
        <v>94.7</v>
      </c>
      <c r="K43">
        <v>64.5</v>
      </c>
      <c r="L43">
        <v>26.5</v>
      </c>
      <c r="M43">
        <v>12.5</v>
      </c>
      <c r="N43">
        <v>4.1839740176855697E-2</v>
      </c>
      <c r="O43">
        <v>0.16953361372093301</v>
      </c>
      <c r="P43" t="str">
        <f t="shared" si="0"/>
        <v>T</v>
      </c>
      <c r="Q43" t="str">
        <f t="shared" si="1"/>
        <v>F</v>
      </c>
    </row>
    <row r="44" spans="1:17" hidden="1" x14ac:dyDescent="0.3">
      <c r="A44">
        <v>3842</v>
      </c>
      <c r="B44">
        <v>2389</v>
      </c>
      <c r="C44">
        <v>6</v>
      </c>
      <c r="D44" t="s">
        <v>15</v>
      </c>
      <c r="E44" t="s">
        <v>20</v>
      </c>
      <c r="F44" t="s">
        <v>17</v>
      </c>
      <c r="G44" t="s">
        <v>18</v>
      </c>
      <c r="H44">
        <v>275.5</v>
      </c>
      <c r="I44">
        <v>250.5</v>
      </c>
      <c r="J44">
        <v>94.7</v>
      </c>
      <c r="K44">
        <v>66.5</v>
      </c>
      <c r="L44">
        <v>25.3</v>
      </c>
      <c r="M44">
        <v>7.5</v>
      </c>
      <c r="N44">
        <v>0.14106179767000901</v>
      </c>
      <c r="O44">
        <v>5.4990677402369896E-3</v>
      </c>
      <c r="P44" t="str">
        <f t="shared" si="0"/>
        <v>F</v>
      </c>
      <c r="Q44" t="str">
        <f t="shared" si="1"/>
        <v>T</v>
      </c>
    </row>
    <row r="45" spans="1:17" x14ac:dyDescent="0.3">
      <c r="A45">
        <v>3989</v>
      </c>
      <c r="B45">
        <v>2446</v>
      </c>
      <c r="C45">
        <v>6</v>
      </c>
      <c r="D45" t="s">
        <v>15</v>
      </c>
      <c r="E45" t="s">
        <v>20</v>
      </c>
      <c r="F45" t="s">
        <v>17</v>
      </c>
      <c r="G45" t="s">
        <v>22</v>
      </c>
      <c r="H45">
        <v>275.5</v>
      </c>
      <c r="I45">
        <v>250.5</v>
      </c>
      <c r="J45">
        <v>94.7</v>
      </c>
      <c r="K45">
        <v>66.5</v>
      </c>
      <c r="L45">
        <v>25.3</v>
      </c>
      <c r="M45">
        <v>7.5</v>
      </c>
      <c r="N45">
        <v>0.107242426752408</v>
      </c>
      <c r="O45">
        <v>9.3628925077685003E-3</v>
      </c>
      <c r="P45" t="str">
        <f t="shared" si="0"/>
        <v>T</v>
      </c>
      <c r="Q45" t="str">
        <f t="shared" si="1"/>
        <v>T</v>
      </c>
    </row>
    <row r="46" spans="1:17" hidden="1" x14ac:dyDescent="0.3">
      <c r="A46">
        <v>4120</v>
      </c>
      <c r="B46">
        <v>2497</v>
      </c>
      <c r="C46">
        <v>434</v>
      </c>
      <c r="D46" t="s">
        <v>15</v>
      </c>
      <c r="E46" t="s">
        <v>20</v>
      </c>
      <c r="F46" t="s">
        <v>17</v>
      </c>
      <c r="G46" t="s">
        <v>22</v>
      </c>
      <c r="H46">
        <v>279.10000000000002</v>
      </c>
      <c r="I46">
        <v>250</v>
      </c>
      <c r="J46">
        <v>93.3</v>
      </c>
      <c r="K46">
        <v>66</v>
      </c>
      <c r="L46">
        <v>27.9</v>
      </c>
      <c r="M46">
        <v>6</v>
      </c>
      <c r="N46">
        <v>0.25872151442152103</v>
      </c>
      <c r="O46">
        <v>1.7269620143863001E-2</v>
      </c>
      <c r="P46" t="str">
        <f t="shared" si="0"/>
        <v>F</v>
      </c>
      <c r="Q46" t="str">
        <f t="shared" si="1"/>
        <v>T</v>
      </c>
    </row>
    <row r="47" spans="1:17" hidden="1" x14ac:dyDescent="0.3">
      <c r="A47">
        <v>4121</v>
      </c>
      <c r="B47">
        <v>2497</v>
      </c>
      <c r="C47">
        <v>434</v>
      </c>
      <c r="D47" t="s">
        <v>15</v>
      </c>
      <c r="E47" t="s">
        <v>20</v>
      </c>
      <c r="F47" t="s">
        <v>17</v>
      </c>
      <c r="G47" t="s">
        <v>22</v>
      </c>
      <c r="H47">
        <v>279.10000000000002</v>
      </c>
      <c r="I47">
        <v>250</v>
      </c>
      <c r="J47">
        <v>93.3</v>
      </c>
      <c r="K47">
        <v>66</v>
      </c>
      <c r="L47">
        <v>27.9</v>
      </c>
      <c r="M47">
        <v>6</v>
      </c>
      <c r="N47">
        <v>0.25809564580858502</v>
      </c>
      <c r="O47">
        <v>2.21710274581573E-2</v>
      </c>
      <c r="P47" t="str">
        <f t="shared" si="0"/>
        <v>F</v>
      </c>
      <c r="Q47" t="str">
        <f t="shared" si="1"/>
        <v>T</v>
      </c>
    </row>
    <row r="48" spans="1:17" hidden="1" x14ac:dyDescent="0.3">
      <c r="A48">
        <v>4122</v>
      </c>
      <c r="B48">
        <v>2497</v>
      </c>
      <c r="C48">
        <v>434</v>
      </c>
      <c r="D48" t="s">
        <v>15</v>
      </c>
      <c r="E48" t="s">
        <v>20</v>
      </c>
      <c r="F48" t="s">
        <v>17</v>
      </c>
      <c r="G48" t="s">
        <v>22</v>
      </c>
      <c r="H48">
        <v>279.10000000000002</v>
      </c>
      <c r="I48">
        <v>250</v>
      </c>
      <c r="J48">
        <v>93.3</v>
      </c>
      <c r="K48">
        <v>66</v>
      </c>
      <c r="L48">
        <v>27.9</v>
      </c>
      <c r="M48">
        <v>6</v>
      </c>
      <c r="N48">
        <v>0.28306989011774097</v>
      </c>
      <c r="O48">
        <v>3.7774306245236401E-2</v>
      </c>
      <c r="P48" t="str">
        <f t="shared" si="0"/>
        <v>F</v>
      </c>
      <c r="Q48" t="str">
        <f t="shared" si="1"/>
        <v>T</v>
      </c>
    </row>
    <row r="49" spans="1:17" hidden="1" x14ac:dyDescent="0.3">
      <c r="A49">
        <v>4315</v>
      </c>
      <c r="B49">
        <v>2575</v>
      </c>
      <c r="C49">
        <v>434</v>
      </c>
      <c r="D49" t="s">
        <v>15</v>
      </c>
      <c r="E49" t="s">
        <v>20</v>
      </c>
      <c r="F49" t="s">
        <v>17</v>
      </c>
      <c r="G49" t="s">
        <v>18</v>
      </c>
      <c r="H49">
        <v>279.10000000000002</v>
      </c>
      <c r="I49">
        <v>250</v>
      </c>
      <c r="J49">
        <v>93.3</v>
      </c>
      <c r="K49">
        <v>66</v>
      </c>
      <c r="L49">
        <v>27.9</v>
      </c>
      <c r="M49">
        <v>6</v>
      </c>
      <c r="N49">
        <v>0.27597364356923998</v>
      </c>
      <c r="O49">
        <v>5.1678508883601301E-2</v>
      </c>
      <c r="P49" t="str">
        <f t="shared" si="0"/>
        <v>F</v>
      </c>
      <c r="Q49" t="str">
        <f t="shared" si="1"/>
        <v>F</v>
      </c>
    </row>
    <row r="50" spans="1:17" hidden="1" x14ac:dyDescent="0.3">
      <c r="A50">
        <v>4826</v>
      </c>
      <c r="B50">
        <v>2760</v>
      </c>
      <c r="C50">
        <v>244</v>
      </c>
      <c r="D50" t="s">
        <v>15</v>
      </c>
      <c r="E50" t="s">
        <v>20</v>
      </c>
      <c r="F50" t="s">
        <v>17</v>
      </c>
      <c r="G50" t="s">
        <v>22</v>
      </c>
      <c r="H50">
        <v>272.7</v>
      </c>
      <c r="I50">
        <v>237</v>
      </c>
      <c r="J50">
        <v>92.4</v>
      </c>
      <c r="K50">
        <v>64.5</v>
      </c>
      <c r="L50">
        <v>20.6</v>
      </c>
      <c r="M50">
        <v>9</v>
      </c>
      <c r="N50">
        <v>0.23362477677624999</v>
      </c>
      <c r="O50">
        <v>5.5575071871314802E-2</v>
      </c>
      <c r="P50" t="str">
        <f t="shared" si="0"/>
        <v>F</v>
      </c>
      <c r="Q50" t="str">
        <f t="shared" si="1"/>
        <v>F</v>
      </c>
    </row>
    <row r="51" spans="1:17" hidden="1" x14ac:dyDescent="0.3">
      <c r="A51">
        <v>4827</v>
      </c>
      <c r="B51">
        <v>2760</v>
      </c>
      <c r="C51">
        <v>244</v>
      </c>
      <c r="D51" t="s">
        <v>15</v>
      </c>
      <c r="E51" t="s">
        <v>20</v>
      </c>
      <c r="F51" t="s">
        <v>17</v>
      </c>
      <c r="G51" t="s">
        <v>22</v>
      </c>
      <c r="H51">
        <v>272.7</v>
      </c>
      <c r="I51">
        <v>237</v>
      </c>
      <c r="J51">
        <v>92.4</v>
      </c>
      <c r="K51">
        <v>64.5</v>
      </c>
      <c r="L51">
        <v>20.6</v>
      </c>
      <c r="M51">
        <v>9</v>
      </c>
      <c r="N51">
        <v>0.26645363346550599</v>
      </c>
      <c r="O51">
        <v>4.77713851778645E-2</v>
      </c>
      <c r="P51" t="str">
        <f t="shared" si="0"/>
        <v>F</v>
      </c>
      <c r="Q51" t="str">
        <f t="shared" si="1"/>
        <v>T</v>
      </c>
    </row>
    <row r="52" spans="1:17" hidden="1" x14ac:dyDescent="0.3">
      <c r="A52">
        <v>4828</v>
      </c>
      <c r="B52">
        <v>2760</v>
      </c>
      <c r="C52">
        <v>244</v>
      </c>
      <c r="D52" t="s">
        <v>15</v>
      </c>
      <c r="E52" t="s">
        <v>20</v>
      </c>
      <c r="F52" t="s">
        <v>17</v>
      </c>
      <c r="G52" t="s">
        <v>22</v>
      </c>
      <c r="H52">
        <v>272.7</v>
      </c>
      <c r="I52">
        <v>237</v>
      </c>
      <c r="J52">
        <v>92.4</v>
      </c>
      <c r="K52">
        <v>64.5</v>
      </c>
      <c r="L52">
        <v>20.6</v>
      </c>
      <c r="M52">
        <v>9</v>
      </c>
      <c r="N52">
        <v>0.24079943095640899</v>
      </c>
      <c r="O52">
        <v>3.4240839075386199E-2</v>
      </c>
      <c r="P52" t="str">
        <f t="shared" si="0"/>
        <v>F</v>
      </c>
      <c r="Q52" t="str">
        <f t="shared" si="1"/>
        <v>T</v>
      </c>
    </row>
    <row r="53" spans="1:17" hidden="1" x14ac:dyDescent="0.3">
      <c r="A53">
        <v>4943</v>
      </c>
      <c r="B53">
        <v>2801</v>
      </c>
      <c r="C53">
        <v>75</v>
      </c>
      <c r="D53" t="s">
        <v>15</v>
      </c>
      <c r="E53" t="s">
        <v>20</v>
      </c>
      <c r="F53" t="s">
        <v>17</v>
      </c>
      <c r="G53" t="s">
        <v>18</v>
      </c>
      <c r="H53">
        <v>278</v>
      </c>
      <c r="I53">
        <v>259</v>
      </c>
      <c r="J53">
        <v>97.6</v>
      </c>
      <c r="K53">
        <v>68.5</v>
      </c>
      <c r="L53">
        <v>26.2</v>
      </c>
      <c r="M53">
        <v>4</v>
      </c>
      <c r="N53">
        <v>0.132409401861347</v>
      </c>
      <c r="O53">
        <v>0.15597533757875201</v>
      </c>
      <c r="P53" t="str">
        <f t="shared" si="0"/>
        <v>F</v>
      </c>
      <c r="Q53" t="str">
        <f t="shared" si="1"/>
        <v>F</v>
      </c>
    </row>
    <row r="54" spans="1:17" hidden="1" x14ac:dyDescent="0.3">
      <c r="A54">
        <v>4944</v>
      </c>
      <c r="B54">
        <v>2801</v>
      </c>
      <c r="C54">
        <v>75</v>
      </c>
      <c r="D54" t="s">
        <v>15</v>
      </c>
      <c r="E54" t="s">
        <v>20</v>
      </c>
      <c r="F54" t="s">
        <v>17</v>
      </c>
      <c r="G54" t="s">
        <v>18</v>
      </c>
      <c r="H54">
        <v>278</v>
      </c>
      <c r="I54">
        <v>259</v>
      </c>
      <c r="J54">
        <v>97.6</v>
      </c>
      <c r="K54">
        <v>68.5</v>
      </c>
      <c r="L54">
        <v>26.2</v>
      </c>
      <c r="M54">
        <v>4</v>
      </c>
      <c r="N54">
        <v>0.118935934899546</v>
      </c>
      <c r="O54">
        <v>0.169749713226229</v>
      </c>
      <c r="P54" t="str">
        <f t="shared" si="0"/>
        <v>T</v>
      </c>
      <c r="Q54" t="str">
        <f t="shared" si="1"/>
        <v>F</v>
      </c>
    </row>
    <row r="55" spans="1:17" hidden="1" x14ac:dyDescent="0.3">
      <c r="A55">
        <v>4945</v>
      </c>
      <c r="B55">
        <v>2801</v>
      </c>
      <c r="C55">
        <v>75</v>
      </c>
      <c r="D55" t="s">
        <v>15</v>
      </c>
      <c r="E55" t="s">
        <v>20</v>
      </c>
      <c r="F55" t="s">
        <v>17</v>
      </c>
      <c r="G55" t="s">
        <v>18</v>
      </c>
      <c r="H55">
        <v>278</v>
      </c>
      <c r="I55">
        <v>259</v>
      </c>
      <c r="J55">
        <v>97.6</v>
      </c>
      <c r="K55">
        <v>68.5</v>
      </c>
      <c r="L55">
        <v>26.2</v>
      </c>
      <c r="M55">
        <v>4</v>
      </c>
      <c r="N55">
        <v>0.11857625862116</v>
      </c>
      <c r="O55">
        <v>0.14915022978880699</v>
      </c>
      <c r="P55" t="str">
        <f t="shared" si="0"/>
        <v>T</v>
      </c>
      <c r="Q55" t="str">
        <f t="shared" si="1"/>
        <v>F</v>
      </c>
    </row>
    <row r="56" spans="1:17" hidden="1" x14ac:dyDescent="0.3">
      <c r="A56">
        <v>5013</v>
      </c>
      <c r="B56">
        <v>2830</v>
      </c>
      <c r="C56">
        <v>227</v>
      </c>
      <c r="D56" t="s">
        <v>15</v>
      </c>
      <c r="E56" t="s">
        <v>20</v>
      </c>
      <c r="F56" t="s">
        <v>17</v>
      </c>
      <c r="G56" t="s">
        <v>22</v>
      </c>
      <c r="H56">
        <v>281.2</v>
      </c>
      <c r="I56">
        <v>257</v>
      </c>
      <c r="J56">
        <v>100.5</v>
      </c>
      <c r="K56">
        <v>67</v>
      </c>
      <c r="L56">
        <v>25.4</v>
      </c>
      <c r="M56">
        <v>12.5</v>
      </c>
      <c r="N56">
        <v>5.1120640037280098E-2</v>
      </c>
      <c r="O56">
        <v>0.16268514335380199</v>
      </c>
      <c r="P56" t="str">
        <f t="shared" si="0"/>
        <v>T</v>
      </c>
      <c r="Q56" t="str">
        <f t="shared" si="1"/>
        <v>F</v>
      </c>
    </row>
    <row r="57" spans="1:17" hidden="1" x14ac:dyDescent="0.3">
      <c r="A57">
        <v>5014</v>
      </c>
      <c r="B57">
        <v>2830</v>
      </c>
      <c r="C57">
        <v>227</v>
      </c>
      <c r="D57" t="s">
        <v>15</v>
      </c>
      <c r="E57" t="s">
        <v>20</v>
      </c>
      <c r="F57" t="s">
        <v>17</v>
      </c>
      <c r="G57" t="s">
        <v>22</v>
      </c>
      <c r="H57">
        <v>281.2</v>
      </c>
      <c r="I57">
        <v>257</v>
      </c>
      <c r="J57">
        <v>100.5</v>
      </c>
      <c r="K57">
        <v>67</v>
      </c>
      <c r="L57">
        <v>25.4</v>
      </c>
      <c r="M57">
        <v>12.5</v>
      </c>
      <c r="N57">
        <v>7.4377768960709106E-2</v>
      </c>
      <c r="O57">
        <v>0.12729028639643999</v>
      </c>
      <c r="P57" t="str">
        <f t="shared" si="0"/>
        <v>T</v>
      </c>
      <c r="Q57" t="str">
        <f t="shared" si="1"/>
        <v>F</v>
      </c>
    </row>
    <row r="58" spans="1:17" hidden="1" x14ac:dyDescent="0.3">
      <c r="A58">
        <v>5447</v>
      </c>
      <c r="B58">
        <v>2983</v>
      </c>
      <c r="C58">
        <v>301</v>
      </c>
      <c r="D58" t="s">
        <v>15</v>
      </c>
      <c r="E58" t="s">
        <v>20</v>
      </c>
      <c r="F58" t="s">
        <v>17</v>
      </c>
      <c r="G58" t="s">
        <v>18</v>
      </c>
      <c r="H58">
        <v>275.5</v>
      </c>
      <c r="I58">
        <v>250</v>
      </c>
      <c r="J58">
        <v>94.4</v>
      </c>
      <c r="K58">
        <v>68.5</v>
      </c>
      <c r="L58">
        <v>22.1</v>
      </c>
      <c r="M58">
        <v>6</v>
      </c>
      <c r="N58">
        <v>0.24259321166548001</v>
      </c>
      <c r="O58">
        <v>1.4047233389156E-2</v>
      </c>
      <c r="P58" t="str">
        <f t="shared" si="0"/>
        <v>F</v>
      </c>
      <c r="Q58" t="str">
        <f t="shared" si="1"/>
        <v>T</v>
      </c>
    </row>
    <row r="59" spans="1:17" hidden="1" x14ac:dyDescent="0.3">
      <c r="A59">
        <v>5448</v>
      </c>
      <c r="B59">
        <v>2983</v>
      </c>
      <c r="C59">
        <v>301</v>
      </c>
      <c r="D59" t="s">
        <v>15</v>
      </c>
      <c r="E59" t="s">
        <v>20</v>
      </c>
      <c r="F59" t="s">
        <v>17</v>
      </c>
      <c r="G59" t="s">
        <v>18</v>
      </c>
      <c r="H59">
        <v>275.5</v>
      </c>
      <c r="I59">
        <v>250</v>
      </c>
      <c r="J59">
        <v>94.4</v>
      </c>
      <c r="K59">
        <v>68.5</v>
      </c>
      <c r="L59">
        <v>22.1</v>
      </c>
      <c r="M59">
        <v>6</v>
      </c>
      <c r="N59">
        <v>0.22090060390633001</v>
      </c>
      <c r="O59">
        <v>1.1760846621907999E-2</v>
      </c>
      <c r="P59" t="str">
        <f t="shared" si="0"/>
        <v>F</v>
      </c>
      <c r="Q59" t="str">
        <f t="shared" si="1"/>
        <v>T</v>
      </c>
    </row>
    <row r="60" spans="1:17" hidden="1" x14ac:dyDescent="0.3">
      <c r="A60">
        <v>5552</v>
      </c>
      <c r="B60">
        <v>3020</v>
      </c>
      <c r="C60">
        <v>75</v>
      </c>
      <c r="D60" t="s">
        <v>15</v>
      </c>
      <c r="E60" t="s">
        <v>20</v>
      </c>
      <c r="F60" t="s">
        <v>17</v>
      </c>
      <c r="G60" t="s">
        <v>18</v>
      </c>
      <c r="H60">
        <v>278</v>
      </c>
      <c r="I60">
        <v>259</v>
      </c>
      <c r="J60">
        <v>97.6</v>
      </c>
      <c r="K60">
        <v>68.5</v>
      </c>
      <c r="L60">
        <v>26.2</v>
      </c>
      <c r="M60">
        <v>4</v>
      </c>
      <c r="N60">
        <v>0.15145533411803799</v>
      </c>
      <c r="O60">
        <v>0.15064986663444299</v>
      </c>
      <c r="P60" t="str">
        <f t="shared" si="0"/>
        <v>F</v>
      </c>
      <c r="Q60" t="str">
        <f t="shared" si="1"/>
        <v>F</v>
      </c>
    </row>
    <row r="61" spans="1:17" hidden="1" x14ac:dyDescent="0.3">
      <c r="A61">
        <v>5553</v>
      </c>
      <c r="B61">
        <v>3020</v>
      </c>
      <c r="C61">
        <v>75</v>
      </c>
      <c r="D61" t="s">
        <v>15</v>
      </c>
      <c r="E61" t="s">
        <v>20</v>
      </c>
      <c r="F61" t="s">
        <v>17</v>
      </c>
      <c r="G61" t="s">
        <v>18</v>
      </c>
      <c r="H61">
        <v>278</v>
      </c>
      <c r="I61">
        <v>259</v>
      </c>
      <c r="J61">
        <v>97.6</v>
      </c>
      <c r="K61">
        <v>68.5</v>
      </c>
      <c r="L61">
        <v>26.2</v>
      </c>
      <c r="M61">
        <v>4</v>
      </c>
      <c r="N61">
        <v>0.14092144575784299</v>
      </c>
      <c r="O61">
        <v>0.16739922521721201</v>
      </c>
      <c r="P61" t="str">
        <f t="shared" si="0"/>
        <v>F</v>
      </c>
      <c r="Q61" t="str">
        <f t="shared" si="1"/>
        <v>F</v>
      </c>
    </row>
    <row r="62" spans="1:17" hidden="1" x14ac:dyDescent="0.3">
      <c r="A62">
        <v>5687</v>
      </c>
      <c r="B62">
        <v>307</v>
      </c>
      <c r="C62">
        <v>227</v>
      </c>
      <c r="D62" t="s">
        <v>15</v>
      </c>
      <c r="E62" t="s">
        <v>20</v>
      </c>
      <c r="F62" t="s">
        <v>21</v>
      </c>
      <c r="G62" t="s">
        <v>18</v>
      </c>
      <c r="H62">
        <v>281.2</v>
      </c>
      <c r="I62">
        <v>257</v>
      </c>
      <c r="J62">
        <v>100.5</v>
      </c>
      <c r="K62">
        <v>67</v>
      </c>
      <c r="L62">
        <v>25.4</v>
      </c>
      <c r="M62">
        <v>12.5</v>
      </c>
      <c r="N62">
        <v>7.6472296892383496E-2</v>
      </c>
      <c r="O62">
        <v>0.15213526242449499</v>
      </c>
      <c r="P62" t="str">
        <f t="shared" si="0"/>
        <v>T</v>
      </c>
      <c r="Q62" t="str">
        <f t="shared" si="1"/>
        <v>F</v>
      </c>
    </row>
    <row r="63" spans="1:17" hidden="1" x14ac:dyDescent="0.3">
      <c r="A63">
        <v>6167</v>
      </c>
      <c r="B63">
        <v>3241</v>
      </c>
      <c r="C63">
        <v>148</v>
      </c>
      <c r="D63" t="s">
        <v>15</v>
      </c>
      <c r="E63" t="s">
        <v>20</v>
      </c>
      <c r="F63" t="s">
        <v>17</v>
      </c>
      <c r="G63" t="s">
        <v>22</v>
      </c>
      <c r="H63">
        <v>273.39999999999998</v>
      </c>
      <c r="I63">
        <v>237.5</v>
      </c>
      <c r="J63">
        <v>91.6</v>
      </c>
      <c r="K63">
        <v>66</v>
      </c>
      <c r="L63">
        <v>26</v>
      </c>
      <c r="M63">
        <v>4.5</v>
      </c>
      <c r="N63">
        <v>0.16796670140186801</v>
      </c>
      <c r="O63">
        <v>0.14267451329568201</v>
      </c>
      <c r="P63" t="str">
        <f t="shared" si="0"/>
        <v>F</v>
      </c>
      <c r="Q63" t="str">
        <f t="shared" si="1"/>
        <v>F</v>
      </c>
    </row>
    <row r="64" spans="1:17" hidden="1" x14ac:dyDescent="0.3">
      <c r="A64">
        <v>6169</v>
      </c>
      <c r="B64">
        <v>3241</v>
      </c>
      <c r="C64">
        <v>148</v>
      </c>
      <c r="D64" t="s">
        <v>15</v>
      </c>
      <c r="E64" t="s">
        <v>20</v>
      </c>
      <c r="F64" t="s">
        <v>17</v>
      </c>
      <c r="G64" t="s">
        <v>22</v>
      </c>
      <c r="H64">
        <v>273.39999999999998</v>
      </c>
      <c r="I64">
        <v>237.5</v>
      </c>
      <c r="J64">
        <v>91.6</v>
      </c>
      <c r="K64">
        <v>66</v>
      </c>
      <c r="L64">
        <v>26</v>
      </c>
      <c r="M64">
        <v>4.5</v>
      </c>
      <c r="N64">
        <v>0.20218164838551</v>
      </c>
      <c r="O64">
        <v>0.12934805289885801</v>
      </c>
      <c r="P64" t="str">
        <f t="shared" si="0"/>
        <v>F</v>
      </c>
      <c r="Q64" t="str">
        <f t="shared" si="1"/>
        <v>F</v>
      </c>
    </row>
    <row r="65" spans="1:17" hidden="1" x14ac:dyDescent="0.3">
      <c r="A65">
        <v>6170</v>
      </c>
      <c r="B65">
        <v>3241</v>
      </c>
      <c r="C65">
        <v>148</v>
      </c>
      <c r="D65" t="s">
        <v>15</v>
      </c>
      <c r="E65" t="s">
        <v>20</v>
      </c>
      <c r="F65" t="s">
        <v>17</v>
      </c>
      <c r="G65" t="s">
        <v>22</v>
      </c>
      <c r="H65">
        <v>273.39999999999998</v>
      </c>
      <c r="I65">
        <v>237.5</v>
      </c>
      <c r="J65">
        <v>91.6</v>
      </c>
      <c r="K65">
        <v>66</v>
      </c>
      <c r="L65">
        <v>26</v>
      </c>
      <c r="M65">
        <v>4.5</v>
      </c>
      <c r="N65">
        <v>0.198641524037805</v>
      </c>
      <c r="O65">
        <v>0.133030061040356</v>
      </c>
      <c r="P65" t="str">
        <f t="shared" si="0"/>
        <v>F</v>
      </c>
      <c r="Q65" t="str">
        <f t="shared" si="1"/>
        <v>F</v>
      </c>
    </row>
    <row r="66" spans="1:17" hidden="1" x14ac:dyDescent="0.3">
      <c r="A66">
        <v>6334</v>
      </c>
      <c r="B66">
        <v>33</v>
      </c>
      <c r="C66">
        <v>244</v>
      </c>
      <c r="D66" t="s">
        <v>15</v>
      </c>
      <c r="E66" t="s">
        <v>20</v>
      </c>
      <c r="F66" t="s">
        <v>21</v>
      </c>
      <c r="G66" t="s">
        <v>22</v>
      </c>
      <c r="H66">
        <v>272.7</v>
      </c>
      <c r="I66">
        <v>237</v>
      </c>
      <c r="J66">
        <v>92.4</v>
      </c>
      <c r="K66">
        <v>64.5</v>
      </c>
      <c r="L66">
        <v>20.6</v>
      </c>
      <c r="M66">
        <v>9</v>
      </c>
      <c r="N66">
        <v>0.24496840224153199</v>
      </c>
      <c r="O66">
        <v>6.8353360149061307E-2</v>
      </c>
      <c r="P66" t="str">
        <f t="shared" si="0"/>
        <v>F</v>
      </c>
      <c r="Q66" t="str">
        <f t="shared" si="1"/>
        <v>F</v>
      </c>
    </row>
    <row r="67" spans="1:17" hidden="1" x14ac:dyDescent="0.3">
      <c r="A67">
        <v>6335</v>
      </c>
      <c r="B67">
        <v>33</v>
      </c>
      <c r="C67">
        <v>244</v>
      </c>
      <c r="D67" t="s">
        <v>15</v>
      </c>
      <c r="E67" t="s">
        <v>20</v>
      </c>
      <c r="F67" t="s">
        <v>21</v>
      </c>
      <c r="G67" t="s">
        <v>22</v>
      </c>
      <c r="H67">
        <v>272.7</v>
      </c>
      <c r="I67">
        <v>237</v>
      </c>
      <c r="J67">
        <v>92.4</v>
      </c>
      <c r="K67">
        <v>64.5</v>
      </c>
      <c r="L67">
        <v>20.6</v>
      </c>
      <c r="M67">
        <v>9</v>
      </c>
      <c r="N67">
        <v>0.25761690394190401</v>
      </c>
      <c r="O67">
        <v>4.2047512595142902E-2</v>
      </c>
      <c r="P67" t="str">
        <f t="shared" ref="P67:P105" si="2">IF(N67&lt;0.125854, "T", "F")</f>
        <v>F</v>
      </c>
      <c r="Q67" t="str">
        <f t="shared" ref="Q67:Q105" si="3">IF(O67&lt;0.047822, "T", "F")</f>
        <v>T</v>
      </c>
    </row>
    <row r="68" spans="1:17" hidden="1" x14ac:dyDescent="0.3">
      <c r="A68">
        <v>6336</v>
      </c>
      <c r="B68">
        <v>33</v>
      </c>
      <c r="C68">
        <v>244</v>
      </c>
      <c r="D68" t="s">
        <v>15</v>
      </c>
      <c r="E68" t="s">
        <v>20</v>
      </c>
      <c r="F68" t="s">
        <v>21</v>
      </c>
      <c r="G68" t="s">
        <v>22</v>
      </c>
      <c r="H68">
        <v>272.7</v>
      </c>
      <c r="I68">
        <v>237</v>
      </c>
      <c r="J68">
        <v>92.4</v>
      </c>
      <c r="K68">
        <v>64.5</v>
      </c>
      <c r="L68">
        <v>20.6</v>
      </c>
      <c r="M68">
        <v>9</v>
      </c>
      <c r="N68">
        <v>0.27549729370273901</v>
      </c>
      <c r="O68">
        <v>5.9690218429496997E-2</v>
      </c>
      <c r="P68" t="str">
        <f t="shared" si="2"/>
        <v>F</v>
      </c>
      <c r="Q68" t="str">
        <f t="shared" si="3"/>
        <v>F</v>
      </c>
    </row>
    <row r="69" spans="1:17" hidden="1" x14ac:dyDescent="0.3">
      <c r="A69">
        <v>6337</v>
      </c>
      <c r="B69">
        <v>33</v>
      </c>
      <c r="C69">
        <v>244</v>
      </c>
      <c r="D69" t="s">
        <v>15</v>
      </c>
      <c r="E69" t="s">
        <v>20</v>
      </c>
      <c r="F69" t="s">
        <v>21</v>
      </c>
      <c r="G69" t="s">
        <v>22</v>
      </c>
      <c r="H69">
        <v>272.7</v>
      </c>
      <c r="I69">
        <v>237</v>
      </c>
      <c r="J69">
        <v>92.4</v>
      </c>
      <c r="K69">
        <v>64.5</v>
      </c>
      <c r="L69">
        <v>20.6</v>
      </c>
      <c r="M69">
        <v>9</v>
      </c>
      <c r="N69">
        <v>0.257015301439457</v>
      </c>
      <c r="O69">
        <v>7.1912450318707299E-2</v>
      </c>
      <c r="P69" t="str">
        <f t="shared" si="2"/>
        <v>F</v>
      </c>
      <c r="Q69" t="str">
        <f t="shared" si="3"/>
        <v>F</v>
      </c>
    </row>
    <row r="70" spans="1:17" hidden="1" x14ac:dyDescent="0.3">
      <c r="A70">
        <v>6338</v>
      </c>
      <c r="B70">
        <v>33</v>
      </c>
      <c r="C70">
        <v>244</v>
      </c>
      <c r="D70" t="s">
        <v>15</v>
      </c>
      <c r="E70" t="s">
        <v>20</v>
      </c>
      <c r="F70" t="s">
        <v>21</v>
      </c>
      <c r="G70" t="s">
        <v>22</v>
      </c>
      <c r="H70">
        <v>272.7</v>
      </c>
      <c r="I70">
        <v>237</v>
      </c>
      <c r="J70">
        <v>92.4</v>
      </c>
      <c r="K70">
        <v>64.5</v>
      </c>
      <c r="L70">
        <v>20.6</v>
      </c>
      <c r="M70">
        <v>9</v>
      </c>
      <c r="N70">
        <v>0.26674814254915602</v>
      </c>
      <c r="O70">
        <v>7.5949273516079496E-2</v>
      </c>
      <c r="P70" t="str">
        <f t="shared" si="2"/>
        <v>F</v>
      </c>
      <c r="Q70" t="str">
        <f t="shared" si="3"/>
        <v>F</v>
      </c>
    </row>
    <row r="71" spans="1:17" hidden="1" x14ac:dyDescent="0.3">
      <c r="A71">
        <v>6339</v>
      </c>
      <c r="B71">
        <v>33</v>
      </c>
      <c r="C71">
        <v>244</v>
      </c>
      <c r="D71" t="s">
        <v>15</v>
      </c>
      <c r="E71" t="s">
        <v>20</v>
      </c>
      <c r="F71" t="s">
        <v>21</v>
      </c>
      <c r="G71" t="s">
        <v>22</v>
      </c>
      <c r="H71">
        <v>272.7</v>
      </c>
      <c r="I71">
        <v>237</v>
      </c>
      <c r="J71">
        <v>92.4</v>
      </c>
      <c r="K71">
        <v>64.5</v>
      </c>
      <c r="L71">
        <v>20.6</v>
      </c>
      <c r="M71">
        <v>9</v>
      </c>
      <c r="N71">
        <v>0.26525643773743002</v>
      </c>
      <c r="O71">
        <v>5.85099227944798E-2</v>
      </c>
      <c r="P71" t="str">
        <f t="shared" si="2"/>
        <v>F</v>
      </c>
      <c r="Q71" t="str">
        <f t="shared" si="3"/>
        <v>F</v>
      </c>
    </row>
    <row r="72" spans="1:17" hidden="1" x14ac:dyDescent="0.3">
      <c r="A72">
        <v>6504</v>
      </c>
      <c r="B72">
        <v>3362</v>
      </c>
      <c r="C72">
        <v>244</v>
      </c>
      <c r="D72" t="s">
        <v>15</v>
      </c>
      <c r="E72" t="s">
        <v>20</v>
      </c>
      <c r="F72" t="s">
        <v>17</v>
      </c>
      <c r="G72" t="s">
        <v>22</v>
      </c>
      <c r="H72">
        <v>272.7</v>
      </c>
      <c r="I72">
        <v>237</v>
      </c>
      <c r="J72">
        <v>92.4</v>
      </c>
      <c r="K72">
        <v>64.5</v>
      </c>
      <c r="L72">
        <v>20.6</v>
      </c>
      <c r="M72">
        <v>9</v>
      </c>
      <c r="N72">
        <v>0.23748670010631701</v>
      </c>
      <c r="O72">
        <v>4.7852455451487703E-2</v>
      </c>
      <c r="P72" t="str">
        <f t="shared" si="2"/>
        <v>F</v>
      </c>
      <c r="Q72" t="str">
        <f t="shared" si="3"/>
        <v>F</v>
      </c>
    </row>
    <row r="73" spans="1:17" hidden="1" x14ac:dyDescent="0.3">
      <c r="A73">
        <v>6505</v>
      </c>
      <c r="B73">
        <v>3362</v>
      </c>
      <c r="C73">
        <v>244</v>
      </c>
      <c r="D73" t="s">
        <v>15</v>
      </c>
      <c r="E73" t="s">
        <v>20</v>
      </c>
      <c r="F73" t="s">
        <v>17</v>
      </c>
      <c r="G73" t="s">
        <v>22</v>
      </c>
      <c r="H73">
        <v>272.7</v>
      </c>
      <c r="I73">
        <v>237</v>
      </c>
      <c r="J73">
        <v>92.4</v>
      </c>
      <c r="K73">
        <v>64.5</v>
      </c>
      <c r="L73">
        <v>20.6</v>
      </c>
      <c r="M73">
        <v>9</v>
      </c>
      <c r="N73">
        <v>0.23944263625077</v>
      </c>
      <c r="O73">
        <v>5.7830515199890999E-2</v>
      </c>
      <c r="P73" t="str">
        <f t="shared" si="2"/>
        <v>F</v>
      </c>
      <c r="Q73" t="str">
        <f t="shared" si="3"/>
        <v>F</v>
      </c>
    </row>
    <row r="74" spans="1:17" hidden="1" x14ac:dyDescent="0.3">
      <c r="A74">
        <v>6506</v>
      </c>
      <c r="B74">
        <v>3362</v>
      </c>
      <c r="C74">
        <v>244</v>
      </c>
      <c r="D74" t="s">
        <v>15</v>
      </c>
      <c r="E74" t="s">
        <v>20</v>
      </c>
      <c r="F74" t="s">
        <v>17</v>
      </c>
      <c r="G74" t="s">
        <v>22</v>
      </c>
      <c r="H74">
        <v>272.7</v>
      </c>
      <c r="I74">
        <v>237</v>
      </c>
      <c r="J74">
        <v>92.4</v>
      </c>
      <c r="K74">
        <v>64.5</v>
      </c>
      <c r="L74">
        <v>20.6</v>
      </c>
      <c r="M74">
        <v>9</v>
      </c>
      <c r="N74">
        <v>0.251474463276253</v>
      </c>
      <c r="O74">
        <v>6.2044493535782702E-2</v>
      </c>
      <c r="P74" t="str">
        <f t="shared" si="2"/>
        <v>F</v>
      </c>
      <c r="Q74" t="str">
        <f t="shared" si="3"/>
        <v>F</v>
      </c>
    </row>
    <row r="75" spans="1:17" hidden="1" x14ac:dyDescent="0.3">
      <c r="A75">
        <v>6548</v>
      </c>
      <c r="B75">
        <v>3379</v>
      </c>
      <c r="C75">
        <v>121</v>
      </c>
      <c r="D75" t="s">
        <v>15</v>
      </c>
      <c r="E75" t="s">
        <v>20</v>
      </c>
      <c r="F75" t="s">
        <v>17</v>
      </c>
      <c r="G75" t="s">
        <v>22</v>
      </c>
      <c r="H75">
        <v>274.2</v>
      </c>
      <c r="I75">
        <v>259</v>
      </c>
      <c r="J75">
        <v>97.6</v>
      </c>
      <c r="K75">
        <v>68</v>
      </c>
      <c r="L75">
        <v>24.5</v>
      </c>
      <c r="M75">
        <v>7</v>
      </c>
      <c r="N75">
        <v>0.133700922269435</v>
      </c>
      <c r="O75">
        <v>4.4554175054403899E-2</v>
      </c>
      <c r="P75" t="str">
        <f t="shared" si="2"/>
        <v>F</v>
      </c>
      <c r="Q75" t="str">
        <f t="shared" si="3"/>
        <v>T</v>
      </c>
    </row>
    <row r="76" spans="1:17" hidden="1" x14ac:dyDescent="0.3">
      <c r="A76">
        <v>6791</v>
      </c>
      <c r="B76">
        <v>3467</v>
      </c>
      <c r="C76">
        <v>460</v>
      </c>
      <c r="D76" t="s">
        <v>15</v>
      </c>
      <c r="E76" t="s">
        <v>20</v>
      </c>
      <c r="F76" t="s">
        <v>17</v>
      </c>
      <c r="G76" t="s">
        <v>22</v>
      </c>
      <c r="H76">
        <v>271</v>
      </c>
      <c r="I76">
        <v>243.5</v>
      </c>
      <c r="J76">
        <v>95.3</v>
      </c>
      <c r="K76">
        <v>64</v>
      </c>
      <c r="L76">
        <v>23.6</v>
      </c>
      <c r="M76">
        <v>8.5</v>
      </c>
      <c r="N76">
        <v>0.25120863534080701</v>
      </c>
      <c r="O76">
        <v>1.02613011036058E-2</v>
      </c>
      <c r="P76" t="str">
        <f t="shared" si="2"/>
        <v>F</v>
      </c>
      <c r="Q76" t="str">
        <f t="shared" si="3"/>
        <v>T</v>
      </c>
    </row>
    <row r="77" spans="1:17" hidden="1" x14ac:dyDescent="0.3">
      <c r="A77">
        <v>6792</v>
      </c>
      <c r="B77">
        <v>3467</v>
      </c>
      <c r="C77">
        <v>460</v>
      </c>
      <c r="D77" t="s">
        <v>15</v>
      </c>
      <c r="E77" t="s">
        <v>20</v>
      </c>
      <c r="F77" t="s">
        <v>17</v>
      </c>
      <c r="G77" t="s">
        <v>22</v>
      </c>
      <c r="H77">
        <v>271</v>
      </c>
      <c r="I77">
        <v>243.5</v>
      </c>
      <c r="J77">
        <v>95.3</v>
      </c>
      <c r="K77">
        <v>64</v>
      </c>
      <c r="L77">
        <v>23.6</v>
      </c>
      <c r="M77">
        <v>8.5</v>
      </c>
      <c r="N77">
        <v>0.248145247633664</v>
      </c>
      <c r="O77">
        <v>1.02420322016118E-2</v>
      </c>
      <c r="P77" t="str">
        <f t="shared" si="2"/>
        <v>F</v>
      </c>
      <c r="Q77" t="str">
        <f t="shared" si="3"/>
        <v>T</v>
      </c>
    </row>
    <row r="78" spans="1:17" hidden="1" x14ac:dyDescent="0.3">
      <c r="A78">
        <v>7367</v>
      </c>
      <c r="B78">
        <v>3659</v>
      </c>
      <c r="C78">
        <v>121</v>
      </c>
      <c r="D78" t="s">
        <v>15</v>
      </c>
      <c r="E78" t="s">
        <v>20</v>
      </c>
      <c r="F78" t="s">
        <v>21</v>
      </c>
      <c r="G78" t="s">
        <v>22</v>
      </c>
      <c r="H78">
        <v>274.2</v>
      </c>
      <c r="I78">
        <v>259</v>
      </c>
      <c r="J78">
        <v>97.6</v>
      </c>
      <c r="K78">
        <v>68</v>
      </c>
      <c r="L78">
        <v>24.5</v>
      </c>
      <c r="M78">
        <v>7</v>
      </c>
      <c r="N78">
        <v>0.16459302127763401</v>
      </c>
      <c r="O78">
        <v>6.5816203401446199E-2</v>
      </c>
      <c r="P78" t="str">
        <f t="shared" si="2"/>
        <v>F</v>
      </c>
      <c r="Q78" t="str">
        <f t="shared" si="3"/>
        <v>F</v>
      </c>
    </row>
    <row r="79" spans="1:17" hidden="1" x14ac:dyDescent="0.3">
      <c r="A79">
        <v>7368</v>
      </c>
      <c r="B79">
        <v>3659</v>
      </c>
      <c r="C79">
        <v>121</v>
      </c>
      <c r="D79" t="s">
        <v>15</v>
      </c>
      <c r="E79" t="s">
        <v>20</v>
      </c>
      <c r="F79" t="s">
        <v>21</v>
      </c>
      <c r="G79" t="s">
        <v>22</v>
      </c>
      <c r="H79">
        <v>274.2</v>
      </c>
      <c r="I79">
        <v>259</v>
      </c>
      <c r="J79">
        <v>97.6</v>
      </c>
      <c r="K79">
        <v>68</v>
      </c>
      <c r="L79">
        <v>24.5</v>
      </c>
      <c r="M79">
        <v>7</v>
      </c>
      <c r="N79">
        <v>0.15176598006886</v>
      </c>
      <c r="O79">
        <v>5.31935252144633E-2</v>
      </c>
      <c r="P79" t="str">
        <f t="shared" si="2"/>
        <v>F</v>
      </c>
      <c r="Q79" t="str">
        <f t="shared" si="3"/>
        <v>F</v>
      </c>
    </row>
    <row r="80" spans="1:17" hidden="1" x14ac:dyDescent="0.3">
      <c r="A80">
        <v>7369</v>
      </c>
      <c r="B80">
        <v>3659</v>
      </c>
      <c r="C80">
        <v>121</v>
      </c>
      <c r="D80" t="s">
        <v>15</v>
      </c>
      <c r="E80" t="s">
        <v>20</v>
      </c>
      <c r="F80" t="s">
        <v>21</v>
      </c>
      <c r="G80" t="s">
        <v>22</v>
      </c>
      <c r="H80">
        <v>274.2</v>
      </c>
      <c r="I80">
        <v>259</v>
      </c>
      <c r="J80">
        <v>97.6</v>
      </c>
      <c r="K80">
        <v>68</v>
      </c>
      <c r="L80">
        <v>24.5</v>
      </c>
      <c r="M80">
        <v>7</v>
      </c>
      <c r="N80">
        <v>0.138680329907448</v>
      </c>
      <c r="O80">
        <v>6.6767306020982894E-2</v>
      </c>
      <c r="P80" t="str">
        <f t="shared" si="2"/>
        <v>F</v>
      </c>
      <c r="Q80" t="str">
        <f t="shared" si="3"/>
        <v>F</v>
      </c>
    </row>
    <row r="81" spans="1:17" hidden="1" x14ac:dyDescent="0.3">
      <c r="A81">
        <v>7397</v>
      </c>
      <c r="B81">
        <v>3670</v>
      </c>
      <c r="C81">
        <v>247</v>
      </c>
      <c r="D81" t="s">
        <v>15</v>
      </c>
      <c r="E81" t="s">
        <v>20</v>
      </c>
      <c r="F81" t="s">
        <v>21</v>
      </c>
      <c r="G81" t="s">
        <v>22</v>
      </c>
      <c r="H81">
        <v>275.3</v>
      </c>
      <c r="I81">
        <v>259.5</v>
      </c>
      <c r="J81">
        <v>96.7</v>
      </c>
      <c r="K81">
        <v>69.5</v>
      </c>
      <c r="L81">
        <v>26.1</v>
      </c>
      <c r="M81">
        <v>10.5</v>
      </c>
      <c r="N81">
        <v>3.4069918324638598E-2</v>
      </c>
      <c r="O81">
        <v>0.157317147189901</v>
      </c>
      <c r="P81" t="str">
        <f t="shared" si="2"/>
        <v>T</v>
      </c>
      <c r="Q81" t="str">
        <f t="shared" si="3"/>
        <v>F</v>
      </c>
    </row>
    <row r="82" spans="1:17" hidden="1" x14ac:dyDescent="0.3">
      <c r="A82">
        <v>7680</v>
      </c>
      <c r="B82">
        <v>3778</v>
      </c>
      <c r="C82">
        <v>121</v>
      </c>
      <c r="D82" t="s">
        <v>15</v>
      </c>
      <c r="E82" t="s">
        <v>20</v>
      </c>
      <c r="F82" t="s">
        <v>17</v>
      </c>
      <c r="G82" t="s">
        <v>22</v>
      </c>
      <c r="H82">
        <v>274.2</v>
      </c>
      <c r="I82">
        <v>259</v>
      </c>
      <c r="J82">
        <v>97.6</v>
      </c>
      <c r="K82">
        <v>68</v>
      </c>
      <c r="L82">
        <v>24.5</v>
      </c>
      <c r="M82">
        <v>7</v>
      </c>
      <c r="N82">
        <v>0.13692709869866099</v>
      </c>
      <c r="O82">
        <v>6.96500705576035E-2</v>
      </c>
      <c r="P82" t="str">
        <f t="shared" si="2"/>
        <v>F</v>
      </c>
      <c r="Q82" t="str">
        <f t="shared" si="3"/>
        <v>F</v>
      </c>
    </row>
    <row r="83" spans="1:17" hidden="1" x14ac:dyDescent="0.3">
      <c r="A83">
        <v>7681</v>
      </c>
      <c r="B83">
        <v>3778</v>
      </c>
      <c r="C83">
        <v>121</v>
      </c>
      <c r="D83" t="s">
        <v>15</v>
      </c>
      <c r="E83" t="s">
        <v>20</v>
      </c>
      <c r="F83" t="s">
        <v>17</v>
      </c>
      <c r="G83" t="s">
        <v>22</v>
      </c>
      <c r="H83">
        <v>274.2</v>
      </c>
      <c r="I83">
        <v>259</v>
      </c>
      <c r="J83">
        <v>97.6</v>
      </c>
      <c r="K83">
        <v>68</v>
      </c>
      <c r="L83">
        <v>24.5</v>
      </c>
      <c r="M83">
        <v>7</v>
      </c>
      <c r="N83">
        <v>0.16355450992621101</v>
      </c>
      <c r="O83">
        <v>5.4362506613304898E-2</v>
      </c>
      <c r="P83" t="str">
        <f t="shared" si="2"/>
        <v>F</v>
      </c>
      <c r="Q83" t="str">
        <f t="shared" si="3"/>
        <v>F</v>
      </c>
    </row>
    <row r="84" spans="1:17" hidden="1" x14ac:dyDescent="0.3">
      <c r="A84">
        <v>7752</v>
      </c>
      <c r="B84">
        <v>3803</v>
      </c>
      <c r="C84">
        <v>121</v>
      </c>
      <c r="D84" t="s">
        <v>15</v>
      </c>
      <c r="E84" t="s">
        <v>20</v>
      </c>
      <c r="F84" t="s">
        <v>21</v>
      </c>
      <c r="G84" t="s">
        <v>18</v>
      </c>
      <c r="H84">
        <v>274.2</v>
      </c>
      <c r="I84">
        <v>259</v>
      </c>
      <c r="J84">
        <v>97.6</v>
      </c>
      <c r="K84">
        <v>68</v>
      </c>
      <c r="L84">
        <v>24.5</v>
      </c>
      <c r="M84">
        <v>7</v>
      </c>
      <c r="N84">
        <v>0.14002732856017799</v>
      </c>
      <c r="O84">
        <v>8.0284324951113997E-2</v>
      </c>
      <c r="P84" t="str">
        <f t="shared" si="2"/>
        <v>F</v>
      </c>
      <c r="Q84" t="str">
        <f t="shared" si="3"/>
        <v>F</v>
      </c>
    </row>
    <row r="85" spans="1:17" hidden="1" x14ac:dyDescent="0.3">
      <c r="A85">
        <v>7753</v>
      </c>
      <c r="B85">
        <v>3803</v>
      </c>
      <c r="C85">
        <v>121</v>
      </c>
      <c r="D85" t="s">
        <v>15</v>
      </c>
      <c r="E85" t="s">
        <v>20</v>
      </c>
      <c r="F85" t="s">
        <v>21</v>
      </c>
      <c r="G85" t="s">
        <v>18</v>
      </c>
      <c r="H85">
        <v>274.2</v>
      </c>
      <c r="I85">
        <v>259</v>
      </c>
      <c r="J85">
        <v>97.6</v>
      </c>
      <c r="K85">
        <v>68</v>
      </c>
      <c r="L85">
        <v>24.5</v>
      </c>
      <c r="M85">
        <v>7</v>
      </c>
      <c r="N85">
        <v>0.14457575789727301</v>
      </c>
      <c r="O85">
        <v>5.4838596186626898E-2</v>
      </c>
      <c r="P85" t="str">
        <f t="shared" si="2"/>
        <v>F</v>
      </c>
      <c r="Q85" t="str">
        <f t="shared" si="3"/>
        <v>F</v>
      </c>
    </row>
    <row r="86" spans="1:17" hidden="1" x14ac:dyDescent="0.3">
      <c r="A86">
        <v>7917</v>
      </c>
      <c r="B86">
        <v>3866</v>
      </c>
      <c r="C86">
        <v>115</v>
      </c>
      <c r="D86" t="s">
        <v>15</v>
      </c>
      <c r="E86" t="s">
        <v>20</v>
      </c>
      <c r="F86" t="s">
        <v>17</v>
      </c>
      <c r="G86" t="s">
        <v>18</v>
      </c>
      <c r="H86">
        <v>274.7</v>
      </c>
      <c r="I86">
        <v>242.5</v>
      </c>
      <c r="J86">
        <v>91.6</v>
      </c>
      <c r="K86">
        <v>66.5</v>
      </c>
      <c r="L86">
        <v>28.1</v>
      </c>
      <c r="M86">
        <v>4.5</v>
      </c>
      <c r="N86">
        <v>0.28239423829747501</v>
      </c>
      <c r="O86">
        <v>5.3842449477007698E-2</v>
      </c>
      <c r="P86" t="str">
        <f t="shared" si="2"/>
        <v>F</v>
      </c>
      <c r="Q86" t="str">
        <f t="shared" si="3"/>
        <v>F</v>
      </c>
    </row>
    <row r="87" spans="1:17" hidden="1" x14ac:dyDescent="0.3">
      <c r="A87">
        <v>7955</v>
      </c>
      <c r="B87">
        <v>388</v>
      </c>
      <c r="C87">
        <v>227</v>
      </c>
      <c r="D87" t="s">
        <v>15</v>
      </c>
      <c r="E87" t="s">
        <v>20</v>
      </c>
      <c r="F87" t="s">
        <v>21</v>
      </c>
      <c r="G87" t="s">
        <v>22</v>
      </c>
      <c r="H87">
        <v>281.2</v>
      </c>
      <c r="I87">
        <v>257</v>
      </c>
      <c r="J87">
        <v>100.5</v>
      </c>
      <c r="K87">
        <v>67</v>
      </c>
      <c r="L87">
        <v>25.4</v>
      </c>
      <c r="M87">
        <v>12.5</v>
      </c>
      <c r="N87">
        <v>7.3949612498208805E-2</v>
      </c>
      <c r="O87">
        <v>0.13472043723747401</v>
      </c>
      <c r="P87" t="str">
        <f t="shared" si="2"/>
        <v>T</v>
      </c>
      <c r="Q87" t="str">
        <f t="shared" si="3"/>
        <v>F</v>
      </c>
    </row>
    <row r="88" spans="1:17" hidden="1" x14ac:dyDescent="0.3">
      <c r="A88">
        <v>8018</v>
      </c>
      <c r="B88">
        <v>390</v>
      </c>
      <c r="C88">
        <v>434</v>
      </c>
      <c r="D88" t="s">
        <v>15</v>
      </c>
      <c r="E88" t="s">
        <v>20</v>
      </c>
      <c r="F88" t="s">
        <v>17</v>
      </c>
      <c r="G88" t="s">
        <v>18</v>
      </c>
      <c r="H88">
        <v>279.10000000000002</v>
      </c>
      <c r="I88">
        <v>250</v>
      </c>
      <c r="J88">
        <v>93.3</v>
      </c>
      <c r="K88">
        <v>66</v>
      </c>
      <c r="L88">
        <v>27.9</v>
      </c>
      <c r="M88">
        <v>6</v>
      </c>
      <c r="N88">
        <v>0.24752404452171201</v>
      </c>
      <c r="O88">
        <v>2.59579079791399E-2</v>
      </c>
      <c r="P88" t="str">
        <f t="shared" si="2"/>
        <v>F</v>
      </c>
      <c r="Q88" t="str">
        <f t="shared" si="3"/>
        <v>T</v>
      </c>
    </row>
    <row r="89" spans="1:17" hidden="1" x14ac:dyDescent="0.3">
      <c r="A89">
        <v>8019</v>
      </c>
      <c r="B89">
        <v>390</v>
      </c>
      <c r="C89">
        <v>434</v>
      </c>
      <c r="D89" t="s">
        <v>15</v>
      </c>
      <c r="E89" t="s">
        <v>20</v>
      </c>
      <c r="F89" t="s">
        <v>17</v>
      </c>
      <c r="G89" t="s">
        <v>18</v>
      </c>
      <c r="H89">
        <v>279.10000000000002</v>
      </c>
      <c r="I89">
        <v>250</v>
      </c>
      <c r="J89">
        <v>93.3</v>
      </c>
      <c r="K89">
        <v>66</v>
      </c>
      <c r="L89">
        <v>27.9</v>
      </c>
      <c r="M89">
        <v>6</v>
      </c>
      <c r="N89">
        <v>0.27084391842461197</v>
      </c>
      <c r="O89">
        <v>4.3331313069384203E-2</v>
      </c>
      <c r="P89" t="str">
        <f t="shared" si="2"/>
        <v>F</v>
      </c>
      <c r="Q89" t="str">
        <f t="shared" si="3"/>
        <v>T</v>
      </c>
    </row>
    <row r="90" spans="1:17" hidden="1" x14ac:dyDescent="0.3">
      <c r="A90">
        <v>8020</v>
      </c>
      <c r="B90">
        <v>390</v>
      </c>
      <c r="C90">
        <v>434</v>
      </c>
      <c r="D90" t="s">
        <v>15</v>
      </c>
      <c r="E90" t="s">
        <v>20</v>
      </c>
      <c r="F90" t="s">
        <v>17</v>
      </c>
      <c r="G90" t="s">
        <v>18</v>
      </c>
      <c r="H90">
        <v>279.10000000000002</v>
      </c>
      <c r="I90">
        <v>250</v>
      </c>
      <c r="J90">
        <v>93.3</v>
      </c>
      <c r="K90">
        <v>66</v>
      </c>
      <c r="L90">
        <v>27.9</v>
      </c>
      <c r="M90">
        <v>6</v>
      </c>
      <c r="N90">
        <v>0.257407989338792</v>
      </c>
      <c r="O90">
        <v>3.78513932991697E-2</v>
      </c>
      <c r="P90" t="str">
        <f t="shared" si="2"/>
        <v>F</v>
      </c>
      <c r="Q90" t="str">
        <f t="shared" si="3"/>
        <v>T</v>
      </c>
    </row>
    <row r="91" spans="1:17" hidden="1" x14ac:dyDescent="0.3">
      <c r="A91">
        <v>8094</v>
      </c>
      <c r="B91">
        <v>3927</v>
      </c>
      <c r="C91">
        <v>444</v>
      </c>
      <c r="D91" t="s">
        <v>15</v>
      </c>
      <c r="E91" t="s">
        <v>20</v>
      </c>
      <c r="F91" t="s">
        <v>21</v>
      </c>
      <c r="G91" t="s">
        <v>18</v>
      </c>
      <c r="H91">
        <v>279.10000000000002</v>
      </c>
      <c r="I91">
        <v>235</v>
      </c>
      <c r="J91">
        <v>94.2</v>
      </c>
      <c r="K91">
        <v>65.5</v>
      </c>
      <c r="L91">
        <v>25.4</v>
      </c>
      <c r="M91">
        <v>12</v>
      </c>
      <c r="N91">
        <v>7.5817115318164402E-2</v>
      </c>
      <c r="O91">
        <v>0.12569135354969599</v>
      </c>
      <c r="P91" t="str">
        <f t="shared" si="2"/>
        <v>T</v>
      </c>
      <c r="Q91" t="str">
        <f t="shared" si="3"/>
        <v>F</v>
      </c>
    </row>
    <row r="92" spans="1:17" hidden="1" x14ac:dyDescent="0.3">
      <c r="A92">
        <v>8095</v>
      </c>
      <c r="B92">
        <v>3927</v>
      </c>
      <c r="C92">
        <v>444</v>
      </c>
      <c r="D92" t="s">
        <v>15</v>
      </c>
      <c r="E92" t="s">
        <v>20</v>
      </c>
      <c r="F92" t="s">
        <v>21</v>
      </c>
      <c r="G92" t="s">
        <v>18</v>
      </c>
      <c r="H92">
        <v>279.10000000000002</v>
      </c>
      <c r="I92">
        <v>235</v>
      </c>
      <c r="J92">
        <v>94.2</v>
      </c>
      <c r="K92">
        <v>65.5</v>
      </c>
      <c r="L92">
        <v>25.4</v>
      </c>
      <c r="M92">
        <v>12</v>
      </c>
      <c r="N92">
        <v>8.5677870883560894E-2</v>
      </c>
      <c r="O92">
        <v>0.14067063434959101</v>
      </c>
      <c r="P92" t="str">
        <f t="shared" si="2"/>
        <v>T</v>
      </c>
      <c r="Q92" t="str">
        <f t="shared" si="3"/>
        <v>F</v>
      </c>
    </row>
    <row r="93" spans="1:17" hidden="1" x14ac:dyDescent="0.3">
      <c r="A93">
        <v>8397</v>
      </c>
      <c r="B93">
        <v>437</v>
      </c>
      <c r="C93">
        <v>6</v>
      </c>
      <c r="D93" t="s">
        <v>15</v>
      </c>
      <c r="E93" t="s">
        <v>20</v>
      </c>
      <c r="F93" t="s">
        <v>21</v>
      </c>
      <c r="G93" t="s">
        <v>22</v>
      </c>
      <c r="H93">
        <v>275.5</v>
      </c>
      <c r="I93">
        <v>250.5</v>
      </c>
      <c r="J93">
        <v>94.7</v>
      </c>
      <c r="K93">
        <v>66.5</v>
      </c>
      <c r="L93">
        <v>25.3</v>
      </c>
      <c r="M93">
        <v>7.5</v>
      </c>
      <c r="N93">
        <v>0.14201552326276001</v>
      </c>
      <c r="O93">
        <v>1.10689979663815E-2</v>
      </c>
      <c r="P93" t="str">
        <f t="shared" si="2"/>
        <v>F</v>
      </c>
      <c r="Q93" t="str">
        <f t="shared" si="3"/>
        <v>T</v>
      </c>
    </row>
    <row r="94" spans="1:17" x14ac:dyDescent="0.3">
      <c r="A94">
        <v>8398</v>
      </c>
      <c r="B94">
        <v>437</v>
      </c>
      <c r="C94">
        <v>6</v>
      </c>
      <c r="D94" t="s">
        <v>15</v>
      </c>
      <c r="E94" t="s">
        <v>20</v>
      </c>
      <c r="F94" t="s">
        <v>21</v>
      </c>
      <c r="G94" t="s">
        <v>22</v>
      </c>
      <c r="H94">
        <v>275.5</v>
      </c>
      <c r="I94">
        <v>250.5</v>
      </c>
      <c r="J94">
        <v>94.7</v>
      </c>
      <c r="K94">
        <v>66.5</v>
      </c>
      <c r="L94">
        <v>25.3</v>
      </c>
      <c r="M94">
        <v>7.5</v>
      </c>
      <c r="N94">
        <v>0.11632746504236501</v>
      </c>
      <c r="O94">
        <v>2.08884034155629E-2</v>
      </c>
      <c r="P94" t="str">
        <f t="shared" si="2"/>
        <v>T</v>
      </c>
      <c r="Q94" t="str">
        <f t="shared" si="3"/>
        <v>T</v>
      </c>
    </row>
    <row r="95" spans="1:17" x14ac:dyDescent="0.3">
      <c r="A95">
        <v>8399</v>
      </c>
      <c r="B95">
        <v>437</v>
      </c>
      <c r="C95">
        <v>6</v>
      </c>
      <c r="D95" t="s">
        <v>15</v>
      </c>
      <c r="E95" t="s">
        <v>20</v>
      </c>
      <c r="F95" t="s">
        <v>21</v>
      </c>
      <c r="G95" t="s">
        <v>22</v>
      </c>
      <c r="H95">
        <v>275.5</v>
      </c>
      <c r="I95">
        <v>250.5</v>
      </c>
      <c r="J95">
        <v>94.7</v>
      </c>
      <c r="K95">
        <v>66.5</v>
      </c>
      <c r="L95">
        <v>25.3</v>
      </c>
      <c r="M95">
        <v>7.5</v>
      </c>
      <c r="N95">
        <v>0.119018332493403</v>
      </c>
      <c r="O95">
        <v>4.50334372048386E-3</v>
      </c>
      <c r="P95" t="str">
        <f t="shared" si="2"/>
        <v>T</v>
      </c>
      <c r="Q95" t="str">
        <f t="shared" si="3"/>
        <v>T</v>
      </c>
    </row>
    <row r="96" spans="1:17" hidden="1" x14ac:dyDescent="0.3">
      <c r="A96">
        <v>8400</v>
      </c>
      <c r="B96">
        <v>437</v>
      </c>
      <c r="C96">
        <v>6</v>
      </c>
      <c r="D96" t="s">
        <v>15</v>
      </c>
      <c r="E96" t="s">
        <v>20</v>
      </c>
      <c r="F96" t="s">
        <v>21</v>
      </c>
      <c r="G96" t="s">
        <v>22</v>
      </c>
      <c r="H96">
        <v>275.5</v>
      </c>
      <c r="I96">
        <v>250.5</v>
      </c>
      <c r="J96">
        <v>94.7</v>
      </c>
      <c r="K96">
        <v>66.5</v>
      </c>
      <c r="L96">
        <v>25.3</v>
      </c>
      <c r="M96">
        <v>7.5</v>
      </c>
      <c r="N96">
        <v>0.14256104479475701</v>
      </c>
      <c r="O96">
        <v>1.8202955153396001E-2</v>
      </c>
      <c r="P96" t="str">
        <f t="shared" si="2"/>
        <v>F</v>
      </c>
      <c r="Q96" t="str">
        <f t="shared" si="3"/>
        <v>T</v>
      </c>
    </row>
    <row r="97" spans="1:17" hidden="1" x14ac:dyDescent="0.3">
      <c r="A97">
        <v>8897</v>
      </c>
      <c r="B97">
        <v>608</v>
      </c>
      <c r="C97">
        <v>227</v>
      </c>
      <c r="D97" t="s">
        <v>15</v>
      </c>
      <c r="E97" t="s">
        <v>20</v>
      </c>
      <c r="F97" t="s">
        <v>21</v>
      </c>
      <c r="G97" t="s">
        <v>18</v>
      </c>
      <c r="H97">
        <v>281.2</v>
      </c>
      <c r="I97">
        <v>257</v>
      </c>
      <c r="J97">
        <v>100.5</v>
      </c>
      <c r="K97">
        <v>67</v>
      </c>
      <c r="L97">
        <v>25.4</v>
      </c>
      <c r="M97">
        <v>12.5</v>
      </c>
      <c r="N97">
        <v>7.4211251818245602E-2</v>
      </c>
      <c r="O97">
        <v>0.14401214608618501</v>
      </c>
      <c r="P97" t="str">
        <f t="shared" si="2"/>
        <v>T</v>
      </c>
      <c r="Q97" t="str">
        <f t="shared" si="3"/>
        <v>F</v>
      </c>
    </row>
    <row r="98" spans="1:17" hidden="1" x14ac:dyDescent="0.3">
      <c r="A98">
        <v>8898</v>
      </c>
      <c r="B98">
        <v>608</v>
      </c>
      <c r="C98">
        <v>227</v>
      </c>
      <c r="D98" t="s">
        <v>15</v>
      </c>
      <c r="E98" t="s">
        <v>20</v>
      </c>
      <c r="F98" t="s">
        <v>21</v>
      </c>
      <c r="G98" t="s">
        <v>18</v>
      </c>
      <c r="H98">
        <v>281.2</v>
      </c>
      <c r="I98">
        <v>257</v>
      </c>
      <c r="J98">
        <v>100.5</v>
      </c>
      <c r="K98">
        <v>67</v>
      </c>
      <c r="L98">
        <v>25.4</v>
      </c>
      <c r="M98">
        <v>12.5</v>
      </c>
      <c r="N98">
        <v>7.2163477207046398E-2</v>
      </c>
      <c r="O98">
        <v>0.14800128597855899</v>
      </c>
      <c r="P98" t="str">
        <f t="shared" si="2"/>
        <v>T</v>
      </c>
      <c r="Q98" t="str">
        <f t="shared" si="3"/>
        <v>F</v>
      </c>
    </row>
    <row r="99" spans="1:17" hidden="1" x14ac:dyDescent="0.3">
      <c r="A99">
        <v>9382</v>
      </c>
      <c r="B99">
        <v>773</v>
      </c>
      <c r="C99">
        <v>6</v>
      </c>
      <c r="D99" t="s">
        <v>15</v>
      </c>
      <c r="E99" t="s">
        <v>20</v>
      </c>
      <c r="F99" t="s">
        <v>17</v>
      </c>
      <c r="G99" t="s">
        <v>22</v>
      </c>
      <c r="H99">
        <v>275.5</v>
      </c>
      <c r="I99">
        <v>250.5</v>
      </c>
      <c r="J99">
        <v>94.7</v>
      </c>
      <c r="K99">
        <v>66.5</v>
      </c>
      <c r="L99">
        <v>25.3</v>
      </c>
      <c r="M99">
        <v>7.5</v>
      </c>
      <c r="N99">
        <v>0.129054896116371</v>
      </c>
      <c r="O99">
        <v>2.20882927723576E-2</v>
      </c>
      <c r="P99" t="str">
        <f t="shared" si="2"/>
        <v>F</v>
      </c>
      <c r="Q99" t="str">
        <f t="shared" si="3"/>
        <v>T</v>
      </c>
    </row>
    <row r="100" spans="1:17" hidden="1" x14ac:dyDescent="0.3">
      <c r="A100">
        <v>9383</v>
      </c>
      <c r="B100">
        <v>773</v>
      </c>
      <c r="C100">
        <v>6</v>
      </c>
      <c r="D100" t="s">
        <v>15</v>
      </c>
      <c r="E100" t="s">
        <v>20</v>
      </c>
      <c r="F100" t="s">
        <v>17</v>
      </c>
      <c r="G100" t="s">
        <v>22</v>
      </c>
      <c r="H100">
        <v>275.5</v>
      </c>
      <c r="I100">
        <v>250.5</v>
      </c>
      <c r="J100">
        <v>94.7</v>
      </c>
      <c r="K100">
        <v>66.5</v>
      </c>
      <c r="L100">
        <v>25.3</v>
      </c>
      <c r="M100">
        <v>7.5</v>
      </c>
      <c r="N100">
        <v>0.12610561585888899</v>
      </c>
      <c r="O100">
        <v>1.33009057078642E-2</v>
      </c>
      <c r="P100" t="str">
        <f t="shared" si="2"/>
        <v>F</v>
      </c>
      <c r="Q100" t="str">
        <f t="shared" si="3"/>
        <v>T</v>
      </c>
    </row>
    <row r="101" spans="1:17" x14ac:dyDescent="0.3">
      <c r="A101">
        <v>9384</v>
      </c>
      <c r="B101">
        <v>773</v>
      </c>
      <c r="C101">
        <v>6</v>
      </c>
      <c r="D101" t="s">
        <v>15</v>
      </c>
      <c r="E101" t="s">
        <v>20</v>
      </c>
      <c r="F101" t="s">
        <v>17</v>
      </c>
      <c r="G101" t="s">
        <v>22</v>
      </c>
      <c r="H101">
        <v>275.5</v>
      </c>
      <c r="I101">
        <v>250.5</v>
      </c>
      <c r="J101">
        <v>94.7</v>
      </c>
      <c r="K101">
        <v>66.5</v>
      </c>
      <c r="L101">
        <v>25.3</v>
      </c>
      <c r="M101">
        <v>7.5</v>
      </c>
      <c r="N101">
        <v>0.11442255151303</v>
      </c>
      <c r="O101">
        <v>2.9365631484437299E-2</v>
      </c>
      <c r="P101" t="str">
        <f t="shared" si="2"/>
        <v>T</v>
      </c>
      <c r="Q101" t="str">
        <f t="shared" si="3"/>
        <v>T</v>
      </c>
    </row>
    <row r="102" spans="1:17" hidden="1" x14ac:dyDescent="0.3">
      <c r="A102">
        <v>9504</v>
      </c>
      <c r="B102">
        <v>82</v>
      </c>
      <c r="C102">
        <v>248</v>
      </c>
      <c r="D102" t="s">
        <v>15</v>
      </c>
      <c r="E102" t="s">
        <v>20</v>
      </c>
      <c r="F102" t="s">
        <v>17</v>
      </c>
      <c r="G102" t="s">
        <v>22</v>
      </c>
      <c r="H102">
        <v>281.60000000000002</v>
      </c>
      <c r="I102">
        <v>267</v>
      </c>
      <c r="J102">
        <v>101.8</v>
      </c>
      <c r="K102">
        <v>71</v>
      </c>
      <c r="L102">
        <v>29.9</v>
      </c>
      <c r="M102">
        <v>12.5</v>
      </c>
      <c r="N102">
        <v>0.159804799466881</v>
      </c>
      <c r="O102">
        <v>0.18129155221311499</v>
      </c>
      <c r="P102" t="str">
        <f t="shared" si="2"/>
        <v>F</v>
      </c>
      <c r="Q102" t="str">
        <f t="shared" si="3"/>
        <v>F</v>
      </c>
    </row>
    <row r="103" spans="1:17" hidden="1" x14ac:dyDescent="0.3">
      <c r="A103">
        <v>9506</v>
      </c>
      <c r="B103">
        <v>82</v>
      </c>
      <c r="C103">
        <v>248</v>
      </c>
      <c r="D103" t="s">
        <v>15</v>
      </c>
      <c r="E103" t="s">
        <v>20</v>
      </c>
      <c r="F103" t="s">
        <v>17</v>
      </c>
      <c r="G103" t="s">
        <v>22</v>
      </c>
      <c r="H103">
        <v>281.60000000000002</v>
      </c>
      <c r="I103">
        <v>267</v>
      </c>
      <c r="J103">
        <v>101.8</v>
      </c>
      <c r="K103">
        <v>71</v>
      </c>
      <c r="L103">
        <v>29.9</v>
      </c>
      <c r="M103">
        <v>12.5</v>
      </c>
      <c r="N103">
        <v>0.14920791905841499</v>
      </c>
      <c r="O103">
        <v>0.18004436449120101</v>
      </c>
      <c r="P103" t="str">
        <f t="shared" si="2"/>
        <v>F</v>
      </c>
      <c r="Q103" t="str">
        <f t="shared" si="3"/>
        <v>F</v>
      </c>
    </row>
    <row r="104" spans="1:17" hidden="1" x14ac:dyDescent="0.3">
      <c r="A104">
        <v>9511</v>
      </c>
      <c r="B104">
        <v>821</v>
      </c>
      <c r="C104">
        <v>6</v>
      </c>
      <c r="D104" t="s">
        <v>15</v>
      </c>
      <c r="E104" t="s">
        <v>20</v>
      </c>
      <c r="F104" t="s">
        <v>17</v>
      </c>
      <c r="G104" t="s">
        <v>22</v>
      </c>
      <c r="H104">
        <v>275.5</v>
      </c>
      <c r="I104">
        <v>250.5</v>
      </c>
      <c r="J104">
        <v>94.7</v>
      </c>
      <c r="K104">
        <v>66.5</v>
      </c>
      <c r="L104">
        <v>25.3</v>
      </c>
      <c r="M104">
        <v>7.5</v>
      </c>
      <c r="N104">
        <v>0.13598043849679001</v>
      </c>
      <c r="O104">
        <v>3.7392563010683602E-3</v>
      </c>
      <c r="P104" t="str">
        <f t="shared" si="2"/>
        <v>F</v>
      </c>
      <c r="Q104" t="str">
        <f t="shared" si="3"/>
        <v>T</v>
      </c>
    </row>
    <row r="105" spans="1:17" hidden="1" x14ac:dyDescent="0.3">
      <c r="A105">
        <v>9512</v>
      </c>
      <c r="B105">
        <v>821</v>
      </c>
      <c r="C105">
        <v>6</v>
      </c>
      <c r="D105" t="s">
        <v>15</v>
      </c>
      <c r="E105" t="s">
        <v>20</v>
      </c>
      <c r="F105" t="s">
        <v>17</v>
      </c>
      <c r="G105" t="s">
        <v>22</v>
      </c>
      <c r="H105">
        <v>275.5</v>
      </c>
      <c r="I105">
        <v>250.5</v>
      </c>
      <c r="J105">
        <v>94.7</v>
      </c>
      <c r="K105">
        <v>66.5</v>
      </c>
      <c r="L105">
        <v>25.3</v>
      </c>
      <c r="M105">
        <v>7.5</v>
      </c>
      <c r="N105">
        <v>0.13036215499926801</v>
      </c>
      <c r="O105">
        <v>1.1149736871886E-2</v>
      </c>
      <c r="P105" t="str">
        <f t="shared" si="2"/>
        <v>F</v>
      </c>
      <c r="Q105" t="str">
        <f t="shared" si="3"/>
        <v>T</v>
      </c>
    </row>
  </sheetData>
  <autoFilter ref="A1:Q105" xr:uid="{BE9820E5-9551-4DA8-BE41-5079F565874D}">
    <filterColumn colId="15">
      <filters>
        <filter val="T"/>
      </filters>
    </filterColumn>
    <filterColumn colId="16">
      <filters>
        <filter val="T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B3732-B965-45B8-B254-E59D6B23B90A}">
  <sheetPr filterMode="1"/>
  <dimension ref="A1:Q428"/>
  <sheetViews>
    <sheetView zoomScale="90" zoomScaleNormal="90" workbookViewId="0">
      <selection activeCell="J435" sqref="J435"/>
    </sheetView>
  </sheetViews>
  <sheetFormatPr defaultRowHeight="14.55" x14ac:dyDescent="0.3"/>
  <cols>
    <col min="1" max="1" width="9.44140625" bestFit="1" customWidth="1"/>
    <col min="2" max="2" width="9.109375" bestFit="1" customWidth="1"/>
    <col min="3" max="3" width="7.109375" bestFit="1" customWidth="1"/>
    <col min="4" max="4" width="16.77734375" bestFit="1" customWidth="1"/>
    <col min="5" max="5" width="11.21875" bestFit="1" customWidth="1"/>
    <col min="6" max="6" width="10.21875" bestFit="1" customWidth="1"/>
    <col min="7" max="7" width="14.21875" bestFit="1" customWidth="1"/>
    <col min="8" max="8" width="12.77734375" bestFit="1" customWidth="1"/>
    <col min="9" max="9" width="9.6640625" bestFit="1" customWidth="1"/>
    <col min="10" max="10" width="10.44140625" bestFit="1" customWidth="1"/>
    <col min="11" max="11" width="10.5546875" bestFit="1" customWidth="1"/>
    <col min="12" max="12" width="10.109375" bestFit="1" customWidth="1"/>
    <col min="13" max="13" width="11.21875" bestFit="1" customWidth="1"/>
    <col min="14" max="15" width="13.33203125" bestFit="1" customWidth="1"/>
    <col min="16" max="16" width="15.5546875" bestFit="1" customWidth="1"/>
    <col min="17" max="17" width="1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</v>
      </c>
      <c r="Q1" t="s">
        <v>28</v>
      </c>
    </row>
    <row r="2" spans="1:17" hidden="1" x14ac:dyDescent="0.3">
      <c r="A2">
        <v>44</v>
      </c>
      <c r="B2">
        <v>1014</v>
      </c>
      <c r="C2">
        <v>249</v>
      </c>
      <c r="D2" t="s">
        <v>19</v>
      </c>
      <c r="E2" t="s">
        <v>16</v>
      </c>
      <c r="F2" t="s">
        <v>21</v>
      </c>
      <c r="G2" t="s">
        <v>25</v>
      </c>
      <c r="H2">
        <v>275.7</v>
      </c>
      <c r="I2">
        <v>254.5</v>
      </c>
      <c r="J2">
        <v>97.9</v>
      </c>
      <c r="K2">
        <v>66</v>
      </c>
      <c r="L2">
        <v>26.3</v>
      </c>
      <c r="M2">
        <v>9</v>
      </c>
      <c r="N2">
        <v>0.26487841955784702</v>
      </c>
      <c r="O2">
        <v>5.7210643125788101E-2</v>
      </c>
      <c r="P2" t="str">
        <f>IF(N2&lt;0.095876, "T", "F")</f>
        <v>F</v>
      </c>
      <c r="Q2" t="str">
        <f>IF(O2&lt; 0.064417, "T", "F")</f>
        <v>T</v>
      </c>
    </row>
    <row r="3" spans="1:17" hidden="1" x14ac:dyDescent="0.3">
      <c r="A3">
        <v>45</v>
      </c>
      <c r="B3">
        <v>1014</v>
      </c>
      <c r="C3">
        <v>249</v>
      </c>
      <c r="D3" t="s">
        <v>19</v>
      </c>
      <c r="E3" t="s">
        <v>16</v>
      </c>
      <c r="F3" t="s">
        <v>21</v>
      </c>
      <c r="G3" t="s">
        <v>25</v>
      </c>
      <c r="H3">
        <v>275.7</v>
      </c>
      <c r="I3">
        <v>254.5</v>
      </c>
      <c r="J3">
        <v>97.9</v>
      </c>
      <c r="K3">
        <v>66</v>
      </c>
      <c r="L3">
        <v>26.3</v>
      </c>
      <c r="M3">
        <v>9</v>
      </c>
      <c r="N3">
        <v>0.25795511047244901</v>
      </c>
      <c r="O3">
        <v>4.6994456531517001E-2</v>
      </c>
      <c r="P3" t="str">
        <f t="shared" ref="P3:P66" si="0">IF(N3&lt;0.095876, "T", "F")</f>
        <v>F</v>
      </c>
      <c r="Q3" t="str">
        <f t="shared" ref="Q3:Q66" si="1">IF(O3&lt; 0.064417, "T", "F")</f>
        <v>T</v>
      </c>
    </row>
    <row r="4" spans="1:17" hidden="1" x14ac:dyDescent="0.3">
      <c r="A4">
        <v>65</v>
      </c>
      <c r="B4">
        <v>1021</v>
      </c>
      <c r="C4">
        <v>228</v>
      </c>
      <c r="D4" t="s">
        <v>19</v>
      </c>
      <c r="E4" t="s">
        <v>16</v>
      </c>
      <c r="F4" t="s">
        <v>17</v>
      </c>
      <c r="G4" t="s">
        <v>18</v>
      </c>
      <c r="H4">
        <v>275.39999999999998</v>
      </c>
      <c r="I4">
        <v>249.5</v>
      </c>
      <c r="J4">
        <v>93.4</v>
      </c>
      <c r="K4">
        <v>64</v>
      </c>
      <c r="L4">
        <v>28.4</v>
      </c>
      <c r="M4">
        <v>13</v>
      </c>
      <c r="N4">
        <v>8.8250166064588104E-2</v>
      </c>
      <c r="O4">
        <v>0.14351889709069801</v>
      </c>
      <c r="P4" t="str">
        <f t="shared" si="0"/>
        <v>T</v>
      </c>
      <c r="Q4" t="str">
        <f t="shared" si="1"/>
        <v>F</v>
      </c>
    </row>
    <row r="5" spans="1:17" hidden="1" x14ac:dyDescent="0.3">
      <c r="A5">
        <v>66</v>
      </c>
      <c r="B5">
        <v>1021</v>
      </c>
      <c r="C5">
        <v>228</v>
      </c>
      <c r="D5" t="s">
        <v>19</v>
      </c>
      <c r="E5" t="s">
        <v>16</v>
      </c>
      <c r="F5" t="s">
        <v>17</v>
      </c>
      <c r="G5" t="s">
        <v>18</v>
      </c>
      <c r="H5">
        <v>275.39999999999998</v>
      </c>
      <c r="I5">
        <v>249.5</v>
      </c>
      <c r="J5">
        <v>93.4</v>
      </c>
      <c r="K5">
        <v>64</v>
      </c>
      <c r="L5">
        <v>28.4</v>
      </c>
      <c r="M5">
        <v>13</v>
      </c>
      <c r="N5">
        <v>7.0392633511526095E-2</v>
      </c>
      <c r="O5">
        <v>0.14969106021568199</v>
      </c>
      <c r="P5" t="str">
        <f t="shared" si="0"/>
        <v>T</v>
      </c>
      <c r="Q5" t="str">
        <f t="shared" si="1"/>
        <v>F</v>
      </c>
    </row>
    <row r="6" spans="1:17" hidden="1" x14ac:dyDescent="0.3">
      <c r="A6">
        <v>67</v>
      </c>
      <c r="B6">
        <v>1021</v>
      </c>
      <c r="C6">
        <v>228</v>
      </c>
      <c r="D6" t="s">
        <v>19</v>
      </c>
      <c r="E6" t="s">
        <v>16</v>
      </c>
      <c r="F6" t="s">
        <v>17</v>
      </c>
      <c r="G6" t="s">
        <v>18</v>
      </c>
      <c r="H6">
        <v>275.39999999999998</v>
      </c>
      <c r="I6">
        <v>249.5</v>
      </c>
      <c r="J6">
        <v>93.4</v>
      </c>
      <c r="K6">
        <v>64</v>
      </c>
      <c r="L6">
        <v>28.4</v>
      </c>
      <c r="M6">
        <v>13</v>
      </c>
      <c r="N6">
        <v>8.7942641793875204E-2</v>
      </c>
      <c r="O6">
        <v>0.12803494635116699</v>
      </c>
      <c r="P6" t="str">
        <f t="shared" si="0"/>
        <v>T</v>
      </c>
      <c r="Q6" t="str">
        <f t="shared" si="1"/>
        <v>F</v>
      </c>
    </row>
    <row r="7" spans="1:17" hidden="1" x14ac:dyDescent="0.3">
      <c r="A7">
        <v>68</v>
      </c>
      <c r="B7">
        <v>1021</v>
      </c>
      <c r="C7">
        <v>228</v>
      </c>
      <c r="D7" t="s">
        <v>19</v>
      </c>
      <c r="E7" t="s">
        <v>16</v>
      </c>
      <c r="F7" t="s">
        <v>17</v>
      </c>
      <c r="G7" t="s">
        <v>18</v>
      </c>
      <c r="H7">
        <v>275.39999999999998</v>
      </c>
      <c r="I7">
        <v>249.5</v>
      </c>
      <c r="J7">
        <v>93.4</v>
      </c>
      <c r="K7">
        <v>64</v>
      </c>
      <c r="L7">
        <v>28.4</v>
      </c>
      <c r="M7">
        <v>13</v>
      </c>
      <c r="N7">
        <v>9.1186274048892194E-2</v>
      </c>
      <c r="O7">
        <v>0.116285508836537</v>
      </c>
      <c r="P7" t="str">
        <f t="shared" si="0"/>
        <v>T</v>
      </c>
      <c r="Q7" t="str">
        <f t="shared" si="1"/>
        <v>F</v>
      </c>
    </row>
    <row r="8" spans="1:17" hidden="1" x14ac:dyDescent="0.3">
      <c r="A8">
        <v>94</v>
      </c>
      <c r="B8">
        <v>1033</v>
      </c>
      <c r="C8">
        <v>325</v>
      </c>
      <c r="D8" t="s">
        <v>19</v>
      </c>
      <c r="E8" t="s">
        <v>16</v>
      </c>
      <c r="F8" t="s">
        <v>17</v>
      </c>
      <c r="G8" t="s">
        <v>25</v>
      </c>
      <c r="H8">
        <v>274</v>
      </c>
      <c r="I8">
        <v>243.5</v>
      </c>
      <c r="J8">
        <v>94.8</v>
      </c>
      <c r="K8">
        <v>65.5</v>
      </c>
      <c r="L8">
        <v>26.1</v>
      </c>
      <c r="M8">
        <v>13</v>
      </c>
      <c r="N8">
        <v>0.208144934226213</v>
      </c>
      <c r="O8">
        <v>7.1634236897305498E-2</v>
      </c>
      <c r="P8" t="str">
        <f t="shared" si="0"/>
        <v>F</v>
      </c>
      <c r="Q8" t="str">
        <f t="shared" si="1"/>
        <v>F</v>
      </c>
    </row>
    <row r="9" spans="1:17" hidden="1" x14ac:dyDescent="0.3">
      <c r="A9">
        <v>95</v>
      </c>
      <c r="B9">
        <v>1033</v>
      </c>
      <c r="C9">
        <v>325</v>
      </c>
      <c r="D9" t="s">
        <v>19</v>
      </c>
      <c r="E9" t="s">
        <v>16</v>
      </c>
      <c r="F9" t="s">
        <v>17</v>
      </c>
      <c r="G9" t="s">
        <v>25</v>
      </c>
      <c r="H9">
        <v>274</v>
      </c>
      <c r="I9">
        <v>243.5</v>
      </c>
      <c r="J9">
        <v>94.8</v>
      </c>
      <c r="K9">
        <v>65.5</v>
      </c>
      <c r="L9">
        <v>26.1</v>
      </c>
      <c r="M9">
        <v>13</v>
      </c>
      <c r="N9">
        <v>0.226490564508634</v>
      </c>
      <c r="O9">
        <v>9.3496573098886399E-2</v>
      </c>
      <c r="P9" t="str">
        <f t="shared" si="0"/>
        <v>F</v>
      </c>
      <c r="Q9" t="str">
        <f t="shared" si="1"/>
        <v>F</v>
      </c>
    </row>
    <row r="10" spans="1:17" hidden="1" x14ac:dyDescent="0.3">
      <c r="A10">
        <v>239</v>
      </c>
      <c r="B10">
        <v>1084</v>
      </c>
      <c r="C10">
        <v>494</v>
      </c>
      <c r="D10" t="s">
        <v>19</v>
      </c>
      <c r="E10" t="s">
        <v>16</v>
      </c>
      <c r="F10" t="s">
        <v>17</v>
      </c>
      <c r="G10" t="s">
        <v>22</v>
      </c>
      <c r="H10">
        <v>281.3</v>
      </c>
      <c r="I10">
        <v>262</v>
      </c>
      <c r="J10">
        <v>97.7</v>
      </c>
      <c r="K10">
        <v>70</v>
      </c>
      <c r="L10">
        <v>27</v>
      </c>
      <c r="M10">
        <v>4</v>
      </c>
      <c r="N10">
        <v>0.123432949308091</v>
      </c>
      <c r="O10">
        <v>0.19281856312644499</v>
      </c>
      <c r="P10" t="str">
        <f t="shared" si="0"/>
        <v>F</v>
      </c>
      <c r="Q10" t="str">
        <f t="shared" si="1"/>
        <v>F</v>
      </c>
    </row>
    <row r="11" spans="1:17" hidden="1" x14ac:dyDescent="0.3">
      <c r="A11">
        <v>240</v>
      </c>
      <c r="B11">
        <v>1084</v>
      </c>
      <c r="C11">
        <v>494</v>
      </c>
      <c r="D11" t="s">
        <v>19</v>
      </c>
      <c r="E11" t="s">
        <v>16</v>
      </c>
      <c r="F11" t="s">
        <v>17</v>
      </c>
      <c r="G11" t="s">
        <v>22</v>
      </c>
      <c r="H11">
        <v>281.3</v>
      </c>
      <c r="I11">
        <v>262</v>
      </c>
      <c r="J11">
        <v>97.7</v>
      </c>
      <c r="K11">
        <v>70</v>
      </c>
      <c r="L11">
        <v>27</v>
      </c>
      <c r="M11">
        <v>4</v>
      </c>
      <c r="N11">
        <v>0.10142717783326199</v>
      </c>
      <c r="O11">
        <v>0.191272885054807</v>
      </c>
      <c r="P11" t="str">
        <f t="shared" si="0"/>
        <v>F</v>
      </c>
      <c r="Q11" t="str">
        <f t="shared" si="1"/>
        <v>F</v>
      </c>
    </row>
    <row r="12" spans="1:17" hidden="1" x14ac:dyDescent="0.3">
      <c r="A12">
        <v>241</v>
      </c>
      <c r="B12">
        <v>1084</v>
      </c>
      <c r="C12">
        <v>494</v>
      </c>
      <c r="D12" t="s">
        <v>19</v>
      </c>
      <c r="E12" t="s">
        <v>16</v>
      </c>
      <c r="F12" t="s">
        <v>17</v>
      </c>
      <c r="G12" t="s">
        <v>22</v>
      </c>
      <c r="H12">
        <v>281.3</v>
      </c>
      <c r="I12">
        <v>262</v>
      </c>
      <c r="J12">
        <v>97.7</v>
      </c>
      <c r="K12">
        <v>70</v>
      </c>
      <c r="L12">
        <v>27</v>
      </c>
      <c r="M12">
        <v>4</v>
      </c>
      <c r="N12">
        <v>0.119186547267253</v>
      </c>
      <c r="O12">
        <v>0.19343058032805399</v>
      </c>
      <c r="P12" t="str">
        <f t="shared" si="0"/>
        <v>F</v>
      </c>
      <c r="Q12" t="str">
        <f t="shared" si="1"/>
        <v>F</v>
      </c>
    </row>
    <row r="13" spans="1:17" hidden="1" x14ac:dyDescent="0.3">
      <c r="A13">
        <v>242</v>
      </c>
      <c r="B13">
        <v>1084</v>
      </c>
      <c r="C13">
        <v>494</v>
      </c>
      <c r="D13" t="s">
        <v>19</v>
      </c>
      <c r="E13" t="s">
        <v>16</v>
      </c>
      <c r="F13" t="s">
        <v>17</v>
      </c>
      <c r="G13" t="s">
        <v>22</v>
      </c>
      <c r="H13">
        <v>281.3</v>
      </c>
      <c r="I13">
        <v>262</v>
      </c>
      <c r="J13">
        <v>97.7</v>
      </c>
      <c r="K13">
        <v>70</v>
      </c>
      <c r="L13">
        <v>27</v>
      </c>
      <c r="M13">
        <v>4</v>
      </c>
      <c r="N13">
        <v>0.13441894442906299</v>
      </c>
      <c r="O13">
        <v>0.170040534549281</v>
      </c>
      <c r="P13" t="str">
        <f t="shared" si="0"/>
        <v>F</v>
      </c>
      <c r="Q13" t="str">
        <f t="shared" si="1"/>
        <v>F</v>
      </c>
    </row>
    <row r="14" spans="1:17" hidden="1" x14ac:dyDescent="0.3">
      <c r="A14">
        <v>243</v>
      </c>
      <c r="B14">
        <v>1084</v>
      </c>
      <c r="C14">
        <v>494</v>
      </c>
      <c r="D14" t="s">
        <v>19</v>
      </c>
      <c r="E14" t="s">
        <v>16</v>
      </c>
      <c r="F14" t="s">
        <v>17</v>
      </c>
      <c r="G14" t="s">
        <v>22</v>
      </c>
      <c r="H14">
        <v>281.3</v>
      </c>
      <c r="I14">
        <v>262</v>
      </c>
      <c r="J14">
        <v>97.7</v>
      </c>
      <c r="K14">
        <v>70</v>
      </c>
      <c r="L14">
        <v>27</v>
      </c>
      <c r="M14">
        <v>4</v>
      </c>
      <c r="N14">
        <v>0.12286625224723099</v>
      </c>
      <c r="O14">
        <v>0.204854300159868</v>
      </c>
      <c r="P14" t="str">
        <f t="shared" si="0"/>
        <v>F</v>
      </c>
      <c r="Q14" t="str">
        <f t="shared" si="1"/>
        <v>F</v>
      </c>
    </row>
    <row r="15" spans="1:17" hidden="1" x14ac:dyDescent="0.3">
      <c r="A15">
        <v>263</v>
      </c>
      <c r="B15">
        <v>1093</v>
      </c>
      <c r="C15">
        <v>388</v>
      </c>
      <c r="D15" t="s">
        <v>19</v>
      </c>
      <c r="E15" t="s">
        <v>16</v>
      </c>
      <c r="F15" t="s">
        <v>21</v>
      </c>
      <c r="G15" t="s">
        <v>18</v>
      </c>
      <c r="H15">
        <v>277.10000000000002</v>
      </c>
      <c r="I15">
        <v>244.5</v>
      </c>
      <c r="J15">
        <v>91.9</v>
      </c>
      <c r="K15">
        <v>62.5</v>
      </c>
      <c r="L15">
        <v>25.9</v>
      </c>
      <c r="M15">
        <v>7</v>
      </c>
      <c r="N15">
        <v>9.6645075599816804E-2</v>
      </c>
      <c r="O15">
        <v>6.1735641086645601E-2</v>
      </c>
      <c r="P15" t="str">
        <f t="shared" si="0"/>
        <v>F</v>
      </c>
      <c r="Q15" t="str">
        <f t="shared" si="1"/>
        <v>T</v>
      </c>
    </row>
    <row r="16" spans="1:17" hidden="1" x14ac:dyDescent="0.3">
      <c r="A16">
        <v>264</v>
      </c>
      <c r="B16">
        <v>1093</v>
      </c>
      <c r="C16">
        <v>388</v>
      </c>
      <c r="D16" t="s">
        <v>19</v>
      </c>
      <c r="E16" t="s">
        <v>16</v>
      </c>
      <c r="F16" t="s">
        <v>21</v>
      </c>
      <c r="G16" t="s">
        <v>18</v>
      </c>
      <c r="H16">
        <v>277.10000000000002</v>
      </c>
      <c r="I16">
        <v>244.5</v>
      </c>
      <c r="J16">
        <v>91.9</v>
      </c>
      <c r="K16">
        <v>62.5</v>
      </c>
      <c r="L16">
        <v>25.9</v>
      </c>
      <c r="M16">
        <v>7</v>
      </c>
      <c r="N16">
        <v>0.12342626772255701</v>
      </c>
      <c r="O16">
        <v>6.1295496444648399E-2</v>
      </c>
      <c r="P16" t="str">
        <f t="shared" si="0"/>
        <v>F</v>
      </c>
      <c r="Q16" t="str">
        <f t="shared" si="1"/>
        <v>T</v>
      </c>
    </row>
    <row r="17" spans="1:17" hidden="1" x14ac:dyDescent="0.3">
      <c r="A17">
        <v>287</v>
      </c>
      <c r="B17">
        <v>1100</v>
      </c>
      <c r="C17">
        <v>114</v>
      </c>
      <c r="D17" t="s">
        <v>19</v>
      </c>
      <c r="E17" t="s">
        <v>16</v>
      </c>
      <c r="F17" t="s">
        <v>21</v>
      </c>
      <c r="G17" t="s">
        <v>18</v>
      </c>
      <c r="H17">
        <v>275.89999999999998</v>
      </c>
      <c r="I17">
        <v>254</v>
      </c>
      <c r="J17">
        <v>97.2</v>
      </c>
      <c r="K17">
        <v>66.5</v>
      </c>
      <c r="L17">
        <v>28.5</v>
      </c>
      <c r="M17">
        <v>5.5</v>
      </c>
      <c r="N17">
        <v>0.13341198992415801</v>
      </c>
      <c r="O17">
        <v>0.20608741611749001</v>
      </c>
      <c r="P17" t="str">
        <f t="shared" si="0"/>
        <v>F</v>
      </c>
      <c r="Q17" t="str">
        <f t="shared" si="1"/>
        <v>F</v>
      </c>
    </row>
    <row r="18" spans="1:17" hidden="1" x14ac:dyDescent="0.3">
      <c r="A18">
        <v>294</v>
      </c>
      <c r="B18">
        <v>1103</v>
      </c>
      <c r="C18">
        <v>417</v>
      </c>
      <c r="D18" t="s">
        <v>19</v>
      </c>
      <c r="E18" t="s">
        <v>16</v>
      </c>
      <c r="F18" t="s">
        <v>21</v>
      </c>
      <c r="G18" t="s">
        <v>22</v>
      </c>
      <c r="H18">
        <v>268.60000000000002</v>
      </c>
      <c r="I18">
        <v>234.5</v>
      </c>
      <c r="J18">
        <v>92.8</v>
      </c>
      <c r="K18">
        <v>64</v>
      </c>
      <c r="L18">
        <v>24.3</v>
      </c>
      <c r="M18">
        <v>5</v>
      </c>
      <c r="N18">
        <v>0.21984142647632701</v>
      </c>
      <c r="O18">
        <v>0.17095251728882799</v>
      </c>
      <c r="P18" t="str">
        <f t="shared" si="0"/>
        <v>F</v>
      </c>
      <c r="Q18" t="str">
        <f t="shared" si="1"/>
        <v>F</v>
      </c>
    </row>
    <row r="19" spans="1:17" hidden="1" x14ac:dyDescent="0.3">
      <c r="A19">
        <v>295</v>
      </c>
      <c r="B19">
        <v>1103</v>
      </c>
      <c r="C19">
        <v>417</v>
      </c>
      <c r="D19" t="s">
        <v>19</v>
      </c>
      <c r="E19" t="s">
        <v>16</v>
      </c>
      <c r="F19" t="s">
        <v>21</v>
      </c>
      <c r="G19" t="s">
        <v>22</v>
      </c>
      <c r="H19">
        <v>268.60000000000002</v>
      </c>
      <c r="I19">
        <v>234.5</v>
      </c>
      <c r="J19">
        <v>92.8</v>
      </c>
      <c r="K19">
        <v>64</v>
      </c>
      <c r="L19">
        <v>24.3</v>
      </c>
      <c r="M19">
        <v>5</v>
      </c>
      <c r="N19">
        <v>0.220459554377121</v>
      </c>
      <c r="O19">
        <v>0.174140748647334</v>
      </c>
      <c r="P19" t="str">
        <f t="shared" si="0"/>
        <v>F</v>
      </c>
      <c r="Q19" t="str">
        <f t="shared" si="1"/>
        <v>F</v>
      </c>
    </row>
    <row r="20" spans="1:17" hidden="1" x14ac:dyDescent="0.3">
      <c r="A20">
        <v>296</v>
      </c>
      <c r="B20">
        <v>1103</v>
      </c>
      <c r="C20">
        <v>417</v>
      </c>
      <c r="D20" t="s">
        <v>19</v>
      </c>
      <c r="E20" t="s">
        <v>16</v>
      </c>
      <c r="F20" t="s">
        <v>21</v>
      </c>
      <c r="G20" t="s">
        <v>22</v>
      </c>
      <c r="H20">
        <v>268.60000000000002</v>
      </c>
      <c r="I20">
        <v>234.5</v>
      </c>
      <c r="J20">
        <v>92.8</v>
      </c>
      <c r="K20">
        <v>64</v>
      </c>
      <c r="L20">
        <v>24.3</v>
      </c>
      <c r="M20">
        <v>5</v>
      </c>
      <c r="N20">
        <v>0.229264513863391</v>
      </c>
      <c r="O20">
        <v>0.16397799139878799</v>
      </c>
      <c r="P20" t="str">
        <f t="shared" si="0"/>
        <v>F</v>
      </c>
      <c r="Q20" t="str">
        <f t="shared" si="1"/>
        <v>F</v>
      </c>
    </row>
    <row r="21" spans="1:17" hidden="1" x14ac:dyDescent="0.3">
      <c r="A21">
        <v>464</v>
      </c>
      <c r="B21">
        <v>1164</v>
      </c>
      <c r="C21">
        <v>228</v>
      </c>
      <c r="D21" t="s">
        <v>19</v>
      </c>
      <c r="E21" t="s">
        <v>16</v>
      </c>
      <c r="F21" t="s">
        <v>21</v>
      </c>
      <c r="G21" t="s">
        <v>25</v>
      </c>
      <c r="H21">
        <v>275.39999999999998</v>
      </c>
      <c r="I21">
        <v>249.5</v>
      </c>
      <c r="J21">
        <v>93.4</v>
      </c>
      <c r="K21">
        <v>64</v>
      </c>
      <c r="L21">
        <v>28.4</v>
      </c>
      <c r="M21">
        <v>13</v>
      </c>
      <c r="N21">
        <v>9.6080405902115501E-2</v>
      </c>
      <c r="O21">
        <v>0.14824630935201599</v>
      </c>
      <c r="P21" t="str">
        <f t="shared" si="0"/>
        <v>F</v>
      </c>
      <c r="Q21" t="str">
        <f t="shared" si="1"/>
        <v>F</v>
      </c>
    </row>
    <row r="22" spans="1:17" hidden="1" x14ac:dyDescent="0.3">
      <c r="A22">
        <v>465</v>
      </c>
      <c r="B22">
        <v>1164</v>
      </c>
      <c r="C22">
        <v>228</v>
      </c>
      <c r="D22" t="s">
        <v>19</v>
      </c>
      <c r="E22" t="s">
        <v>16</v>
      </c>
      <c r="F22" t="s">
        <v>21</v>
      </c>
      <c r="G22" t="s">
        <v>25</v>
      </c>
      <c r="H22">
        <v>275.39999999999998</v>
      </c>
      <c r="I22">
        <v>249.5</v>
      </c>
      <c r="J22">
        <v>93.4</v>
      </c>
      <c r="K22">
        <v>64</v>
      </c>
      <c r="L22">
        <v>28.4</v>
      </c>
      <c r="M22">
        <v>13</v>
      </c>
      <c r="N22">
        <v>0.101991384349329</v>
      </c>
      <c r="O22">
        <v>0.15044257360289601</v>
      </c>
      <c r="P22" t="str">
        <f t="shared" si="0"/>
        <v>F</v>
      </c>
      <c r="Q22" t="str">
        <f t="shared" si="1"/>
        <v>F</v>
      </c>
    </row>
    <row r="23" spans="1:17" hidden="1" x14ac:dyDescent="0.3">
      <c r="A23">
        <v>493</v>
      </c>
      <c r="B23">
        <v>1176</v>
      </c>
      <c r="C23">
        <v>417</v>
      </c>
      <c r="D23" t="s">
        <v>19</v>
      </c>
      <c r="E23" t="s">
        <v>16</v>
      </c>
      <c r="F23" t="s">
        <v>17</v>
      </c>
      <c r="G23" t="s">
        <v>26</v>
      </c>
      <c r="H23">
        <v>268.60000000000002</v>
      </c>
      <c r="I23">
        <v>234.5</v>
      </c>
      <c r="J23">
        <v>92.8</v>
      </c>
      <c r="K23">
        <v>64</v>
      </c>
      <c r="L23">
        <v>24.3</v>
      </c>
      <c r="M23">
        <v>5</v>
      </c>
      <c r="N23">
        <v>0.23046758033922499</v>
      </c>
      <c r="O23">
        <v>0.15233028656721001</v>
      </c>
      <c r="P23" t="str">
        <f t="shared" si="0"/>
        <v>F</v>
      </c>
      <c r="Q23" t="str">
        <f t="shared" si="1"/>
        <v>F</v>
      </c>
    </row>
    <row r="24" spans="1:17" hidden="1" x14ac:dyDescent="0.3">
      <c r="A24">
        <v>494</v>
      </c>
      <c r="B24">
        <v>1176</v>
      </c>
      <c r="C24">
        <v>417</v>
      </c>
      <c r="D24" t="s">
        <v>19</v>
      </c>
      <c r="E24" t="s">
        <v>16</v>
      </c>
      <c r="F24" t="s">
        <v>17</v>
      </c>
      <c r="G24" t="s">
        <v>26</v>
      </c>
      <c r="H24">
        <v>268.60000000000002</v>
      </c>
      <c r="I24">
        <v>234.5</v>
      </c>
      <c r="J24">
        <v>92.8</v>
      </c>
      <c r="K24">
        <v>64</v>
      </c>
      <c r="L24">
        <v>24.3</v>
      </c>
      <c r="M24">
        <v>5</v>
      </c>
      <c r="N24">
        <v>0.20189886666267901</v>
      </c>
      <c r="O24">
        <v>0.13573576245309901</v>
      </c>
      <c r="P24" t="str">
        <f t="shared" si="0"/>
        <v>F</v>
      </c>
      <c r="Q24" t="str">
        <f t="shared" si="1"/>
        <v>F</v>
      </c>
    </row>
    <row r="25" spans="1:17" hidden="1" x14ac:dyDescent="0.3">
      <c r="A25">
        <v>495</v>
      </c>
      <c r="B25">
        <v>1176</v>
      </c>
      <c r="C25">
        <v>417</v>
      </c>
      <c r="D25" t="s">
        <v>19</v>
      </c>
      <c r="E25" t="s">
        <v>16</v>
      </c>
      <c r="F25" t="s">
        <v>17</v>
      </c>
      <c r="G25" t="s">
        <v>26</v>
      </c>
      <c r="H25">
        <v>268.60000000000002</v>
      </c>
      <c r="I25">
        <v>234.5</v>
      </c>
      <c r="J25">
        <v>92.8</v>
      </c>
      <c r="K25">
        <v>64</v>
      </c>
      <c r="L25">
        <v>24.3</v>
      </c>
      <c r="M25">
        <v>5</v>
      </c>
      <c r="N25">
        <v>0.19498238954299499</v>
      </c>
      <c r="O25">
        <v>0.14049702617915399</v>
      </c>
      <c r="P25" t="str">
        <f t="shared" si="0"/>
        <v>F</v>
      </c>
      <c r="Q25" t="str">
        <f t="shared" si="1"/>
        <v>F</v>
      </c>
    </row>
    <row r="26" spans="1:17" hidden="1" x14ac:dyDescent="0.3">
      <c r="A26">
        <v>496</v>
      </c>
      <c r="B26">
        <v>1176</v>
      </c>
      <c r="C26">
        <v>417</v>
      </c>
      <c r="D26" t="s">
        <v>19</v>
      </c>
      <c r="E26" t="s">
        <v>16</v>
      </c>
      <c r="F26" t="s">
        <v>17</v>
      </c>
      <c r="G26" t="s">
        <v>26</v>
      </c>
      <c r="H26">
        <v>268.60000000000002</v>
      </c>
      <c r="I26">
        <v>234.5</v>
      </c>
      <c r="J26">
        <v>92.8</v>
      </c>
      <c r="K26">
        <v>64</v>
      </c>
      <c r="L26">
        <v>24.3</v>
      </c>
      <c r="M26">
        <v>5</v>
      </c>
      <c r="N26">
        <v>0.19768411512800099</v>
      </c>
      <c r="O26">
        <v>0.14379313178754799</v>
      </c>
      <c r="P26" t="str">
        <f t="shared" si="0"/>
        <v>F</v>
      </c>
      <c r="Q26" t="str">
        <f t="shared" si="1"/>
        <v>F</v>
      </c>
    </row>
    <row r="27" spans="1:17" hidden="1" x14ac:dyDescent="0.3">
      <c r="A27">
        <v>497</v>
      </c>
      <c r="B27">
        <v>1176</v>
      </c>
      <c r="C27">
        <v>417</v>
      </c>
      <c r="D27" t="s">
        <v>19</v>
      </c>
      <c r="E27" t="s">
        <v>16</v>
      </c>
      <c r="F27" t="s">
        <v>17</v>
      </c>
      <c r="G27" t="s">
        <v>26</v>
      </c>
      <c r="H27">
        <v>268.60000000000002</v>
      </c>
      <c r="I27">
        <v>234.5</v>
      </c>
      <c r="J27">
        <v>92.8</v>
      </c>
      <c r="K27">
        <v>64</v>
      </c>
      <c r="L27">
        <v>24.3</v>
      </c>
      <c r="M27">
        <v>5</v>
      </c>
      <c r="N27">
        <v>0.23166211257384001</v>
      </c>
      <c r="O27">
        <v>0.14051986090205301</v>
      </c>
      <c r="P27" t="str">
        <f t="shared" si="0"/>
        <v>F</v>
      </c>
      <c r="Q27" t="str">
        <f t="shared" si="1"/>
        <v>F</v>
      </c>
    </row>
    <row r="28" spans="1:17" hidden="1" x14ac:dyDescent="0.3">
      <c r="A28">
        <v>499</v>
      </c>
      <c r="B28">
        <v>1178</v>
      </c>
      <c r="C28">
        <v>218</v>
      </c>
      <c r="D28" t="s">
        <v>19</v>
      </c>
      <c r="E28" t="s">
        <v>16</v>
      </c>
      <c r="F28" t="s">
        <v>17</v>
      </c>
      <c r="G28" t="s">
        <v>24</v>
      </c>
      <c r="H28">
        <v>274.5</v>
      </c>
      <c r="I28">
        <v>258</v>
      </c>
      <c r="J28">
        <v>101.5</v>
      </c>
      <c r="K28">
        <v>66.5</v>
      </c>
      <c r="L28">
        <v>27.9</v>
      </c>
      <c r="M28">
        <v>10</v>
      </c>
      <c r="N28">
        <v>0.14565177659282</v>
      </c>
      <c r="O28">
        <v>0.108790740682936</v>
      </c>
      <c r="P28" t="str">
        <f t="shared" si="0"/>
        <v>F</v>
      </c>
      <c r="Q28" t="str">
        <f t="shared" si="1"/>
        <v>F</v>
      </c>
    </row>
    <row r="29" spans="1:17" hidden="1" x14ac:dyDescent="0.3">
      <c r="A29">
        <v>528</v>
      </c>
      <c r="B29">
        <v>1192</v>
      </c>
      <c r="C29">
        <v>228</v>
      </c>
      <c r="D29" t="s">
        <v>19</v>
      </c>
      <c r="E29" t="s">
        <v>16</v>
      </c>
      <c r="F29" t="s">
        <v>17</v>
      </c>
      <c r="G29" t="s">
        <v>18</v>
      </c>
      <c r="H29">
        <v>275.39999999999998</v>
      </c>
      <c r="I29">
        <v>249.5</v>
      </c>
      <c r="J29">
        <v>93.4</v>
      </c>
      <c r="K29">
        <v>64</v>
      </c>
      <c r="L29">
        <v>28.4</v>
      </c>
      <c r="M29">
        <v>13</v>
      </c>
      <c r="N29">
        <v>7.1062147311143797E-2</v>
      </c>
      <c r="O29">
        <v>0.126750373841297</v>
      </c>
      <c r="P29" t="str">
        <f t="shared" si="0"/>
        <v>T</v>
      </c>
      <c r="Q29" t="str">
        <f t="shared" si="1"/>
        <v>F</v>
      </c>
    </row>
    <row r="30" spans="1:17" hidden="1" x14ac:dyDescent="0.3">
      <c r="A30">
        <v>647</v>
      </c>
      <c r="B30">
        <v>1233</v>
      </c>
      <c r="C30">
        <v>388</v>
      </c>
      <c r="D30" t="s">
        <v>19</v>
      </c>
      <c r="E30" t="s">
        <v>16</v>
      </c>
      <c r="F30" t="s">
        <v>17</v>
      </c>
      <c r="G30" t="s">
        <v>22</v>
      </c>
      <c r="H30">
        <v>277.10000000000002</v>
      </c>
      <c r="I30">
        <v>244.5</v>
      </c>
      <c r="J30">
        <v>91.9</v>
      </c>
      <c r="K30">
        <v>62.5</v>
      </c>
      <c r="L30">
        <v>25.9</v>
      </c>
      <c r="M30">
        <v>7</v>
      </c>
      <c r="N30">
        <v>0.11236001385677</v>
      </c>
      <c r="O30">
        <v>5.5827069220807199E-2</v>
      </c>
      <c r="P30" t="str">
        <f t="shared" si="0"/>
        <v>F</v>
      </c>
      <c r="Q30" t="str">
        <f t="shared" si="1"/>
        <v>T</v>
      </c>
    </row>
    <row r="31" spans="1:17" hidden="1" x14ac:dyDescent="0.3">
      <c r="A31">
        <v>648</v>
      </c>
      <c r="B31">
        <v>1233</v>
      </c>
      <c r="C31">
        <v>388</v>
      </c>
      <c r="D31" t="s">
        <v>19</v>
      </c>
      <c r="E31" t="s">
        <v>16</v>
      </c>
      <c r="F31" t="s">
        <v>17</v>
      </c>
      <c r="G31" t="s">
        <v>22</v>
      </c>
      <c r="H31">
        <v>277.10000000000002</v>
      </c>
      <c r="I31">
        <v>244.5</v>
      </c>
      <c r="J31">
        <v>91.9</v>
      </c>
      <c r="K31">
        <v>62.5</v>
      </c>
      <c r="L31">
        <v>25.9</v>
      </c>
      <c r="M31">
        <v>7</v>
      </c>
      <c r="N31">
        <v>0.106204040396117</v>
      </c>
      <c r="O31">
        <v>4.8911130372286997E-2</v>
      </c>
      <c r="P31" t="str">
        <f t="shared" si="0"/>
        <v>F</v>
      </c>
      <c r="Q31" t="str">
        <f t="shared" si="1"/>
        <v>T</v>
      </c>
    </row>
    <row r="32" spans="1:17" x14ac:dyDescent="0.3">
      <c r="A32" s="1">
        <v>649</v>
      </c>
      <c r="B32" s="1">
        <v>1233</v>
      </c>
      <c r="C32" s="1">
        <v>388</v>
      </c>
      <c r="D32" s="1" t="s">
        <v>19</v>
      </c>
      <c r="E32" s="1" t="s">
        <v>16</v>
      </c>
      <c r="F32" s="1" t="s">
        <v>17</v>
      </c>
      <c r="G32" s="1" t="s">
        <v>22</v>
      </c>
      <c r="H32" s="1">
        <v>277.10000000000002</v>
      </c>
      <c r="I32" s="1">
        <v>244.5</v>
      </c>
      <c r="J32" s="1">
        <v>91.9</v>
      </c>
      <c r="K32" s="1">
        <v>62.5</v>
      </c>
      <c r="L32" s="1">
        <v>25.9</v>
      </c>
      <c r="M32" s="1">
        <v>7</v>
      </c>
      <c r="N32" s="1">
        <v>8.0338479763507498E-2</v>
      </c>
      <c r="O32" s="1">
        <v>6.0501776404352198E-2</v>
      </c>
      <c r="P32" s="1" t="str">
        <f t="shared" si="0"/>
        <v>T</v>
      </c>
      <c r="Q32" s="1" t="str">
        <f t="shared" si="1"/>
        <v>T</v>
      </c>
    </row>
    <row r="33" spans="1:17" x14ac:dyDescent="0.3">
      <c r="A33" s="1">
        <v>650</v>
      </c>
      <c r="B33" s="1">
        <v>1233</v>
      </c>
      <c r="C33" s="1">
        <v>388</v>
      </c>
      <c r="D33" s="1" t="s">
        <v>19</v>
      </c>
      <c r="E33" s="1" t="s">
        <v>16</v>
      </c>
      <c r="F33" s="1" t="s">
        <v>17</v>
      </c>
      <c r="G33" s="1" t="s">
        <v>22</v>
      </c>
      <c r="H33" s="1">
        <v>277.10000000000002</v>
      </c>
      <c r="I33" s="1">
        <v>244.5</v>
      </c>
      <c r="J33" s="1">
        <v>91.9</v>
      </c>
      <c r="K33" s="1">
        <v>62.5</v>
      </c>
      <c r="L33" s="1">
        <v>25.9</v>
      </c>
      <c r="M33" s="1">
        <v>7</v>
      </c>
      <c r="N33" s="1">
        <v>8.5015076445129303E-2</v>
      </c>
      <c r="O33" s="1">
        <v>6.0474048841597697E-2</v>
      </c>
      <c r="P33" s="1" t="str">
        <f t="shared" si="0"/>
        <v>T</v>
      </c>
      <c r="Q33" s="1" t="str">
        <f t="shared" si="1"/>
        <v>T</v>
      </c>
    </row>
    <row r="34" spans="1:17" hidden="1" x14ac:dyDescent="0.3">
      <c r="A34">
        <v>651</v>
      </c>
      <c r="B34">
        <v>1233</v>
      </c>
      <c r="C34">
        <v>388</v>
      </c>
      <c r="D34" t="s">
        <v>19</v>
      </c>
      <c r="E34" t="s">
        <v>16</v>
      </c>
      <c r="F34" t="s">
        <v>17</v>
      </c>
      <c r="G34" t="s">
        <v>22</v>
      </c>
      <c r="H34">
        <v>277.10000000000002</v>
      </c>
      <c r="I34">
        <v>244.5</v>
      </c>
      <c r="J34">
        <v>91.9</v>
      </c>
      <c r="K34">
        <v>62.5</v>
      </c>
      <c r="L34">
        <v>25.9</v>
      </c>
      <c r="M34">
        <v>7</v>
      </c>
      <c r="N34">
        <v>0.117332466925304</v>
      </c>
      <c r="O34">
        <v>7.5935166876204094E-2</v>
      </c>
      <c r="P34" t="str">
        <f t="shared" si="0"/>
        <v>F</v>
      </c>
      <c r="Q34" t="str">
        <f t="shared" si="1"/>
        <v>F</v>
      </c>
    </row>
    <row r="35" spans="1:17" hidden="1" x14ac:dyDescent="0.3">
      <c r="A35">
        <v>659</v>
      </c>
      <c r="B35">
        <v>1239</v>
      </c>
      <c r="C35">
        <v>325</v>
      </c>
      <c r="D35" t="s">
        <v>19</v>
      </c>
      <c r="E35" t="s">
        <v>16</v>
      </c>
      <c r="F35" t="s">
        <v>21</v>
      </c>
      <c r="G35" t="s">
        <v>18</v>
      </c>
      <c r="H35">
        <v>274</v>
      </c>
      <c r="I35">
        <v>243.5</v>
      </c>
      <c r="J35">
        <v>94.8</v>
      </c>
      <c r="K35">
        <v>65.5</v>
      </c>
      <c r="L35">
        <v>26.1</v>
      </c>
      <c r="M35">
        <v>13</v>
      </c>
      <c r="N35">
        <v>0.25113978746231902</v>
      </c>
      <c r="O35">
        <v>7.9012797402681897E-2</v>
      </c>
      <c r="P35" t="str">
        <f t="shared" si="0"/>
        <v>F</v>
      </c>
      <c r="Q35" t="str">
        <f t="shared" si="1"/>
        <v>F</v>
      </c>
    </row>
    <row r="36" spans="1:17" hidden="1" x14ac:dyDescent="0.3">
      <c r="A36">
        <v>660</v>
      </c>
      <c r="B36">
        <v>1239</v>
      </c>
      <c r="C36">
        <v>325</v>
      </c>
      <c r="D36" t="s">
        <v>19</v>
      </c>
      <c r="E36" t="s">
        <v>16</v>
      </c>
      <c r="F36" t="s">
        <v>21</v>
      </c>
      <c r="G36" t="s">
        <v>18</v>
      </c>
      <c r="H36">
        <v>274</v>
      </c>
      <c r="I36">
        <v>243.5</v>
      </c>
      <c r="J36">
        <v>94.8</v>
      </c>
      <c r="K36">
        <v>65.5</v>
      </c>
      <c r="L36">
        <v>26.1</v>
      </c>
      <c r="M36">
        <v>13</v>
      </c>
      <c r="N36">
        <v>0.24094929474976301</v>
      </c>
      <c r="O36">
        <v>9.9808603159787193E-2</v>
      </c>
      <c r="P36" t="str">
        <f t="shared" si="0"/>
        <v>F</v>
      </c>
      <c r="Q36" t="str">
        <f t="shared" si="1"/>
        <v>F</v>
      </c>
    </row>
    <row r="37" spans="1:17" hidden="1" x14ac:dyDescent="0.3">
      <c r="A37">
        <v>694</v>
      </c>
      <c r="B37">
        <v>1251</v>
      </c>
      <c r="C37">
        <v>12</v>
      </c>
      <c r="D37" t="s">
        <v>19</v>
      </c>
      <c r="E37" t="s">
        <v>16</v>
      </c>
      <c r="F37" t="s">
        <v>21</v>
      </c>
      <c r="G37" t="s">
        <v>18</v>
      </c>
      <c r="H37">
        <v>280.39999999999998</v>
      </c>
      <c r="I37">
        <v>260</v>
      </c>
      <c r="J37">
        <v>102.4</v>
      </c>
      <c r="K37">
        <v>69.5</v>
      </c>
      <c r="L37">
        <v>28.2</v>
      </c>
      <c r="M37">
        <v>9</v>
      </c>
      <c r="N37">
        <v>0.134053176181229</v>
      </c>
      <c r="O37">
        <v>0.117609785403165</v>
      </c>
      <c r="P37" t="str">
        <f t="shared" si="0"/>
        <v>F</v>
      </c>
      <c r="Q37" t="str">
        <f t="shared" si="1"/>
        <v>F</v>
      </c>
    </row>
    <row r="38" spans="1:17" hidden="1" x14ac:dyDescent="0.3">
      <c r="A38">
        <v>695</v>
      </c>
      <c r="B38">
        <v>1251</v>
      </c>
      <c r="C38">
        <v>12</v>
      </c>
      <c r="D38" t="s">
        <v>19</v>
      </c>
      <c r="E38" t="s">
        <v>16</v>
      </c>
      <c r="F38" t="s">
        <v>21</v>
      </c>
      <c r="G38" t="s">
        <v>18</v>
      </c>
      <c r="H38">
        <v>280.39999999999998</v>
      </c>
      <c r="I38">
        <v>260</v>
      </c>
      <c r="J38">
        <v>102.4</v>
      </c>
      <c r="K38">
        <v>69.5</v>
      </c>
      <c r="L38">
        <v>28.2</v>
      </c>
      <c r="M38">
        <v>9</v>
      </c>
      <c r="N38">
        <v>0.15279979509827399</v>
      </c>
      <c r="O38">
        <v>0.14466771167790299</v>
      </c>
      <c r="P38" t="str">
        <f t="shared" si="0"/>
        <v>F</v>
      </c>
      <c r="Q38" t="str">
        <f t="shared" si="1"/>
        <v>F</v>
      </c>
    </row>
    <row r="39" spans="1:17" hidden="1" x14ac:dyDescent="0.3">
      <c r="A39">
        <v>696</v>
      </c>
      <c r="B39">
        <v>1251</v>
      </c>
      <c r="C39">
        <v>12</v>
      </c>
      <c r="D39" t="s">
        <v>19</v>
      </c>
      <c r="E39" t="s">
        <v>16</v>
      </c>
      <c r="F39" t="s">
        <v>21</v>
      </c>
      <c r="G39" t="s">
        <v>18</v>
      </c>
      <c r="H39">
        <v>280.39999999999998</v>
      </c>
      <c r="I39">
        <v>260</v>
      </c>
      <c r="J39">
        <v>102.4</v>
      </c>
      <c r="K39">
        <v>69.5</v>
      </c>
      <c r="L39">
        <v>28.2</v>
      </c>
      <c r="M39">
        <v>9</v>
      </c>
      <c r="N39">
        <v>0.16567825397924901</v>
      </c>
      <c r="O39">
        <v>0.13011063747805199</v>
      </c>
      <c r="P39" t="str">
        <f t="shared" si="0"/>
        <v>F</v>
      </c>
      <c r="Q39" t="str">
        <f t="shared" si="1"/>
        <v>F</v>
      </c>
    </row>
    <row r="40" spans="1:17" hidden="1" x14ac:dyDescent="0.3">
      <c r="A40">
        <v>697</v>
      </c>
      <c r="B40">
        <v>1251</v>
      </c>
      <c r="C40">
        <v>12</v>
      </c>
      <c r="D40" t="s">
        <v>19</v>
      </c>
      <c r="E40" t="s">
        <v>16</v>
      </c>
      <c r="F40" t="s">
        <v>21</v>
      </c>
      <c r="G40" t="s">
        <v>18</v>
      </c>
      <c r="H40">
        <v>280.39999999999998</v>
      </c>
      <c r="I40">
        <v>260</v>
      </c>
      <c r="J40">
        <v>102.4</v>
      </c>
      <c r="K40">
        <v>69.5</v>
      </c>
      <c r="L40">
        <v>28.2</v>
      </c>
      <c r="M40">
        <v>9</v>
      </c>
      <c r="N40">
        <v>0.15963632264919</v>
      </c>
      <c r="O40">
        <v>0.10585295237290999</v>
      </c>
      <c r="P40" t="str">
        <f t="shared" si="0"/>
        <v>F</v>
      </c>
      <c r="Q40" t="str">
        <f t="shared" si="1"/>
        <v>F</v>
      </c>
    </row>
    <row r="41" spans="1:17" hidden="1" x14ac:dyDescent="0.3">
      <c r="A41">
        <v>698</v>
      </c>
      <c r="B41">
        <v>1251</v>
      </c>
      <c r="C41">
        <v>12</v>
      </c>
      <c r="D41" t="s">
        <v>19</v>
      </c>
      <c r="E41" t="s">
        <v>16</v>
      </c>
      <c r="F41" t="s">
        <v>21</v>
      </c>
      <c r="G41" t="s">
        <v>18</v>
      </c>
      <c r="H41">
        <v>280.39999999999998</v>
      </c>
      <c r="I41">
        <v>260</v>
      </c>
      <c r="J41">
        <v>102.4</v>
      </c>
      <c r="K41">
        <v>69.5</v>
      </c>
      <c r="L41">
        <v>28.2</v>
      </c>
      <c r="M41">
        <v>9</v>
      </c>
      <c r="N41">
        <v>0.15183555356018399</v>
      </c>
      <c r="O41">
        <v>0.11531891316475799</v>
      </c>
      <c r="P41" t="str">
        <f t="shared" si="0"/>
        <v>F</v>
      </c>
      <c r="Q41" t="str">
        <f t="shared" si="1"/>
        <v>F</v>
      </c>
    </row>
    <row r="42" spans="1:17" hidden="1" x14ac:dyDescent="0.3">
      <c r="A42">
        <v>814</v>
      </c>
      <c r="B42">
        <v>1298</v>
      </c>
      <c r="C42">
        <v>368</v>
      </c>
      <c r="D42" t="s">
        <v>19</v>
      </c>
      <c r="E42" t="s">
        <v>16</v>
      </c>
      <c r="F42" t="s">
        <v>17</v>
      </c>
      <c r="G42" t="s">
        <v>22</v>
      </c>
      <c r="H42">
        <v>273.3</v>
      </c>
      <c r="I42">
        <v>249</v>
      </c>
      <c r="J42">
        <v>98.9</v>
      </c>
      <c r="K42">
        <v>68.5</v>
      </c>
      <c r="L42">
        <v>23.8</v>
      </c>
      <c r="M42">
        <v>9</v>
      </c>
      <c r="N42">
        <v>0.140450342627048</v>
      </c>
      <c r="O42">
        <v>4.1588092331957198E-2</v>
      </c>
      <c r="P42" t="str">
        <f t="shared" si="0"/>
        <v>F</v>
      </c>
      <c r="Q42" t="str">
        <f t="shared" si="1"/>
        <v>T</v>
      </c>
    </row>
    <row r="43" spans="1:17" hidden="1" x14ac:dyDescent="0.3">
      <c r="A43">
        <v>815</v>
      </c>
      <c r="B43">
        <v>1298</v>
      </c>
      <c r="C43">
        <v>368</v>
      </c>
      <c r="D43" t="s">
        <v>19</v>
      </c>
      <c r="E43" t="s">
        <v>16</v>
      </c>
      <c r="F43" t="s">
        <v>17</v>
      </c>
      <c r="G43" t="s">
        <v>22</v>
      </c>
      <c r="H43">
        <v>273.3</v>
      </c>
      <c r="I43">
        <v>249</v>
      </c>
      <c r="J43">
        <v>98.9</v>
      </c>
      <c r="K43">
        <v>68.5</v>
      </c>
      <c r="L43">
        <v>23.8</v>
      </c>
      <c r="M43">
        <v>9</v>
      </c>
      <c r="N43">
        <v>0.147547913475915</v>
      </c>
      <c r="O43">
        <v>5.2380268102262498E-2</v>
      </c>
      <c r="P43" t="str">
        <f t="shared" si="0"/>
        <v>F</v>
      </c>
      <c r="Q43" t="str">
        <f t="shared" si="1"/>
        <v>T</v>
      </c>
    </row>
    <row r="44" spans="1:17" hidden="1" x14ac:dyDescent="0.3">
      <c r="A44">
        <v>821</v>
      </c>
      <c r="B44">
        <v>13</v>
      </c>
      <c r="C44">
        <v>12</v>
      </c>
      <c r="D44" t="s">
        <v>19</v>
      </c>
      <c r="E44" t="s">
        <v>16</v>
      </c>
      <c r="F44" t="s">
        <v>17</v>
      </c>
      <c r="G44" t="s">
        <v>22</v>
      </c>
      <c r="H44">
        <v>280.39999999999998</v>
      </c>
      <c r="I44">
        <v>260</v>
      </c>
      <c r="J44">
        <v>102.4</v>
      </c>
      <c r="K44">
        <v>69.5</v>
      </c>
      <c r="L44">
        <v>28.2</v>
      </c>
      <c r="M44">
        <v>9</v>
      </c>
      <c r="N44">
        <v>0.14936160594026099</v>
      </c>
      <c r="O44">
        <v>0.12978445070526001</v>
      </c>
      <c r="P44" t="str">
        <f t="shared" si="0"/>
        <v>F</v>
      </c>
      <c r="Q44" t="str">
        <f t="shared" si="1"/>
        <v>F</v>
      </c>
    </row>
    <row r="45" spans="1:17" hidden="1" x14ac:dyDescent="0.3">
      <c r="A45">
        <v>822</v>
      </c>
      <c r="B45">
        <v>13</v>
      </c>
      <c r="C45">
        <v>12</v>
      </c>
      <c r="D45" t="s">
        <v>19</v>
      </c>
      <c r="E45" t="s">
        <v>16</v>
      </c>
      <c r="F45" t="s">
        <v>17</v>
      </c>
      <c r="G45" t="s">
        <v>22</v>
      </c>
      <c r="H45">
        <v>280.39999999999998</v>
      </c>
      <c r="I45">
        <v>260</v>
      </c>
      <c r="J45">
        <v>102.4</v>
      </c>
      <c r="K45">
        <v>69.5</v>
      </c>
      <c r="L45">
        <v>28.2</v>
      </c>
      <c r="M45">
        <v>9</v>
      </c>
      <c r="N45">
        <v>0.12759284085716099</v>
      </c>
      <c r="O45">
        <v>9.7951816528665706E-2</v>
      </c>
      <c r="P45" t="str">
        <f t="shared" si="0"/>
        <v>F</v>
      </c>
      <c r="Q45" t="str">
        <f t="shared" si="1"/>
        <v>F</v>
      </c>
    </row>
    <row r="46" spans="1:17" hidden="1" x14ac:dyDescent="0.3">
      <c r="A46">
        <v>823</v>
      </c>
      <c r="B46">
        <v>13</v>
      </c>
      <c r="C46">
        <v>12</v>
      </c>
      <c r="D46" t="s">
        <v>19</v>
      </c>
      <c r="E46" t="s">
        <v>16</v>
      </c>
      <c r="F46" t="s">
        <v>17</v>
      </c>
      <c r="G46" t="s">
        <v>22</v>
      </c>
      <c r="H46">
        <v>280.39999999999998</v>
      </c>
      <c r="I46">
        <v>260</v>
      </c>
      <c r="J46">
        <v>102.4</v>
      </c>
      <c r="K46">
        <v>69.5</v>
      </c>
      <c r="L46">
        <v>28.2</v>
      </c>
      <c r="M46">
        <v>9</v>
      </c>
      <c r="N46">
        <v>0.14854016149559601</v>
      </c>
      <c r="O46">
        <v>0.10364636043591299</v>
      </c>
      <c r="P46" t="str">
        <f t="shared" si="0"/>
        <v>F</v>
      </c>
      <c r="Q46" t="str">
        <f t="shared" si="1"/>
        <v>F</v>
      </c>
    </row>
    <row r="47" spans="1:17" hidden="1" x14ac:dyDescent="0.3">
      <c r="A47">
        <v>824</v>
      </c>
      <c r="B47">
        <v>13</v>
      </c>
      <c r="C47">
        <v>12</v>
      </c>
      <c r="D47" t="s">
        <v>19</v>
      </c>
      <c r="E47" t="s">
        <v>16</v>
      </c>
      <c r="F47" t="s">
        <v>17</v>
      </c>
      <c r="G47" t="s">
        <v>22</v>
      </c>
      <c r="H47">
        <v>280.39999999999998</v>
      </c>
      <c r="I47">
        <v>260</v>
      </c>
      <c r="J47">
        <v>102.4</v>
      </c>
      <c r="K47">
        <v>69.5</v>
      </c>
      <c r="L47">
        <v>28.2</v>
      </c>
      <c r="M47">
        <v>9</v>
      </c>
      <c r="N47">
        <v>0.13865559651232401</v>
      </c>
      <c r="O47">
        <v>0.103569626640198</v>
      </c>
      <c r="P47" t="str">
        <f t="shared" si="0"/>
        <v>F</v>
      </c>
      <c r="Q47" t="str">
        <f t="shared" si="1"/>
        <v>F</v>
      </c>
    </row>
    <row r="48" spans="1:17" hidden="1" x14ac:dyDescent="0.3">
      <c r="A48">
        <v>828</v>
      </c>
      <c r="B48">
        <v>1300</v>
      </c>
      <c r="C48">
        <v>255</v>
      </c>
      <c r="D48" t="s">
        <v>19</v>
      </c>
      <c r="E48" t="s">
        <v>16</v>
      </c>
      <c r="F48" t="s">
        <v>17</v>
      </c>
      <c r="G48" t="s">
        <v>26</v>
      </c>
      <c r="H48">
        <v>278.2</v>
      </c>
      <c r="I48">
        <v>254.5</v>
      </c>
      <c r="J48">
        <v>94.5</v>
      </c>
      <c r="K48">
        <v>67</v>
      </c>
      <c r="L48">
        <v>27.9</v>
      </c>
      <c r="M48">
        <v>11.5</v>
      </c>
      <c r="N48">
        <v>0.28074472329358802</v>
      </c>
      <c r="O48">
        <v>9.7468937526838495E-2</v>
      </c>
      <c r="P48" t="str">
        <f t="shared" si="0"/>
        <v>F</v>
      </c>
      <c r="Q48" t="str">
        <f t="shared" si="1"/>
        <v>F</v>
      </c>
    </row>
    <row r="49" spans="1:17" hidden="1" x14ac:dyDescent="0.3">
      <c r="A49">
        <v>895</v>
      </c>
      <c r="B49">
        <v>1321</v>
      </c>
      <c r="C49">
        <v>238</v>
      </c>
      <c r="D49" t="s">
        <v>19</v>
      </c>
      <c r="E49" t="s">
        <v>16</v>
      </c>
      <c r="F49" t="s">
        <v>21</v>
      </c>
      <c r="G49" t="s">
        <v>18</v>
      </c>
      <c r="H49">
        <v>273.3</v>
      </c>
      <c r="I49">
        <v>246</v>
      </c>
      <c r="J49">
        <v>92.6</v>
      </c>
      <c r="K49">
        <v>63.5</v>
      </c>
      <c r="L49">
        <v>25.5</v>
      </c>
      <c r="M49">
        <v>9.5</v>
      </c>
      <c r="N49">
        <v>0.12745102702792499</v>
      </c>
      <c r="O49">
        <v>0.17602246490485901</v>
      </c>
      <c r="P49" t="str">
        <f t="shared" si="0"/>
        <v>F</v>
      </c>
      <c r="Q49" t="str">
        <f t="shared" si="1"/>
        <v>F</v>
      </c>
    </row>
    <row r="50" spans="1:17" hidden="1" x14ac:dyDescent="0.3">
      <c r="A50">
        <v>896</v>
      </c>
      <c r="B50">
        <v>1321</v>
      </c>
      <c r="C50">
        <v>238</v>
      </c>
      <c r="D50" t="s">
        <v>19</v>
      </c>
      <c r="E50" t="s">
        <v>16</v>
      </c>
      <c r="F50" t="s">
        <v>21</v>
      </c>
      <c r="G50" t="s">
        <v>18</v>
      </c>
      <c r="H50">
        <v>273.3</v>
      </c>
      <c r="I50">
        <v>246</v>
      </c>
      <c r="J50">
        <v>92.6</v>
      </c>
      <c r="K50">
        <v>63.5</v>
      </c>
      <c r="L50">
        <v>25.5</v>
      </c>
      <c r="M50">
        <v>9.5</v>
      </c>
      <c r="N50">
        <v>0.129743734822172</v>
      </c>
      <c r="O50">
        <v>0.14350079021385201</v>
      </c>
      <c r="P50" t="str">
        <f t="shared" si="0"/>
        <v>F</v>
      </c>
      <c r="Q50" t="str">
        <f t="shared" si="1"/>
        <v>F</v>
      </c>
    </row>
    <row r="51" spans="1:17" hidden="1" x14ac:dyDescent="0.3">
      <c r="A51">
        <v>897</v>
      </c>
      <c r="B51">
        <v>1321</v>
      </c>
      <c r="C51">
        <v>238</v>
      </c>
      <c r="D51" t="s">
        <v>19</v>
      </c>
      <c r="E51" t="s">
        <v>16</v>
      </c>
      <c r="F51" t="s">
        <v>21</v>
      </c>
      <c r="G51" t="s">
        <v>18</v>
      </c>
      <c r="H51">
        <v>273.3</v>
      </c>
      <c r="I51">
        <v>246</v>
      </c>
      <c r="J51">
        <v>92.6</v>
      </c>
      <c r="K51">
        <v>63.5</v>
      </c>
      <c r="L51">
        <v>25.5</v>
      </c>
      <c r="M51">
        <v>9.5</v>
      </c>
      <c r="N51">
        <v>0.125099941300502</v>
      </c>
      <c r="O51">
        <v>0.15694335206073401</v>
      </c>
      <c r="P51" t="str">
        <f t="shared" si="0"/>
        <v>F</v>
      </c>
      <c r="Q51" t="str">
        <f t="shared" si="1"/>
        <v>F</v>
      </c>
    </row>
    <row r="52" spans="1:17" hidden="1" x14ac:dyDescent="0.3">
      <c r="A52">
        <v>952</v>
      </c>
      <c r="B52">
        <v>1339</v>
      </c>
      <c r="C52">
        <v>218</v>
      </c>
      <c r="D52" t="s">
        <v>19</v>
      </c>
      <c r="E52" t="s">
        <v>16</v>
      </c>
      <c r="F52" t="s">
        <v>21</v>
      </c>
      <c r="G52" t="s">
        <v>26</v>
      </c>
      <c r="H52">
        <v>274.5</v>
      </c>
      <c r="I52">
        <v>258</v>
      </c>
      <c r="J52">
        <v>101.5</v>
      </c>
      <c r="K52">
        <v>66.5</v>
      </c>
      <c r="L52">
        <v>27.9</v>
      </c>
      <c r="M52">
        <v>10</v>
      </c>
      <c r="N52">
        <v>0.116203631157311</v>
      </c>
      <c r="O52">
        <v>8.26878303577257E-2</v>
      </c>
      <c r="P52" t="str">
        <f t="shared" si="0"/>
        <v>F</v>
      </c>
      <c r="Q52" t="str">
        <f t="shared" si="1"/>
        <v>F</v>
      </c>
    </row>
    <row r="53" spans="1:17" hidden="1" x14ac:dyDescent="0.3">
      <c r="A53">
        <v>953</v>
      </c>
      <c r="B53">
        <v>1339</v>
      </c>
      <c r="C53">
        <v>218</v>
      </c>
      <c r="D53" t="s">
        <v>19</v>
      </c>
      <c r="E53" t="s">
        <v>16</v>
      </c>
      <c r="F53" t="s">
        <v>21</v>
      </c>
      <c r="G53" t="s">
        <v>26</v>
      </c>
      <c r="H53">
        <v>274.5</v>
      </c>
      <c r="I53">
        <v>258</v>
      </c>
      <c r="J53">
        <v>101.5</v>
      </c>
      <c r="K53">
        <v>66.5</v>
      </c>
      <c r="L53">
        <v>27.9</v>
      </c>
      <c r="M53">
        <v>10</v>
      </c>
      <c r="N53">
        <v>0.14520501776331801</v>
      </c>
      <c r="O53">
        <v>0.102251526870342</v>
      </c>
      <c r="P53" t="str">
        <f t="shared" si="0"/>
        <v>F</v>
      </c>
      <c r="Q53" t="str">
        <f t="shared" si="1"/>
        <v>F</v>
      </c>
    </row>
    <row r="54" spans="1:17" hidden="1" x14ac:dyDescent="0.3">
      <c r="A54">
        <v>954</v>
      </c>
      <c r="B54">
        <v>1339</v>
      </c>
      <c r="C54">
        <v>218</v>
      </c>
      <c r="D54" t="s">
        <v>19</v>
      </c>
      <c r="E54" t="s">
        <v>16</v>
      </c>
      <c r="F54" t="s">
        <v>21</v>
      </c>
      <c r="G54" t="s">
        <v>26</v>
      </c>
      <c r="H54">
        <v>274.5</v>
      </c>
      <c r="I54">
        <v>258</v>
      </c>
      <c r="J54">
        <v>101.5</v>
      </c>
      <c r="K54">
        <v>66.5</v>
      </c>
      <c r="L54">
        <v>27.9</v>
      </c>
      <c r="M54">
        <v>10</v>
      </c>
      <c r="N54">
        <v>0.12660580881722899</v>
      </c>
      <c r="O54">
        <v>9.9290307154594803E-2</v>
      </c>
      <c r="P54" t="str">
        <f t="shared" si="0"/>
        <v>F</v>
      </c>
      <c r="Q54" t="str">
        <f t="shared" si="1"/>
        <v>F</v>
      </c>
    </row>
    <row r="55" spans="1:17" hidden="1" x14ac:dyDescent="0.3">
      <c r="A55">
        <v>972</v>
      </c>
      <c r="B55">
        <v>1346</v>
      </c>
      <c r="C55">
        <v>387</v>
      </c>
      <c r="D55" t="s">
        <v>19</v>
      </c>
      <c r="E55" t="s">
        <v>16</v>
      </c>
      <c r="F55" t="s">
        <v>21</v>
      </c>
      <c r="G55" t="s">
        <v>18</v>
      </c>
      <c r="H55">
        <v>275.2</v>
      </c>
      <c r="I55">
        <v>249.5</v>
      </c>
      <c r="J55">
        <v>96.8</v>
      </c>
      <c r="K55">
        <v>66</v>
      </c>
      <c r="L55">
        <v>25.3</v>
      </c>
      <c r="M55">
        <v>8.5</v>
      </c>
      <c r="N55">
        <v>8.5218030464766004E-2</v>
      </c>
      <c r="O55">
        <v>6.5368966564355993E-2</v>
      </c>
      <c r="P55" t="str">
        <f t="shared" si="0"/>
        <v>T</v>
      </c>
      <c r="Q55" t="str">
        <f t="shared" si="1"/>
        <v>F</v>
      </c>
    </row>
    <row r="56" spans="1:17" hidden="1" x14ac:dyDescent="0.3">
      <c r="A56">
        <v>973</v>
      </c>
      <c r="B56">
        <v>1346</v>
      </c>
      <c r="C56">
        <v>387</v>
      </c>
      <c r="D56" t="s">
        <v>19</v>
      </c>
      <c r="E56" t="s">
        <v>16</v>
      </c>
      <c r="F56" t="s">
        <v>21</v>
      </c>
      <c r="G56" t="s">
        <v>18</v>
      </c>
      <c r="H56">
        <v>275.2</v>
      </c>
      <c r="I56">
        <v>249.5</v>
      </c>
      <c r="J56">
        <v>96.8</v>
      </c>
      <c r="K56">
        <v>66</v>
      </c>
      <c r="L56">
        <v>25.3</v>
      </c>
      <c r="M56">
        <v>8.5</v>
      </c>
      <c r="N56">
        <v>8.1329959781609895E-2</v>
      </c>
      <c r="O56">
        <v>9.7304218328993802E-2</v>
      </c>
      <c r="P56" t="str">
        <f t="shared" si="0"/>
        <v>T</v>
      </c>
      <c r="Q56" t="str">
        <f t="shared" si="1"/>
        <v>F</v>
      </c>
    </row>
    <row r="57" spans="1:17" hidden="1" x14ac:dyDescent="0.3">
      <c r="A57">
        <v>974</v>
      </c>
      <c r="B57">
        <v>1346</v>
      </c>
      <c r="C57">
        <v>387</v>
      </c>
      <c r="D57" t="s">
        <v>19</v>
      </c>
      <c r="E57" t="s">
        <v>16</v>
      </c>
      <c r="F57" t="s">
        <v>21</v>
      </c>
      <c r="G57" t="s">
        <v>18</v>
      </c>
      <c r="H57">
        <v>275.2</v>
      </c>
      <c r="I57">
        <v>249.5</v>
      </c>
      <c r="J57">
        <v>96.8</v>
      </c>
      <c r="K57">
        <v>66</v>
      </c>
      <c r="L57">
        <v>25.3</v>
      </c>
      <c r="M57">
        <v>8.5</v>
      </c>
      <c r="N57">
        <v>7.1411626658945904E-2</v>
      </c>
      <c r="O57">
        <v>7.6500795089330303E-2</v>
      </c>
      <c r="P57" t="str">
        <f t="shared" si="0"/>
        <v>T</v>
      </c>
      <c r="Q57" t="str">
        <f t="shared" si="1"/>
        <v>F</v>
      </c>
    </row>
    <row r="58" spans="1:17" hidden="1" x14ac:dyDescent="0.3">
      <c r="A58">
        <v>975</v>
      </c>
      <c r="B58">
        <v>1346</v>
      </c>
      <c r="C58">
        <v>387</v>
      </c>
      <c r="D58" t="s">
        <v>19</v>
      </c>
      <c r="E58" t="s">
        <v>16</v>
      </c>
      <c r="F58" t="s">
        <v>21</v>
      </c>
      <c r="G58" t="s">
        <v>18</v>
      </c>
      <c r="H58">
        <v>275.2</v>
      </c>
      <c r="I58">
        <v>249.5</v>
      </c>
      <c r="J58">
        <v>96.8</v>
      </c>
      <c r="K58">
        <v>66</v>
      </c>
      <c r="L58">
        <v>25.3</v>
      </c>
      <c r="M58">
        <v>8.5</v>
      </c>
      <c r="N58">
        <v>7.4120378762913497E-2</v>
      </c>
      <c r="O58">
        <v>8.3761587903857695E-2</v>
      </c>
      <c r="P58" t="str">
        <f t="shared" si="0"/>
        <v>T</v>
      </c>
      <c r="Q58" t="str">
        <f t="shared" si="1"/>
        <v>F</v>
      </c>
    </row>
    <row r="59" spans="1:17" hidden="1" x14ac:dyDescent="0.3">
      <c r="A59">
        <v>1007</v>
      </c>
      <c r="B59">
        <v>1360</v>
      </c>
      <c r="C59">
        <v>388</v>
      </c>
      <c r="D59" t="s">
        <v>19</v>
      </c>
      <c r="E59" t="s">
        <v>16</v>
      </c>
      <c r="F59" t="s">
        <v>21</v>
      </c>
      <c r="G59" t="s">
        <v>26</v>
      </c>
      <c r="H59">
        <v>277.10000000000002</v>
      </c>
      <c r="I59">
        <v>244.5</v>
      </c>
      <c r="J59">
        <v>91.9</v>
      </c>
      <c r="K59">
        <v>62.5</v>
      </c>
      <c r="L59">
        <v>25.9</v>
      </c>
      <c r="M59">
        <v>7</v>
      </c>
      <c r="N59">
        <v>9.38330110555924E-2</v>
      </c>
      <c r="O59">
        <v>9.1477296682263204E-2</v>
      </c>
      <c r="P59" t="str">
        <f t="shared" si="0"/>
        <v>T</v>
      </c>
      <c r="Q59" t="str">
        <f t="shared" si="1"/>
        <v>F</v>
      </c>
    </row>
    <row r="60" spans="1:17" hidden="1" x14ac:dyDescent="0.3">
      <c r="A60">
        <v>1019</v>
      </c>
      <c r="B60">
        <v>1369</v>
      </c>
      <c r="C60">
        <v>388</v>
      </c>
      <c r="D60" t="s">
        <v>19</v>
      </c>
      <c r="E60" t="s">
        <v>16</v>
      </c>
      <c r="F60" t="s">
        <v>21</v>
      </c>
      <c r="G60" t="s">
        <v>22</v>
      </c>
      <c r="H60">
        <v>277.10000000000002</v>
      </c>
      <c r="I60">
        <v>244.5</v>
      </c>
      <c r="J60">
        <v>91.9</v>
      </c>
      <c r="K60">
        <v>62.5</v>
      </c>
      <c r="L60">
        <v>25.9</v>
      </c>
      <c r="M60">
        <v>7</v>
      </c>
      <c r="N60">
        <v>0.120360178984556</v>
      </c>
      <c r="O60">
        <v>8.71888731806678E-2</v>
      </c>
      <c r="P60" t="str">
        <f t="shared" si="0"/>
        <v>F</v>
      </c>
      <c r="Q60" t="str">
        <f t="shared" si="1"/>
        <v>F</v>
      </c>
    </row>
    <row r="61" spans="1:17" hidden="1" x14ac:dyDescent="0.3">
      <c r="A61">
        <v>1020</v>
      </c>
      <c r="B61">
        <v>1369</v>
      </c>
      <c r="C61">
        <v>388</v>
      </c>
      <c r="D61" t="s">
        <v>19</v>
      </c>
      <c r="E61" t="s">
        <v>16</v>
      </c>
      <c r="F61" t="s">
        <v>21</v>
      </c>
      <c r="G61" t="s">
        <v>22</v>
      </c>
      <c r="H61">
        <v>277.10000000000002</v>
      </c>
      <c r="I61">
        <v>244.5</v>
      </c>
      <c r="J61">
        <v>91.9</v>
      </c>
      <c r="K61">
        <v>62.5</v>
      </c>
      <c r="L61">
        <v>25.9</v>
      </c>
      <c r="M61">
        <v>7</v>
      </c>
      <c r="N61">
        <v>0.106807057183343</v>
      </c>
      <c r="O61">
        <v>9.5008699440646702E-2</v>
      </c>
      <c r="P61" t="str">
        <f t="shared" si="0"/>
        <v>F</v>
      </c>
      <c r="Q61" t="str">
        <f t="shared" si="1"/>
        <v>F</v>
      </c>
    </row>
    <row r="62" spans="1:17" hidden="1" x14ac:dyDescent="0.3">
      <c r="A62">
        <v>1021</v>
      </c>
      <c r="B62">
        <v>1369</v>
      </c>
      <c r="C62">
        <v>388</v>
      </c>
      <c r="D62" t="s">
        <v>19</v>
      </c>
      <c r="E62" t="s">
        <v>16</v>
      </c>
      <c r="F62" t="s">
        <v>21</v>
      </c>
      <c r="G62" t="s">
        <v>22</v>
      </c>
      <c r="H62">
        <v>277.10000000000002</v>
      </c>
      <c r="I62">
        <v>244.5</v>
      </c>
      <c r="J62">
        <v>91.9</v>
      </c>
      <c r="K62">
        <v>62.5</v>
      </c>
      <c r="L62">
        <v>25.9</v>
      </c>
      <c r="M62">
        <v>7</v>
      </c>
      <c r="N62">
        <v>0.10857040303323499</v>
      </c>
      <c r="O62">
        <v>7.8808268963325795E-2</v>
      </c>
      <c r="P62" t="str">
        <f t="shared" si="0"/>
        <v>F</v>
      </c>
      <c r="Q62" t="str">
        <f t="shared" si="1"/>
        <v>F</v>
      </c>
    </row>
    <row r="63" spans="1:17" hidden="1" x14ac:dyDescent="0.3">
      <c r="A63">
        <v>1061</v>
      </c>
      <c r="B63">
        <v>1383</v>
      </c>
      <c r="C63">
        <v>325</v>
      </c>
      <c r="D63" t="s">
        <v>19</v>
      </c>
      <c r="E63" t="s">
        <v>16</v>
      </c>
      <c r="F63" t="s">
        <v>17</v>
      </c>
      <c r="G63" t="s">
        <v>18</v>
      </c>
      <c r="H63">
        <v>274</v>
      </c>
      <c r="I63">
        <v>243.5</v>
      </c>
      <c r="J63">
        <v>94.8</v>
      </c>
      <c r="K63">
        <v>65.5</v>
      </c>
      <c r="L63">
        <v>26.1</v>
      </c>
      <c r="M63">
        <v>13</v>
      </c>
      <c r="N63">
        <v>0.211219693421549</v>
      </c>
      <c r="O63">
        <v>6.7730667970222105E-2</v>
      </c>
      <c r="P63" t="str">
        <f t="shared" si="0"/>
        <v>F</v>
      </c>
      <c r="Q63" t="str">
        <f t="shared" si="1"/>
        <v>F</v>
      </c>
    </row>
    <row r="64" spans="1:17" hidden="1" x14ac:dyDescent="0.3">
      <c r="A64">
        <v>1062</v>
      </c>
      <c r="B64">
        <v>1383</v>
      </c>
      <c r="C64">
        <v>325</v>
      </c>
      <c r="D64" t="s">
        <v>19</v>
      </c>
      <c r="E64" t="s">
        <v>16</v>
      </c>
      <c r="F64" t="s">
        <v>17</v>
      </c>
      <c r="G64" t="s">
        <v>18</v>
      </c>
      <c r="H64">
        <v>274</v>
      </c>
      <c r="I64">
        <v>243.5</v>
      </c>
      <c r="J64">
        <v>94.8</v>
      </c>
      <c r="K64">
        <v>65.5</v>
      </c>
      <c r="L64">
        <v>26.1</v>
      </c>
      <c r="M64">
        <v>13</v>
      </c>
      <c r="N64">
        <v>0.216248743059865</v>
      </c>
      <c r="O64">
        <v>6.7306833816870304E-2</v>
      </c>
      <c r="P64" t="str">
        <f t="shared" si="0"/>
        <v>F</v>
      </c>
      <c r="Q64" t="str">
        <f t="shared" si="1"/>
        <v>F</v>
      </c>
    </row>
    <row r="65" spans="1:17" hidden="1" x14ac:dyDescent="0.3">
      <c r="A65">
        <v>1063</v>
      </c>
      <c r="B65">
        <v>1383</v>
      </c>
      <c r="C65">
        <v>325</v>
      </c>
      <c r="D65" t="s">
        <v>19</v>
      </c>
      <c r="E65" t="s">
        <v>16</v>
      </c>
      <c r="F65" t="s">
        <v>17</v>
      </c>
      <c r="G65" t="s">
        <v>18</v>
      </c>
      <c r="H65">
        <v>274</v>
      </c>
      <c r="I65">
        <v>243.5</v>
      </c>
      <c r="J65">
        <v>94.8</v>
      </c>
      <c r="K65">
        <v>65.5</v>
      </c>
      <c r="L65">
        <v>26.1</v>
      </c>
      <c r="M65">
        <v>13</v>
      </c>
      <c r="N65">
        <v>0.23350679273042399</v>
      </c>
      <c r="O65">
        <v>0.104115657564332</v>
      </c>
      <c r="P65" t="str">
        <f t="shared" si="0"/>
        <v>F</v>
      </c>
      <c r="Q65" t="str">
        <f t="shared" si="1"/>
        <v>F</v>
      </c>
    </row>
    <row r="66" spans="1:17" hidden="1" x14ac:dyDescent="0.3">
      <c r="A66">
        <v>1079</v>
      </c>
      <c r="B66">
        <v>139</v>
      </c>
      <c r="C66">
        <v>405</v>
      </c>
      <c r="D66" t="s">
        <v>19</v>
      </c>
      <c r="E66" t="s">
        <v>16</v>
      </c>
      <c r="F66" t="s">
        <v>17</v>
      </c>
      <c r="G66" t="s">
        <v>26</v>
      </c>
      <c r="H66">
        <v>277.60000000000002</v>
      </c>
      <c r="I66">
        <v>250</v>
      </c>
      <c r="J66">
        <v>93.4</v>
      </c>
      <c r="K66">
        <v>67.5</v>
      </c>
      <c r="L66">
        <v>29.4</v>
      </c>
      <c r="M66">
        <v>6</v>
      </c>
      <c r="N66">
        <v>0.28715464022916898</v>
      </c>
      <c r="O66">
        <v>8.9820162751386295E-2</v>
      </c>
      <c r="P66" t="str">
        <f t="shared" si="0"/>
        <v>F</v>
      </c>
      <c r="Q66" t="str">
        <f t="shared" si="1"/>
        <v>F</v>
      </c>
    </row>
    <row r="67" spans="1:17" hidden="1" x14ac:dyDescent="0.3">
      <c r="A67">
        <v>1254</v>
      </c>
      <c r="B67">
        <v>1457</v>
      </c>
      <c r="C67">
        <v>399</v>
      </c>
      <c r="D67" t="s">
        <v>19</v>
      </c>
      <c r="E67" t="s">
        <v>16</v>
      </c>
      <c r="F67" t="s">
        <v>21</v>
      </c>
      <c r="G67" t="s">
        <v>25</v>
      </c>
      <c r="H67">
        <v>273.89999999999998</v>
      </c>
      <c r="I67">
        <v>253</v>
      </c>
      <c r="J67">
        <v>99.6</v>
      </c>
      <c r="K67">
        <v>66</v>
      </c>
      <c r="L67">
        <v>25.8</v>
      </c>
      <c r="M67">
        <v>9.5</v>
      </c>
      <c r="N67">
        <v>0.23894699943033801</v>
      </c>
      <c r="O67">
        <v>7.0646422126540098E-2</v>
      </c>
      <c r="P67" t="str">
        <f t="shared" ref="P67:P130" si="2">IF(N67&lt;0.095876, "T", "F")</f>
        <v>F</v>
      </c>
      <c r="Q67" t="str">
        <f t="shared" ref="Q67:Q130" si="3">IF(O67&lt; 0.064417, "T", "F")</f>
        <v>F</v>
      </c>
    </row>
    <row r="68" spans="1:17" hidden="1" x14ac:dyDescent="0.3">
      <c r="A68">
        <v>1255</v>
      </c>
      <c r="B68">
        <v>1457</v>
      </c>
      <c r="C68">
        <v>399</v>
      </c>
      <c r="D68" t="s">
        <v>19</v>
      </c>
      <c r="E68" t="s">
        <v>16</v>
      </c>
      <c r="F68" t="s">
        <v>21</v>
      </c>
      <c r="G68" t="s">
        <v>25</v>
      </c>
      <c r="H68">
        <v>273.89999999999998</v>
      </c>
      <c r="I68">
        <v>253</v>
      </c>
      <c r="J68">
        <v>99.6</v>
      </c>
      <c r="K68">
        <v>66</v>
      </c>
      <c r="L68">
        <v>25.8</v>
      </c>
      <c r="M68">
        <v>9.5</v>
      </c>
      <c r="N68">
        <v>0.24720748457633501</v>
      </c>
      <c r="O68">
        <v>7.4244298466039194E-2</v>
      </c>
      <c r="P68" t="str">
        <f t="shared" si="2"/>
        <v>F</v>
      </c>
      <c r="Q68" t="str">
        <f t="shared" si="3"/>
        <v>F</v>
      </c>
    </row>
    <row r="69" spans="1:17" hidden="1" x14ac:dyDescent="0.3">
      <c r="A69">
        <v>1256</v>
      </c>
      <c r="B69">
        <v>1457</v>
      </c>
      <c r="C69">
        <v>399</v>
      </c>
      <c r="D69" t="s">
        <v>19</v>
      </c>
      <c r="E69" t="s">
        <v>16</v>
      </c>
      <c r="F69" t="s">
        <v>21</v>
      </c>
      <c r="G69" t="s">
        <v>25</v>
      </c>
      <c r="H69">
        <v>273.89999999999998</v>
      </c>
      <c r="I69">
        <v>253</v>
      </c>
      <c r="J69">
        <v>99.6</v>
      </c>
      <c r="K69">
        <v>66</v>
      </c>
      <c r="L69">
        <v>25.8</v>
      </c>
      <c r="M69">
        <v>9.5</v>
      </c>
      <c r="N69">
        <v>0.24831655312992701</v>
      </c>
      <c r="O69">
        <v>5.4738162629328999E-2</v>
      </c>
      <c r="P69" t="str">
        <f t="shared" si="2"/>
        <v>F</v>
      </c>
      <c r="Q69" t="str">
        <f t="shared" si="3"/>
        <v>T</v>
      </c>
    </row>
    <row r="70" spans="1:17" hidden="1" x14ac:dyDescent="0.3">
      <c r="A70">
        <v>1288</v>
      </c>
      <c r="B70">
        <v>147</v>
      </c>
      <c r="C70">
        <v>388</v>
      </c>
      <c r="D70" t="s">
        <v>19</v>
      </c>
      <c r="E70" t="s">
        <v>16</v>
      </c>
      <c r="F70" t="s">
        <v>21</v>
      </c>
      <c r="G70" t="s">
        <v>25</v>
      </c>
      <c r="H70">
        <v>277.10000000000002</v>
      </c>
      <c r="I70">
        <v>244.5</v>
      </c>
      <c r="J70">
        <v>91.9</v>
      </c>
      <c r="K70">
        <v>62.5</v>
      </c>
      <c r="L70">
        <v>25.9</v>
      </c>
      <c r="M70">
        <v>7</v>
      </c>
      <c r="N70">
        <v>9.5764238319950304E-2</v>
      </c>
      <c r="O70">
        <v>8.4823226822472494E-2</v>
      </c>
      <c r="P70" t="str">
        <f t="shared" si="2"/>
        <v>T</v>
      </c>
      <c r="Q70" t="str">
        <f t="shared" si="3"/>
        <v>F</v>
      </c>
    </row>
    <row r="71" spans="1:17" hidden="1" x14ac:dyDescent="0.3">
      <c r="A71">
        <v>1334</v>
      </c>
      <c r="B71">
        <v>1488</v>
      </c>
      <c r="C71">
        <v>388</v>
      </c>
      <c r="D71" t="s">
        <v>19</v>
      </c>
      <c r="E71" t="s">
        <v>16</v>
      </c>
      <c r="F71" t="s">
        <v>17</v>
      </c>
      <c r="G71" t="s">
        <v>26</v>
      </c>
      <c r="H71">
        <v>277.10000000000002</v>
      </c>
      <c r="I71">
        <v>244.5</v>
      </c>
      <c r="J71">
        <v>91.9</v>
      </c>
      <c r="K71">
        <v>62.5</v>
      </c>
      <c r="L71">
        <v>25.9</v>
      </c>
      <c r="M71">
        <v>7</v>
      </c>
      <c r="N71">
        <v>0.112841524463357</v>
      </c>
      <c r="O71">
        <v>7.0110903602230407E-2</v>
      </c>
      <c r="P71" t="str">
        <f t="shared" si="2"/>
        <v>F</v>
      </c>
      <c r="Q71" t="str">
        <f t="shared" si="3"/>
        <v>F</v>
      </c>
    </row>
    <row r="72" spans="1:17" x14ac:dyDescent="0.3">
      <c r="A72" s="1">
        <v>1335</v>
      </c>
      <c r="B72" s="1">
        <v>1488</v>
      </c>
      <c r="C72" s="1">
        <v>388</v>
      </c>
      <c r="D72" s="1" t="s">
        <v>19</v>
      </c>
      <c r="E72" s="1" t="s">
        <v>16</v>
      </c>
      <c r="F72" s="1" t="s">
        <v>17</v>
      </c>
      <c r="G72" s="1" t="s">
        <v>26</v>
      </c>
      <c r="H72" s="1">
        <v>277.10000000000002</v>
      </c>
      <c r="I72" s="1">
        <v>244.5</v>
      </c>
      <c r="J72" s="1">
        <v>91.9</v>
      </c>
      <c r="K72" s="1">
        <v>62.5</v>
      </c>
      <c r="L72" s="1">
        <v>25.9</v>
      </c>
      <c r="M72" s="1">
        <v>7</v>
      </c>
      <c r="N72" s="1">
        <v>9.2346731162080503E-2</v>
      </c>
      <c r="O72" s="1">
        <v>5.0871571006028897E-2</v>
      </c>
      <c r="P72" s="1" t="str">
        <f t="shared" si="2"/>
        <v>T</v>
      </c>
      <c r="Q72" s="1" t="str">
        <f t="shared" si="3"/>
        <v>T</v>
      </c>
    </row>
    <row r="73" spans="1:17" x14ac:dyDescent="0.3">
      <c r="A73" s="1">
        <v>1336</v>
      </c>
      <c r="B73" s="1">
        <v>1488</v>
      </c>
      <c r="C73" s="1">
        <v>388</v>
      </c>
      <c r="D73" s="1" t="s">
        <v>19</v>
      </c>
      <c r="E73" s="1" t="s">
        <v>16</v>
      </c>
      <c r="F73" s="1" t="s">
        <v>17</v>
      </c>
      <c r="G73" s="1" t="s">
        <v>26</v>
      </c>
      <c r="H73" s="1">
        <v>277.10000000000002</v>
      </c>
      <c r="I73" s="1">
        <v>244.5</v>
      </c>
      <c r="J73" s="1">
        <v>91.9</v>
      </c>
      <c r="K73" s="1">
        <v>62.5</v>
      </c>
      <c r="L73" s="1">
        <v>25.9</v>
      </c>
      <c r="M73" s="1">
        <v>7</v>
      </c>
      <c r="N73" s="1">
        <v>9.1292412570251294E-2</v>
      </c>
      <c r="O73" s="1">
        <v>6.0696226153111099E-2</v>
      </c>
      <c r="P73" s="1" t="str">
        <f t="shared" si="2"/>
        <v>T</v>
      </c>
      <c r="Q73" s="1" t="str">
        <f t="shared" si="3"/>
        <v>T</v>
      </c>
    </row>
    <row r="74" spans="1:17" hidden="1" x14ac:dyDescent="0.3">
      <c r="A74">
        <v>1337</v>
      </c>
      <c r="B74">
        <v>1488</v>
      </c>
      <c r="C74">
        <v>388</v>
      </c>
      <c r="D74" t="s">
        <v>19</v>
      </c>
      <c r="E74" t="s">
        <v>16</v>
      </c>
      <c r="F74" t="s">
        <v>17</v>
      </c>
      <c r="G74" t="s">
        <v>26</v>
      </c>
      <c r="H74">
        <v>277.10000000000002</v>
      </c>
      <c r="I74">
        <v>244.5</v>
      </c>
      <c r="J74">
        <v>91.9</v>
      </c>
      <c r="K74">
        <v>62.5</v>
      </c>
      <c r="L74">
        <v>25.9</v>
      </c>
      <c r="M74">
        <v>7</v>
      </c>
      <c r="N74">
        <v>8.9218129143582903E-2</v>
      </c>
      <c r="O74">
        <v>6.8841608715718997E-2</v>
      </c>
      <c r="P74" t="str">
        <f t="shared" si="2"/>
        <v>T</v>
      </c>
      <c r="Q74" t="str">
        <f t="shared" si="3"/>
        <v>F</v>
      </c>
    </row>
    <row r="75" spans="1:17" hidden="1" x14ac:dyDescent="0.3">
      <c r="A75">
        <v>1338</v>
      </c>
      <c r="B75">
        <v>1488</v>
      </c>
      <c r="C75">
        <v>388</v>
      </c>
      <c r="D75" t="s">
        <v>19</v>
      </c>
      <c r="E75" t="s">
        <v>16</v>
      </c>
      <c r="F75" t="s">
        <v>17</v>
      </c>
      <c r="G75" t="s">
        <v>26</v>
      </c>
      <c r="H75">
        <v>277.10000000000002</v>
      </c>
      <c r="I75">
        <v>244.5</v>
      </c>
      <c r="J75">
        <v>91.9</v>
      </c>
      <c r="K75">
        <v>62.5</v>
      </c>
      <c r="L75">
        <v>25.9</v>
      </c>
      <c r="M75">
        <v>7</v>
      </c>
      <c r="N75">
        <v>0.107003270043122</v>
      </c>
      <c r="O75">
        <v>6.4674908407373402E-2</v>
      </c>
      <c r="P75" t="str">
        <f t="shared" si="2"/>
        <v>F</v>
      </c>
      <c r="Q75" t="str">
        <f t="shared" si="3"/>
        <v>F</v>
      </c>
    </row>
    <row r="76" spans="1:17" hidden="1" x14ac:dyDescent="0.3">
      <c r="A76">
        <v>1387</v>
      </c>
      <c r="B76">
        <v>1509</v>
      </c>
      <c r="C76">
        <v>302</v>
      </c>
      <c r="D76" t="s">
        <v>19</v>
      </c>
      <c r="E76" t="s">
        <v>16</v>
      </c>
      <c r="F76" t="s">
        <v>17</v>
      </c>
      <c r="G76" t="s">
        <v>22</v>
      </c>
      <c r="H76">
        <v>274</v>
      </c>
      <c r="I76">
        <v>240</v>
      </c>
      <c r="J76">
        <v>93.6</v>
      </c>
      <c r="K76">
        <v>65</v>
      </c>
      <c r="L76">
        <v>24.2</v>
      </c>
      <c r="M76">
        <v>5</v>
      </c>
      <c r="N76">
        <v>0.23220092537422901</v>
      </c>
      <c r="O76">
        <v>0.115036229786116</v>
      </c>
      <c r="P76" t="str">
        <f t="shared" si="2"/>
        <v>F</v>
      </c>
      <c r="Q76" t="str">
        <f t="shared" si="3"/>
        <v>F</v>
      </c>
    </row>
    <row r="77" spans="1:17" hidden="1" x14ac:dyDescent="0.3">
      <c r="A77">
        <v>1388</v>
      </c>
      <c r="B77">
        <v>1509</v>
      </c>
      <c r="C77">
        <v>302</v>
      </c>
      <c r="D77" t="s">
        <v>19</v>
      </c>
      <c r="E77" t="s">
        <v>16</v>
      </c>
      <c r="F77" t="s">
        <v>17</v>
      </c>
      <c r="G77" t="s">
        <v>22</v>
      </c>
      <c r="H77">
        <v>274</v>
      </c>
      <c r="I77">
        <v>240</v>
      </c>
      <c r="J77">
        <v>93.6</v>
      </c>
      <c r="K77">
        <v>65</v>
      </c>
      <c r="L77">
        <v>24.2</v>
      </c>
      <c r="M77">
        <v>5</v>
      </c>
      <c r="N77">
        <v>0.22680526255184</v>
      </c>
      <c r="O77">
        <v>0.125958367016027</v>
      </c>
      <c r="P77" t="str">
        <f t="shared" si="2"/>
        <v>F</v>
      </c>
      <c r="Q77" t="str">
        <f t="shared" si="3"/>
        <v>F</v>
      </c>
    </row>
    <row r="78" spans="1:17" hidden="1" x14ac:dyDescent="0.3">
      <c r="A78">
        <v>1532</v>
      </c>
      <c r="B78">
        <v>1565</v>
      </c>
      <c r="C78">
        <v>344</v>
      </c>
      <c r="D78" t="s">
        <v>19</v>
      </c>
      <c r="E78" t="s">
        <v>16</v>
      </c>
      <c r="F78" t="s">
        <v>17</v>
      </c>
      <c r="G78" t="s">
        <v>24</v>
      </c>
      <c r="H78">
        <v>266.7</v>
      </c>
      <c r="I78">
        <v>231.5</v>
      </c>
      <c r="J78">
        <v>87.8</v>
      </c>
      <c r="K78">
        <v>64.5</v>
      </c>
      <c r="L78">
        <v>22.5</v>
      </c>
      <c r="M78">
        <v>9</v>
      </c>
      <c r="N78">
        <v>0.229762068791801</v>
      </c>
      <c r="O78">
        <v>0.16539498823825399</v>
      </c>
      <c r="P78" t="str">
        <f t="shared" si="2"/>
        <v>F</v>
      </c>
      <c r="Q78" t="str">
        <f t="shared" si="3"/>
        <v>F</v>
      </c>
    </row>
    <row r="79" spans="1:17" hidden="1" x14ac:dyDescent="0.3">
      <c r="A79">
        <v>1642</v>
      </c>
      <c r="B79">
        <v>1603</v>
      </c>
      <c r="C79">
        <v>494</v>
      </c>
      <c r="D79" t="s">
        <v>19</v>
      </c>
      <c r="E79" t="s">
        <v>16</v>
      </c>
      <c r="F79" t="s">
        <v>17</v>
      </c>
      <c r="G79" t="s">
        <v>25</v>
      </c>
      <c r="H79">
        <v>281.3</v>
      </c>
      <c r="I79">
        <v>262</v>
      </c>
      <c r="J79">
        <v>97.7</v>
      </c>
      <c r="K79">
        <v>70</v>
      </c>
      <c r="L79">
        <v>27</v>
      </c>
      <c r="M79">
        <v>4</v>
      </c>
      <c r="N79">
        <v>0.11737095479333801</v>
      </c>
      <c r="O79">
        <v>0.18113567768716399</v>
      </c>
      <c r="P79" t="str">
        <f t="shared" si="2"/>
        <v>F</v>
      </c>
      <c r="Q79" t="str">
        <f t="shared" si="3"/>
        <v>F</v>
      </c>
    </row>
    <row r="80" spans="1:17" hidden="1" x14ac:dyDescent="0.3">
      <c r="A80">
        <v>1643</v>
      </c>
      <c r="B80">
        <v>1603</v>
      </c>
      <c r="C80">
        <v>494</v>
      </c>
      <c r="D80" t="s">
        <v>19</v>
      </c>
      <c r="E80" t="s">
        <v>16</v>
      </c>
      <c r="F80" t="s">
        <v>17</v>
      </c>
      <c r="G80" t="s">
        <v>25</v>
      </c>
      <c r="H80">
        <v>281.3</v>
      </c>
      <c r="I80">
        <v>262</v>
      </c>
      <c r="J80">
        <v>97.7</v>
      </c>
      <c r="K80">
        <v>70</v>
      </c>
      <c r="L80">
        <v>27</v>
      </c>
      <c r="M80">
        <v>4</v>
      </c>
      <c r="N80">
        <v>0.133123055421912</v>
      </c>
      <c r="O80">
        <v>0.19928390895185899</v>
      </c>
      <c r="P80" t="str">
        <f t="shared" si="2"/>
        <v>F</v>
      </c>
      <c r="Q80" t="str">
        <f t="shared" si="3"/>
        <v>F</v>
      </c>
    </row>
    <row r="81" spans="1:17" hidden="1" x14ac:dyDescent="0.3">
      <c r="A81">
        <v>1876</v>
      </c>
      <c r="B81">
        <v>1695</v>
      </c>
      <c r="C81">
        <v>218</v>
      </c>
      <c r="D81" t="s">
        <v>19</v>
      </c>
      <c r="E81" t="s">
        <v>16</v>
      </c>
      <c r="F81" t="s">
        <v>21</v>
      </c>
      <c r="G81" t="s">
        <v>18</v>
      </c>
      <c r="H81">
        <v>274.5</v>
      </c>
      <c r="I81">
        <v>258</v>
      </c>
      <c r="J81">
        <v>101.5</v>
      </c>
      <c r="K81">
        <v>66.5</v>
      </c>
      <c r="L81">
        <v>27.9</v>
      </c>
      <c r="M81">
        <v>10</v>
      </c>
      <c r="N81">
        <v>0.12460585421800199</v>
      </c>
      <c r="O81">
        <v>0.10685446987633999</v>
      </c>
      <c r="P81" t="str">
        <f t="shared" si="2"/>
        <v>F</v>
      </c>
      <c r="Q81" t="str">
        <f t="shared" si="3"/>
        <v>F</v>
      </c>
    </row>
    <row r="82" spans="1:17" hidden="1" x14ac:dyDescent="0.3">
      <c r="A82">
        <v>1877</v>
      </c>
      <c r="B82">
        <v>1695</v>
      </c>
      <c r="C82">
        <v>218</v>
      </c>
      <c r="D82" t="s">
        <v>19</v>
      </c>
      <c r="E82" t="s">
        <v>16</v>
      </c>
      <c r="F82" t="s">
        <v>21</v>
      </c>
      <c r="G82" t="s">
        <v>18</v>
      </c>
      <c r="H82">
        <v>274.5</v>
      </c>
      <c r="I82">
        <v>258</v>
      </c>
      <c r="J82">
        <v>101.5</v>
      </c>
      <c r="K82">
        <v>66.5</v>
      </c>
      <c r="L82">
        <v>27.9</v>
      </c>
      <c r="M82">
        <v>10</v>
      </c>
      <c r="N82">
        <v>0.13768097042672001</v>
      </c>
      <c r="O82">
        <v>0.111010247102761</v>
      </c>
      <c r="P82" t="str">
        <f t="shared" si="2"/>
        <v>F</v>
      </c>
      <c r="Q82" t="str">
        <f t="shared" si="3"/>
        <v>F</v>
      </c>
    </row>
    <row r="83" spans="1:17" hidden="1" x14ac:dyDescent="0.3">
      <c r="A83">
        <v>1878</v>
      </c>
      <c r="B83">
        <v>1695</v>
      </c>
      <c r="C83">
        <v>218</v>
      </c>
      <c r="D83" t="s">
        <v>19</v>
      </c>
      <c r="E83" t="s">
        <v>16</v>
      </c>
      <c r="F83" t="s">
        <v>21</v>
      </c>
      <c r="G83" t="s">
        <v>18</v>
      </c>
      <c r="H83">
        <v>274.5</v>
      </c>
      <c r="I83">
        <v>258</v>
      </c>
      <c r="J83">
        <v>101.5</v>
      </c>
      <c r="K83">
        <v>66.5</v>
      </c>
      <c r="L83">
        <v>27.9</v>
      </c>
      <c r="M83">
        <v>10</v>
      </c>
      <c r="N83">
        <v>0.13921938041891799</v>
      </c>
      <c r="O83">
        <v>0.114601942884102</v>
      </c>
      <c r="P83" t="str">
        <f t="shared" si="2"/>
        <v>F</v>
      </c>
      <c r="Q83" t="str">
        <f t="shared" si="3"/>
        <v>F</v>
      </c>
    </row>
    <row r="84" spans="1:17" hidden="1" x14ac:dyDescent="0.3">
      <c r="A84">
        <v>1879</v>
      </c>
      <c r="B84">
        <v>1695</v>
      </c>
      <c r="C84">
        <v>218</v>
      </c>
      <c r="D84" t="s">
        <v>19</v>
      </c>
      <c r="E84" t="s">
        <v>16</v>
      </c>
      <c r="F84" t="s">
        <v>21</v>
      </c>
      <c r="G84" t="s">
        <v>18</v>
      </c>
      <c r="H84">
        <v>274.5</v>
      </c>
      <c r="I84">
        <v>258</v>
      </c>
      <c r="J84">
        <v>101.5</v>
      </c>
      <c r="K84">
        <v>66.5</v>
      </c>
      <c r="L84">
        <v>27.9</v>
      </c>
      <c r="M84">
        <v>10</v>
      </c>
      <c r="N84">
        <v>0.121347032135525</v>
      </c>
      <c r="O84">
        <v>0.110746584885438</v>
      </c>
      <c r="P84" t="str">
        <f t="shared" si="2"/>
        <v>F</v>
      </c>
      <c r="Q84" t="str">
        <f t="shared" si="3"/>
        <v>F</v>
      </c>
    </row>
    <row r="85" spans="1:17" hidden="1" x14ac:dyDescent="0.3">
      <c r="A85">
        <v>1914</v>
      </c>
      <c r="B85">
        <v>1706</v>
      </c>
      <c r="C85">
        <v>352</v>
      </c>
      <c r="D85" t="s">
        <v>19</v>
      </c>
      <c r="E85" t="s">
        <v>16</v>
      </c>
      <c r="F85" t="s">
        <v>21</v>
      </c>
      <c r="G85" t="s">
        <v>24</v>
      </c>
      <c r="H85">
        <v>274.7</v>
      </c>
      <c r="I85">
        <v>253.5</v>
      </c>
      <c r="J85">
        <v>94.3</v>
      </c>
      <c r="K85">
        <v>65</v>
      </c>
      <c r="L85">
        <v>24.8</v>
      </c>
      <c r="M85">
        <v>6</v>
      </c>
      <c r="N85">
        <v>0.323274812519661</v>
      </c>
      <c r="O85">
        <v>3.5006068182419199E-2</v>
      </c>
      <c r="P85" t="str">
        <f t="shared" si="2"/>
        <v>F</v>
      </c>
      <c r="Q85" t="str">
        <f t="shared" si="3"/>
        <v>T</v>
      </c>
    </row>
    <row r="86" spans="1:17" hidden="1" x14ac:dyDescent="0.3">
      <c r="A86">
        <v>1964</v>
      </c>
      <c r="B86">
        <v>1722</v>
      </c>
      <c r="C86">
        <v>179</v>
      </c>
      <c r="D86" t="s">
        <v>19</v>
      </c>
      <c r="E86" t="s">
        <v>16</v>
      </c>
      <c r="F86" t="s">
        <v>21</v>
      </c>
      <c r="G86" t="s">
        <v>24</v>
      </c>
      <c r="H86">
        <v>276</v>
      </c>
      <c r="I86">
        <v>241.5</v>
      </c>
      <c r="J86">
        <v>96.5</v>
      </c>
      <c r="K86">
        <v>66.5</v>
      </c>
      <c r="L86">
        <v>25.1</v>
      </c>
      <c r="M86">
        <v>9.5</v>
      </c>
      <c r="N86">
        <v>0.104718849625959</v>
      </c>
      <c r="O86">
        <v>0.14539474647560499</v>
      </c>
      <c r="P86" t="str">
        <f t="shared" si="2"/>
        <v>F</v>
      </c>
      <c r="Q86" t="str">
        <f t="shared" si="3"/>
        <v>F</v>
      </c>
    </row>
    <row r="87" spans="1:17" hidden="1" x14ac:dyDescent="0.3">
      <c r="A87">
        <v>1965</v>
      </c>
      <c r="B87">
        <v>1722</v>
      </c>
      <c r="C87">
        <v>179</v>
      </c>
      <c r="D87" t="s">
        <v>19</v>
      </c>
      <c r="E87" t="s">
        <v>16</v>
      </c>
      <c r="F87" t="s">
        <v>21</v>
      </c>
      <c r="G87" t="s">
        <v>24</v>
      </c>
      <c r="H87">
        <v>276</v>
      </c>
      <c r="I87">
        <v>241.5</v>
      </c>
      <c r="J87">
        <v>96.5</v>
      </c>
      <c r="K87">
        <v>66.5</v>
      </c>
      <c r="L87">
        <v>25.1</v>
      </c>
      <c r="M87">
        <v>9.5</v>
      </c>
      <c r="N87">
        <v>8.4691382571470505E-2</v>
      </c>
      <c r="O87">
        <v>0.17974799719738199</v>
      </c>
      <c r="P87" t="str">
        <f t="shared" si="2"/>
        <v>T</v>
      </c>
      <c r="Q87" t="str">
        <f t="shared" si="3"/>
        <v>F</v>
      </c>
    </row>
    <row r="88" spans="1:17" hidden="1" x14ac:dyDescent="0.3">
      <c r="A88">
        <v>2065</v>
      </c>
      <c r="B88">
        <v>1763</v>
      </c>
      <c r="C88">
        <v>113</v>
      </c>
      <c r="D88" t="s">
        <v>19</v>
      </c>
      <c r="E88" t="s">
        <v>16</v>
      </c>
      <c r="F88" t="s">
        <v>21</v>
      </c>
      <c r="G88" t="s">
        <v>25</v>
      </c>
      <c r="H88">
        <v>275.7</v>
      </c>
      <c r="I88">
        <v>248.5</v>
      </c>
      <c r="J88">
        <v>93.8</v>
      </c>
      <c r="K88">
        <v>64.5</v>
      </c>
      <c r="L88">
        <v>26.8</v>
      </c>
      <c r="M88">
        <v>9.5</v>
      </c>
      <c r="N88">
        <v>6.0683127397553202E-2</v>
      </c>
      <c r="O88">
        <v>0.146122167117896</v>
      </c>
      <c r="P88" t="str">
        <f t="shared" si="2"/>
        <v>T</v>
      </c>
      <c r="Q88" t="str">
        <f t="shared" si="3"/>
        <v>F</v>
      </c>
    </row>
    <row r="89" spans="1:17" hidden="1" x14ac:dyDescent="0.3">
      <c r="A89">
        <v>2066</v>
      </c>
      <c r="B89">
        <v>1763</v>
      </c>
      <c r="C89">
        <v>113</v>
      </c>
      <c r="D89" t="s">
        <v>19</v>
      </c>
      <c r="E89" t="s">
        <v>16</v>
      </c>
      <c r="F89" t="s">
        <v>21</v>
      </c>
      <c r="G89" t="s">
        <v>25</v>
      </c>
      <c r="H89">
        <v>275.7</v>
      </c>
      <c r="I89">
        <v>248.5</v>
      </c>
      <c r="J89">
        <v>93.8</v>
      </c>
      <c r="K89">
        <v>64.5</v>
      </c>
      <c r="L89">
        <v>26.8</v>
      </c>
      <c r="M89">
        <v>9.5</v>
      </c>
      <c r="N89">
        <v>6.1537813074045898E-2</v>
      </c>
      <c r="O89">
        <v>0.160890897709561</v>
      </c>
      <c r="P89" t="str">
        <f t="shared" si="2"/>
        <v>T</v>
      </c>
      <c r="Q89" t="str">
        <f t="shared" si="3"/>
        <v>F</v>
      </c>
    </row>
    <row r="90" spans="1:17" hidden="1" x14ac:dyDescent="0.3">
      <c r="A90">
        <v>2123</v>
      </c>
      <c r="B90">
        <v>1783</v>
      </c>
      <c r="C90">
        <v>368</v>
      </c>
      <c r="D90" t="s">
        <v>19</v>
      </c>
      <c r="E90" t="s">
        <v>16</v>
      </c>
      <c r="F90" t="s">
        <v>21</v>
      </c>
      <c r="G90" t="s">
        <v>18</v>
      </c>
      <c r="H90">
        <v>273.3</v>
      </c>
      <c r="I90">
        <v>249</v>
      </c>
      <c r="J90">
        <v>98.9</v>
      </c>
      <c r="K90">
        <v>68.5</v>
      </c>
      <c r="L90">
        <v>23.8</v>
      </c>
      <c r="M90">
        <v>9</v>
      </c>
      <c r="N90">
        <v>0.14848133758986601</v>
      </c>
      <c r="O90">
        <v>5.1291122270919698E-2</v>
      </c>
      <c r="P90" t="str">
        <f t="shared" si="2"/>
        <v>F</v>
      </c>
      <c r="Q90" t="str">
        <f t="shared" si="3"/>
        <v>T</v>
      </c>
    </row>
    <row r="91" spans="1:17" hidden="1" x14ac:dyDescent="0.3">
      <c r="A91">
        <v>2124</v>
      </c>
      <c r="B91">
        <v>1783</v>
      </c>
      <c r="C91">
        <v>368</v>
      </c>
      <c r="D91" t="s">
        <v>19</v>
      </c>
      <c r="E91" t="s">
        <v>16</v>
      </c>
      <c r="F91" t="s">
        <v>21</v>
      </c>
      <c r="G91" t="s">
        <v>18</v>
      </c>
      <c r="H91">
        <v>273.3</v>
      </c>
      <c r="I91">
        <v>249</v>
      </c>
      <c r="J91">
        <v>98.9</v>
      </c>
      <c r="K91">
        <v>68.5</v>
      </c>
      <c r="L91">
        <v>23.8</v>
      </c>
      <c r="M91">
        <v>9</v>
      </c>
      <c r="N91">
        <v>0.122198001368492</v>
      </c>
      <c r="O91">
        <v>4.1179439777048597E-2</v>
      </c>
      <c r="P91" t="str">
        <f t="shared" si="2"/>
        <v>F</v>
      </c>
      <c r="Q91" t="str">
        <f t="shared" si="3"/>
        <v>T</v>
      </c>
    </row>
    <row r="92" spans="1:17" hidden="1" x14ac:dyDescent="0.3">
      <c r="A92">
        <v>2125</v>
      </c>
      <c r="B92">
        <v>1783</v>
      </c>
      <c r="C92">
        <v>368</v>
      </c>
      <c r="D92" t="s">
        <v>19</v>
      </c>
      <c r="E92" t="s">
        <v>16</v>
      </c>
      <c r="F92" t="s">
        <v>21</v>
      </c>
      <c r="G92" t="s">
        <v>18</v>
      </c>
      <c r="H92">
        <v>273.3</v>
      </c>
      <c r="I92">
        <v>249</v>
      </c>
      <c r="J92">
        <v>98.9</v>
      </c>
      <c r="K92">
        <v>68.5</v>
      </c>
      <c r="L92">
        <v>23.8</v>
      </c>
      <c r="M92">
        <v>9</v>
      </c>
      <c r="N92">
        <v>0.12131647294311999</v>
      </c>
      <c r="O92">
        <v>4.5310872066338097E-2</v>
      </c>
      <c r="P92" t="str">
        <f t="shared" si="2"/>
        <v>F</v>
      </c>
      <c r="Q92" t="str">
        <f t="shared" si="3"/>
        <v>T</v>
      </c>
    </row>
    <row r="93" spans="1:17" hidden="1" x14ac:dyDescent="0.3">
      <c r="A93">
        <v>2126</v>
      </c>
      <c r="B93">
        <v>1783</v>
      </c>
      <c r="C93">
        <v>368</v>
      </c>
      <c r="D93" t="s">
        <v>19</v>
      </c>
      <c r="E93" t="s">
        <v>16</v>
      </c>
      <c r="F93" t="s">
        <v>21</v>
      </c>
      <c r="G93" t="s">
        <v>18</v>
      </c>
      <c r="H93">
        <v>273.3</v>
      </c>
      <c r="I93">
        <v>249</v>
      </c>
      <c r="J93">
        <v>98.9</v>
      </c>
      <c r="K93">
        <v>68.5</v>
      </c>
      <c r="L93">
        <v>23.8</v>
      </c>
      <c r="M93">
        <v>9</v>
      </c>
      <c r="N93">
        <v>0.14065277421059899</v>
      </c>
      <c r="O93">
        <v>4.4299668597758503E-2</v>
      </c>
      <c r="P93" t="str">
        <f t="shared" si="2"/>
        <v>F</v>
      </c>
      <c r="Q93" t="str">
        <f t="shared" si="3"/>
        <v>T</v>
      </c>
    </row>
    <row r="94" spans="1:17" hidden="1" x14ac:dyDescent="0.3">
      <c r="A94">
        <v>2254</v>
      </c>
      <c r="B94">
        <v>183</v>
      </c>
      <c r="C94">
        <v>387</v>
      </c>
      <c r="D94" t="s">
        <v>19</v>
      </c>
      <c r="E94" t="s">
        <v>16</v>
      </c>
      <c r="F94" t="s">
        <v>17</v>
      </c>
      <c r="G94" t="s">
        <v>26</v>
      </c>
      <c r="H94">
        <v>275.2</v>
      </c>
      <c r="I94">
        <v>249.5</v>
      </c>
      <c r="J94">
        <v>96.8</v>
      </c>
      <c r="K94">
        <v>66</v>
      </c>
      <c r="L94">
        <v>25.3</v>
      </c>
      <c r="M94">
        <v>8.5</v>
      </c>
      <c r="N94">
        <v>9.9841365768947199E-2</v>
      </c>
      <c r="O94">
        <v>5.9869021732162901E-2</v>
      </c>
      <c r="P94" t="str">
        <f t="shared" si="2"/>
        <v>F</v>
      </c>
      <c r="Q94" t="str">
        <f t="shared" si="3"/>
        <v>T</v>
      </c>
    </row>
    <row r="95" spans="1:17" hidden="1" x14ac:dyDescent="0.3">
      <c r="A95">
        <v>2255</v>
      </c>
      <c r="B95">
        <v>183</v>
      </c>
      <c r="C95">
        <v>387</v>
      </c>
      <c r="D95" t="s">
        <v>19</v>
      </c>
      <c r="E95" t="s">
        <v>16</v>
      </c>
      <c r="F95" t="s">
        <v>17</v>
      </c>
      <c r="G95" t="s">
        <v>26</v>
      </c>
      <c r="H95">
        <v>275.2</v>
      </c>
      <c r="I95">
        <v>249.5</v>
      </c>
      <c r="J95">
        <v>96.8</v>
      </c>
      <c r="K95">
        <v>66</v>
      </c>
      <c r="L95">
        <v>25.3</v>
      </c>
      <c r="M95">
        <v>8.5</v>
      </c>
      <c r="N95">
        <v>6.9884199850644493E-2</v>
      </c>
      <c r="O95">
        <v>7.8362572856997104E-2</v>
      </c>
      <c r="P95" t="str">
        <f t="shared" si="2"/>
        <v>T</v>
      </c>
      <c r="Q95" t="str">
        <f t="shared" si="3"/>
        <v>F</v>
      </c>
    </row>
    <row r="96" spans="1:17" hidden="1" x14ac:dyDescent="0.3">
      <c r="A96">
        <v>2256</v>
      </c>
      <c r="B96">
        <v>183</v>
      </c>
      <c r="C96">
        <v>387</v>
      </c>
      <c r="D96" t="s">
        <v>19</v>
      </c>
      <c r="E96" t="s">
        <v>16</v>
      </c>
      <c r="F96" t="s">
        <v>17</v>
      </c>
      <c r="G96" t="s">
        <v>26</v>
      </c>
      <c r="H96">
        <v>275.2</v>
      </c>
      <c r="I96">
        <v>249.5</v>
      </c>
      <c r="J96">
        <v>96.8</v>
      </c>
      <c r="K96">
        <v>66</v>
      </c>
      <c r="L96">
        <v>25.3</v>
      </c>
      <c r="M96">
        <v>8.5</v>
      </c>
      <c r="N96">
        <v>6.8894673066630302E-2</v>
      </c>
      <c r="O96">
        <v>8.0928714477826805E-2</v>
      </c>
      <c r="P96" t="str">
        <f t="shared" si="2"/>
        <v>T</v>
      </c>
      <c r="Q96" t="str">
        <f t="shared" si="3"/>
        <v>F</v>
      </c>
    </row>
    <row r="97" spans="1:17" hidden="1" x14ac:dyDescent="0.3">
      <c r="A97">
        <v>2321</v>
      </c>
      <c r="B97">
        <v>1851</v>
      </c>
      <c r="C97">
        <v>218</v>
      </c>
      <c r="D97" t="s">
        <v>19</v>
      </c>
      <c r="E97" t="s">
        <v>16</v>
      </c>
      <c r="F97" t="s">
        <v>17</v>
      </c>
      <c r="G97" t="s">
        <v>26</v>
      </c>
      <c r="H97">
        <v>274.5</v>
      </c>
      <c r="I97">
        <v>258</v>
      </c>
      <c r="J97">
        <v>101.5</v>
      </c>
      <c r="K97">
        <v>66.5</v>
      </c>
      <c r="L97">
        <v>27.9</v>
      </c>
      <c r="M97">
        <v>10</v>
      </c>
      <c r="N97">
        <v>0.11447570848208399</v>
      </c>
      <c r="O97">
        <v>8.5011456378683695E-2</v>
      </c>
      <c r="P97" t="str">
        <f t="shared" si="2"/>
        <v>F</v>
      </c>
      <c r="Q97" t="str">
        <f t="shared" si="3"/>
        <v>F</v>
      </c>
    </row>
    <row r="98" spans="1:17" hidden="1" x14ac:dyDescent="0.3">
      <c r="A98">
        <v>2322</v>
      </c>
      <c r="B98">
        <v>1851</v>
      </c>
      <c r="C98">
        <v>218</v>
      </c>
      <c r="D98" t="s">
        <v>19</v>
      </c>
      <c r="E98" t="s">
        <v>16</v>
      </c>
      <c r="F98" t="s">
        <v>17</v>
      </c>
      <c r="G98" t="s">
        <v>26</v>
      </c>
      <c r="H98">
        <v>274.5</v>
      </c>
      <c r="I98">
        <v>258</v>
      </c>
      <c r="J98">
        <v>101.5</v>
      </c>
      <c r="K98">
        <v>66.5</v>
      </c>
      <c r="L98">
        <v>27.9</v>
      </c>
      <c r="M98">
        <v>10</v>
      </c>
      <c r="N98">
        <v>0.13386762403049199</v>
      </c>
      <c r="O98">
        <v>8.9770327922618895E-2</v>
      </c>
      <c r="P98" t="str">
        <f t="shared" si="2"/>
        <v>F</v>
      </c>
      <c r="Q98" t="str">
        <f t="shared" si="3"/>
        <v>F</v>
      </c>
    </row>
    <row r="99" spans="1:17" hidden="1" x14ac:dyDescent="0.3">
      <c r="A99">
        <v>2323</v>
      </c>
      <c r="B99">
        <v>1851</v>
      </c>
      <c r="C99">
        <v>218</v>
      </c>
      <c r="D99" t="s">
        <v>19</v>
      </c>
      <c r="E99" t="s">
        <v>16</v>
      </c>
      <c r="F99" t="s">
        <v>17</v>
      </c>
      <c r="G99" t="s">
        <v>26</v>
      </c>
      <c r="H99">
        <v>274.5</v>
      </c>
      <c r="I99">
        <v>258</v>
      </c>
      <c r="J99">
        <v>101.5</v>
      </c>
      <c r="K99">
        <v>66.5</v>
      </c>
      <c r="L99">
        <v>27.9</v>
      </c>
      <c r="M99">
        <v>10</v>
      </c>
      <c r="N99">
        <v>0.117602549643071</v>
      </c>
      <c r="O99">
        <v>9.5922066700481104E-2</v>
      </c>
      <c r="P99" t="str">
        <f t="shared" si="2"/>
        <v>F</v>
      </c>
      <c r="Q99" t="str">
        <f t="shared" si="3"/>
        <v>F</v>
      </c>
    </row>
    <row r="100" spans="1:17" hidden="1" x14ac:dyDescent="0.3">
      <c r="A100">
        <v>2360</v>
      </c>
      <c r="B100">
        <v>1863</v>
      </c>
      <c r="C100">
        <v>255</v>
      </c>
      <c r="D100" t="s">
        <v>19</v>
      </c>
      <c r="E100" t="s">
        <v>16</v>
      </c>
      <c r="F100" t="s">
        <v>17</v>
      </c>
      <c r="G100" t="s">
        <v>18</v>
      </c>
      <c r="H100">
        <v>278.2</v>
      </c>
      <c r="I100">
        <v>254.5</v>
      </c>
      <c r="J100">
        <v>94.5</v>
      </c>
      <c r="K100">
        <v>67</v>
      </c>
      <c r="L100">
        <v>27.9</v>
      </c>
      <c r="M100">
        <v>11.5</v>
      </c>
      <c r="N100">
        <v>0.28081649005376202</v>
      </c>
      <c r="O100">
        <v>0.11472115460191799</v>
      </c>
      <c r="P100" t="str">
        <f t="shared" si="2"/>
        <v>F</v>
      </c>
      <c r="Q100" t="str">
        <f t="shared" si="3"/>
        <v>F</v>
      </c>
    </row>
    <row r="101" spans="1:17" hidden="1" x14ac:dyDescent="0.3">
      <c r="A101">
        <v>2363</v>
      </c>
      <c r="B101">
        <v>1863</v>
      </c>
      <c r="C101">
        <v>255</v>
      </c>
      <c r="D101" t="s">
        <v>19</v>
      </c>
      <c r="E101" t="s">
        <v>16</v>
      </c>
      <c r="F101" t="s">
        <v>17</v>
      </c>
      <c r="G101" t="s">
        <v>18</v>
      </c>
      <c r="H101">
        <v>278.2</v>
      </c>
      <c r="I101">
        <v>254.5</v>
      </c>
      <c r="J101">
        <v>94.5</v>
      </c>
      <c r="K101">
        <v>67</v>
      </c>
      <c r="L101">
        <v>27.9</v>
      </c>
      <c r="M101">
        <v>11.5</v>
      </c>
      <c r="N101">
        <v>0.26553860668861901</v>
      </c>
      <c r="O101">
        <v>0.13315747002574699</v>
      </c>
      <c r="P101" t="str">
        <f t="shared" si="2"/>
        <v>F</v>
      </c>
      <c r="Q101" t="str">
        <f t="shared" si="3"/>
        <v>F</v>
      </c>
    </row>
    <row r="102" spans="1:17" hidden="1" x14ac:dyDescent="0.3">
      <c r="A102">
        <v>2417</v>
      </c>
      <c r="B102">
        <v>1882</v>
      </c>
      <c r="C102">
        <v>325</v>
      </c>
      <c r="D102" t="s">
        <v>19</v>
      </c>
      <c r="E102" t="s">
        <v>16</v>
      </c>
      <c r="F102" t="s">
        <v>17</v>
      </c>
      <c r="G102" t="s">
        <v>18</v>
      </c>
      <c r="H102">
        <v>274</v>
      </c>
      <c r="I102">
        <v>243.5</v>
      </c>
      <c r="J102">
        <v>94.8</v>
      </c>
      <c r="K102">
        <v>65.5</v>
      </c>
      <c r="L102">
        <v>26.1</v>
      </c>
      <c r="M102">
        <v>13</v>
      </c>
      <c r="N102">
        <v>0.212491859828604</v>
      </c>
      <c r="O102">
        <v>8.2094156044613203E-2</v>
      </c>
      <c r="P102" t="str">
        <f t="shared" si="2"/>
        <v>F</v>
      </c>
      <c r="Q102" t="str">
        <f t="shared" si="3"/>
        <v>F</v>
      </c>
    </row>
    <row r="103" spans="1:17" hidden="1" x14ac:dyDescent="0.3">
      <c r="A103">
        <v>2467</v>
      </c>
      <c r="B103">
        <v>1896</v>
      </c>
      <c r="C103">
        <v>249</v>
      </c>
      <c r="D103" t="s">
        <v>19</v>
      </c>
      <c r="E103" t="s">
        <v>16</v>
      </c>
      <c r="F103" t="s">
        <v>21</v>
      </c>
      <c r="G103" t="s">
        <v>18</v>
      </c>
      <c r="H103">
        <v>275.7</v>
      </c>
      <c r="I103">
        <v>254.5</v>
      </c>
      <c r="J103">
        <v>97.9</v>
      </c>
      <c r="K103">
        <v>66</v>
      </c>
      <c r="L103">
        <v>26.3</v>
      </c>
      <c r="M103">
        <v>9</v>
      </c>
      <c r="N103">
        <v>0.23500290298423501</v>
      </c>
      <c r="O103">
        <v>4.9815949381298102E-2</v>
      </c>
      <c r="P103" t="str">
        <f t="shared" si="2"/>
        <v>F</v>
      </c>
      <c r="Q103" t="str">
        <f t="shared" si="3"/>
        <v>T</v>
      </c>
    </row>
    <row r="104" spans="1:17" hidden="1" x14ac:dyDescent="0.3">
      <c r="A104">
        <v>2544</v>
      </c>
      <c r="B104">
        <v>1920</v>
      </c>
      <c r="C104">
        <v>388</v>
      </c>
      <c r="D104" t="s">
        <v>19</v>
      </c>
      <c r="E104" t="s">
        <v>16</v>
      </c>
      <c r="F104" t="s">
        <v>21</v>
      </c>
      <c r="G104" t="s">
        <v>26</v>
      </c>
      <c r="H104">
        <v>277.10000000000002</v>
      </c>
      <c r="I104">
        <v>244.5</v>
      </c>
      <c r="J104">
        <v>91.9</v>
      </c>
      <c r="K104">
        <v>62.5</v>
      </c>
      <c r="L104">
        <v>25.9</v>
      </c>
      <c r="M104">
        <v>7</v>
      </c>
      <c r="N104">
        <v>9.1311322552465796E-2</v>
      </c>
      <c r="O104">
        <v>6.91890385529257E-2</v>
      </c>
      <c r="P104" t="str">
        <f t="shared" si="2"/>
        <v>T</v>
      </c>
      <c r="Q104" t="str">
        <f t="shared" si="3"/>
        <v>F</v>
      </c>
    </row>
    <row r="105" spans="1:17" hidden="1" x14ac:dyDescent="0.3">
      <c r="A105">
        <v>2684</v>
      </c>
      <c r="B105">
        <v>1976</v>
      </c>
      <c r="C105">
        <v>232</v>
      </c>
      <c r="D105" t="s">
        <v>19</v>
      </c>
      <c r="E105" t="s">
        <v>16</v>
      </c>
      <c r="F105" t="s">
        <v>17</v>
      </c>
      <c r="G105" t="s">
        <v>26</v>
      </c>
      <c r="H105">
        <v>277.8</v>
      </c>
      <c r="I105">
        <v>249</v>
      </c>
      <c r="J105">
        <v>95.2</v>
      </c>
      <c r="K105">
        <v>67.5</v>
      </c>
      <c r="L105">
        <v>28.4</v>
      </c>
      <c r="M105">
        <v>7.5</v>
      </c>
      <c r="N105">
        <v>0.15037194159713199</v>
      </c>
      <c r="O105">
        <v>4.3273724238175798E-2</v>
      </c>
      <c r="P105" t="str">
        <f t="shared" si="2"/>
        <v>F</v>
      </c>
      <c r="Q105" t="str">
        <f t="shared" si="3"/>
        <v>T</v>
      </c>
    </row>
    <row r="106" spans="1:17" hidden="1" x14ac:dyDescent="0.3">
      <c r="A106">
        <v>2685</v>
      </c>
      <c r="B106">
        <v>1976</v>
      </c>
      <c r="C106">
        <v>232</v>
      </c>
      <c r="D106" t="s">
        <v>19</v>
      </c>
      <c r="E106" t="s">
        <v>16</v>
      </c>
      <c r="F106" t="s">
        <v>17</v>
      </c>
      <c r="G106" t="s">
        <v>26</v>
      </c>
      <c r="H106">
        <v>277.8</v>
      </c>
      <c r="I106">
        <v>249</v>
      </c>
      <c r="J106">
        <v>95.2</v>
      </c>
      <c r="K106">
        <v>67.5</v>
      </c>
      <c r="L106">
        <v>28.4</v>
      </c>
      <c r="M106">
        <v>7.5</v>
      </c>
      <c r="N106">
        <v>0.11605375426324301</v>
      </c>
      <c r="O106">
        <v>5.70369866827884E-2</v>
      </c>
      <c r="P106" t="str">
        <f t="shared" si="2"/>
        <v>F</v>
      </c>
      <c r="Q106" t="str">
        <f t="shared" si="3"/>
        <v>T</v>
      </c>
    </row>
    <row r="107" spans="1:17" hidden="1" x14ac:dyDescent="0.3">
      <c r="A107">
        <v>2686</v>
      </c>
      <c r="B107">
        <v>1976</v>
      </c>
      <c r="C107">
        <v>232</v>
      </c>
      <c r="D107" t="s">
        <v>19</v>
      </c>
      <c r="E107" t="s">
        <v>16</v>
      </c>
      <c r="F107" t="s">
        <v>17</v>
      </c>
      <c r="G107" t="s">
        <v>26</v>
      </c>
      <c r="H107">
        <v>277.8</v>
      </c>
      <c r="I107">
        <v>249</v>
      </c>
      <c r="J107">
        <v>95.2</v>
      </c>
      <c r="K107">
        <v>67.5</v>
      </c>
      <c r="L107">
        <v>28.4</v>
      </c>
      <c r="M107">
        <v>7.5</v>
      </c>
      <c r="N107">
        <v>0.11784390645213</v>
      </c>
      <c r="O107">
        <v>7.6236997377321897E-2</v>
      </c>
      <c r="P107" t="str">
        <f t="shared" si="2"/>
        <v>F</v>
      </c>
      <c r="Q107" t="str">
        <f t="shared" si="3"/>
        <v>F</v>
      </c>
    </row>
    <row r="108" spans="1:17" hidden="1" x14ac:dyDescent="0.3">
      <c r="A108">
        <v>2789</v>
      </c>
      <c r="B108">
        <v>201</v>
      </c>
      <c r="C108">
        <v>249</v>
      </c>
      <c r="D108" t="s">
        <v>19</v>
      </c>
      <c r="E108" t="s">
        <v>16</v>
      </c>
      <c r="F108" t="s">
        <v>21</v>
      </c>
      <c r="G108" t="s">
        <v>18</v>
      </c>
      <c r="H108">
        <v>275.7</v>
      </c>
      <c r="I108">
        <v>254.5</v>
      </c>
      <c r="J108">
        <v>97.9</v>
      </c>
      <c r="K108">
        <v>66</v>
      </c>
      <c r="L108">
        <v>26.3</v>
      </c>
      <c r="M108">
        <v>9</v>
      </c>
      <c r="N108">
        <v>0.24561239892723499</v>
      </c>
      <c r="O108">
        <v>4.1230851429120301E-2</v>
      </c>
      <c r="P108" t="str">
        <f t="shared" si="2"/>
        <v>F</v>
      </c>
      <c r="Q108" t="str">
        <f t="shared" si="3"/>
        <v>T</v>
      </c>
    </row>
    <row r="109" spans="1:17" hidden="1" x14ac:dyDescent="0.3">
      <c r="A109">
        <v>2790</v>
      </c>
      <c r="B109">
        <v>201</v>
      </c>
      <c r="C109">
        <v>249</v>
      </c>
      <c r="D109" t="s">
        <v>19</v>
      </c>
      <c r="E109" t="s">
        <v>16</v>
      </c>
      <c r="F109" t="s">
        <v>21</v>
      </c>
      <c r="G109" t="s">
        <v>18</v>
      </c>
      <c r="H109">
        <v>275.7</v>
      </c>
      <c r="I109">
        <v>254.5</v>
      </c>
      <c r="J109">
        <v>97.9</v>
      </c>
      <c r="K109">
        <v>66</v>
      </c>
      <c r="L109">
        <v>26.3</v>
      </c>
      <c r="M109">
        <v>9</v>
      </c>
      <c r="N109">
        <v>0.22669322838602701</v>
      </c>
      <c r="O109">
        <v>4.3083751841434703E-2</v>
      </c>
      <c r="P109" t="str">
        <f t="shared" si="2"/>
        <v>F</v>
      </c>
      <c r="Q109" t="str">
        <f t="shared" si="3"/>
        <v>T</v>
      </c>
    </row>
    <row r="110" spans="1:17" hidden="1" x14ac:dyDescent="0.3">
      <c r="A110">
        <v>2791</v>
      </c>
      <c r="B110">
        <v>201</v>
      </c>
      <c r="C110">
        <v>249</v>
      </c>
      <c r="D110" t="s">
        <v>19</v>
      </c>
      <c r="E110" t="s">
        <v>16</v>
      </c>
      <c r="F110" t="s">
        <v>21</v>
      </c>
      <c r="G110" t="s">
        <v>18</v>
      </c>
      <c r="H110">
        <v>275.7</v>
      </c>
      <c r="I110">
        <v>254.5</v>
      </c>
      <c r="J110">
        <v>97.9</v>
      </c>
      <c r="K110">
        <v>66</v>
      </c>
      <c r="L110">
        <v>26.3</v>
      </c>
      <c r="M110">
        <v>9</v>
      </c>
      <c r="N110">
        <v>0.25726113258003003</v>
      </c>
      <c r="O110">
        <v>3.7074576643524801E-2</v>
      </c>
      <c r="P110" t="str">
        <f t="shared" si="2"/>
        <v>F</v>
      </c>
      <c r="Q110" t="str">
        <f t="shared" si="3"/>
        <v>T</v>
      </c>
    </row>
    <row r="111" spans="1:17" hidden="1" x14ac:dyDescent="0.3">
      <c r="A111">
        <v>2792</v>
      </c>
      <c r="B111">
        <v>201</v>
      </c>
      <c r="C111">
        <v>249</v>
      </c>
      <c r="D111" t="s">
        <v>19</v>
      </c>
      <c r="E111" t="s">
        <v>16</v>
      </c>
      <c r="F111" t="s">
        <v>21</v>
      </c>
      <c r="G111" t="s">
        <v>18</v>
      </c>
      <c r="H111">
        <v>275.7</v>
      </c>
      <c r="I111">
        <v>254.5</v>
      </c>
      <c r="J111">
        <v>97.9</v>
      </c>
      <c r="K111">
        <v>66</v>
      </c>
      <c r="L111">
        <v>26.3</v>
      </c>
      <c r="M111">
        <v>9</v>
      </c>
      <c r="N111">
        <v>0.25984234876267098</v>
      </c>
      <c r="O111">
        <v>6.4623016068153002E-2</v>
      </c>
      <c r="P111" t="str">
        <f t="shared" si="2"/>
        <v>F</v>
      </c>
      <c r="Q111" t="str">
        <f t="shared" si="3"/>
        <v>F</v>
      </c>
    </row>
    <row r="112" spans="1:17" hidden="1" x14ac:dyDescent="0.3">
      <c r="A112">
        <v>2793</v>
      </c>
      <c r="B112">
        <v>201</v>
      </c>
      <c r="C112">
        <v>249</v>
      </c>
      <c r="D112" t="s">
        <v>19</v>
      </c>
      <c r="E112" t="s">
        <v>16</v>
      </c>
      <c r="F112" t="s">
        <v>21</v>
      </c>
      <c r="G112" t="s">
        <v>18</v>
      </c>
      <c r="H112">
        <v>275.7</v>
      </c>
      <c r="I112">
        <v>254.5</v>
      </c>
      <c r="J112">
        <v>97.9</v>
      </c>
      <c r="K112">
        <v>66</v>
      </c>
      <c r="L112">
        <v>26.3</v>
      </c>
      <c r="M112">
        <v>9</v>
      </c>
      <c r="N112">
        <v>0.262964562602504</v>
      </c>
      <c r="O112">
        <v>4.43708623294976E-2</v>
      </c>
      <c r="P112" t="str">
        <f t="shared" si="2"/>
        <v>F</v>
      </c>
      <c r="Q112" t="str">
        <f t="shared" si="3"/>
        <v>T</v>
      </c>
    </row>
    <row r="113" spans="1:17" hidden="1" x14ac:dyDescent="0.3">
      <c r="A113">
        <v>2814</v>
      </c>
      <c r="B113">
        <v>2016</v>
      </c>
      <c r="C113">
        <v>368</v>
      </c>
      <c r="D113" t="s">
        <v>19</v>
      </c>
      <c r="E113" t="s">
        <v>16</v>
      </c>
      <c r="F113" t="s">
        <v>17</v>
      </c>
      <c r="G113" t="s">
        <v>26</v>
      </c>
      <c r="H113">
        <v>273.3</v>
      </c>
      <c r="I113">
        <v>249</v>
      </c>
      <c r="J113">
        <v>98.9</v>
      </c>
      <c r="K113">
        <v>68.5</v>
      </c>
      <c r="L113">
        <v>23.8</v>
      </c>
      <c r="M113">
        <v>9</v>
      </c>
      <c r="N113">
        <v>0.12229548431149</v>
      </c>
      <c r="O113">
        <v>3.1416542619967298E-2</v>
      </c>
      <c r="P113" t="str">
        <f t="shared" si="2"/>
        <v>F</v>
      </c>
      <c r="Q113" t="str">
        <f t="shared" si="3"/>
        <v>T</v>
      </c>
    </row>
    <row r="114" spans="1:17" hidden="1" x14ac:dyDescent="0.3">
      <c r="A114">
        <v>2818</v>
      </c>
      <c r="B114">
        <v>2018</v>
      </c>
      <c r="C114">
        <v>232</v>
      </c>
      <c r="D114" t="s">
        <v>19</v>
      </c>
      <c r="E114" t="s">
        <v>16</v>
      </c>
      <c r="F114" t="s">
        <v>21</v>
      </c>
      <c r="G114" t="s">
        <v>25</v>
      </c>
      <c r="H114">
        <v>277.8</v>
      </c>
      <c r="I114">
        <v>249</v>
      </c>
      <c r="J114">
        <v>95.2</v>
      </c>
      <c r="K114">
        <v>67.5</v>
      </c>
      <c r="L114">
        <v>28.4</v>
      </c>
      <c r="M114">
        <v>7.5</v>
      </c>
      <c r="N114">
        <v>0.131839328177068</v>
      </c>
      <c r="O114">
        <v>4.9925935750987201E-2</v>
      </c>
      <c r="P114" t="str">
        <f t="shared" si="2"/>
        <v>F</v>
      </c>
      <c r="Q114" t="str">
        <f t="shared" si="3"/>
        <v>T</v>
      </c>
    </row>
    <row r="115" spans="1:17" hidden="1" x14ac:dyDescent="0.3">
      <c r="A115">
        <v>2819</v>
      </c>
      <c r="B115">
        <v>2018</v>
      </c>
      <c r="C115">
        <v>232</v>
      </c>
      <c r="D115" t="s">
        <v>19</v>
      </c>
      <c r="E115" t="s">
        <v>16</v>
      </c>
      <c r="F115" t="s">
        <v>21</v>
      </c>
      <c r="G115" t="s">
        <v>25</v>
      </c>
      <c r="H115">
        <v>277.8</v>
      </c>
      <c r="I115">
        <v>249</v>
      </c>
      <c r="J115">
        <v>95.2</v>
      </c>
      <c r="K115">
        <v>67.5</v>
      </c>
      <c r="L115">
        <v>28.4</v>
      </c>
      <c r="M115">
        <v>7.5</v>
      </c>
      <c r="N115">
        <v>0.146422262496994</v>
      </c>
      <c r="O115">
        <v>4.7767699861053503E-2</v>
      </c>
      <c r="P115" t="str">
        <f t="shared" si="2"/>
        <v>F</v>
      </c>
      <c r="Q115" t="str">
        <f t="shared" si="3"/>
        <v>T</v>
      </c>
    </row>
    <row r="116" spans="1:17" hidden="1" x14ac:dyDescent="0.3">
      <c r="A116">
        <v>2820</v>
      </c>
      <c r="B116">
        <v>2018</v>
      </c>
      <c r="C116">
        <v>232</v>
      </c>
      <c r="D116" t="s">
        <v>19</v>
      </c>
      <c r="E116" t="s">
        <v>16</v>
      </c>
      <c r="F116" t="s">
        <v>21</v>
      </c>
      <c r="G116" t="s">
        <v>25</v>
      </c>
      <c r="H116">
        <v>277.8</v>
      </c>
      <c r="I116">
        <v>249</v>
      </c>
      <c r="J116">
        <v>95.2</v>
      </c>
      <c r="K116">
        <v>67.5</v>
      </c>
      <c r="L116">
        <v>28.4</v>
      </c>
      <c r="M116">
        <v>7.5</v>
      </c>
      <c r="N116">
        <v>0.15556400533314299</v>
      </c>
      <c r="O116">
        <v>6.4715295962152905E-2</v>
      </c>
      <c r="P116" t="str">
        <f t="shared" si="2"/>
        <v>F</v>
      </c>
      <c r="Q116" t="str">
        <f t="shared" si="3"/>
        <v>F</v>
      </c>
    </row>
    <row r="117" spans="1:17" hidden="1" x14ac:dyDescent="0.3">
      <c r="A117">
        <v>2821</v>
      </c>
      <c r="B117">
        <v>2018</v>
      </c>
      <c r="C117">
        <v>232</v>
      </c>
      <c r="D117" t="s">
        <v>19</v>
      </c>
      <c r="E117" t="s">
        <v>16</v>
      </c>
      <c r="F117" t="s">
        <v>21</v>
      </c>
      <c r="G117" t="s">
        <v>25</v>
      </c>
      <c r="H117">
        <v>277.8</v>
      </c>
      <c r="I117">
        <v>249</v>
      </c>
      <c r="J117">
        <v>95.2</v>
      </c>
      <c r="K117">
        <v>67.5</v>
      </c>
      <c r="L117">
        <v>28.4</v>
      </c>
      <c r="M117">
        <v>7.5</v>
      </c>
      <c r="N117">
        <v>0.134440125029019</v>
      </c>
      <c r="O117">
        <v>7.8981805919257103E-2</v>
      </c>
      <c r="P117" t="str">
        <f t="shared" si="2"/>
        <v>F</v>
      </c>
      <c r="Q117" t="str">
        <f t="shared" si="3"/>
        <v>F</v>
      </c>
    </row>
    <row r="118" spans="1:17" hidden="1" x14ac:dyDescent="0.3">
      <c r="A118">
        <v>2836</v>
      </c>
      <c r="B118">
        <v>2022</v>
      </c>
      <c r="C118">
        <v>325</v>
      </c>
      <c r="D118" t="s">
        <v>19</v>
      </c>
      <c r="E118" t="s">
        <v>16</v>
      </c>
      <c r="F118" t="s">
        <v>17</v>
      </c>
      <c r="G118" t="s">
        <v>24</v>
      </c>
      <c r="H118">
        <v>274</v>
      </c>
      <c r="I118">
        <v>243.5</v>
      </c>
      <c r="J118">
        <v>94.8</v>
      </c>
      <c r="K118">
        <v>65.5</v>
      </c>
      <c r="L118">
        <v>26.1</v>
      </c>
      <c r="M118">
        <v>13</v>
      </c>
      <c r="N118">
        <v>0.23164847764826699</v>
      </c>
      <c r="O118">
        <v>6.8734533414797405E-2</v>
      </c>
      <c r="P118" t="str">
        <f t="shared" si="2"/>
        <v>F</v>
      </c>
      <c r="Q118" t="str">
        <f t="shared" si="3"/>
        <v>F</v>
      </c>
    </row>
    <row r="119" spans="1:17" hidden="1" x14ac:dyDescent="0.3">
      <c r="A119">
        <v>2837</v>
      </c>
      <c r="B119">
        <v>2022</v>
      </c>
      <c r="C119">
        <v>325</v>
      </c>
      <c r="D119" t="s">
        <v>19</v>
      </c>
      <c r="E119" t="s">
        <v>16</v>
      </c>
      <c r="F119" t="s">
        <v>17</v>
      </c>
      <c r="G119" t="s">
        <v>24</v>
      </c>
      <c r="H119">
        <v>274</v>
      </c>
      <c r="I119">
        <v>243.5</v>
      </c>
      <c r="J119">
        <v>94.8</v>
      </c>
      <c r="K119">
        <v>65.5</v>
      </c>
      <c r="L119">
        <v>26.1</v>
      </c>
      <c r="M119">
        <v>13</v>
      </c>
      <c r="N119">
        <v>0.22826042639601399</v>
      </c>
      <c r="O119">
        <v>7.8336873567253107E-2</v>
      </c>
      <c r="P119" t="str">
        <f t="shared" si="2"/>
        <v>F</v>
      </c>
      <c r="Q119" t="str">
        <f t="shared" si="3"/>
        <v>F</v>
      </c>
    </row>
    <row r="120" spans="1:17" hidden="1" x14ac:dyDescent="0.3">
      <c r="A120">
        <v>2838</v>
      </c>
      <c r="B120">
        <v>2022</v>
      </c>
      <c r="C120">
        <v>325</v>
      </c>
      <c r="D120" t="s">
        <v>19</v>
      </c>
      <c r="E120" t="s">
        <v>16</v>
      </c>
      <c r="F120" t="s">
        <v>17</v>
      </c>
      <c r="G120" t="s">
        <v>24</v>
      </c>
      <c r="H120">
        <v>274</v>
      </c>
      <c r="I120">
        <v>243.5</v>
      </c>
      <c r="J120">
        <v>94.8</v>
      </c>
      <c r="K120">
        <v>65.5</v>
      </c>
      <c r="L120">
        <v>26.1</v>
      </c>
      <c r="M120">
        <v>13</v>
      </c>
      <c r="N120">
        <v>0.24562429016029999</v>
      </c>
      <c r="O120">
        <v>9.5807843592196906E-2</v>
      </c>
      <c r="P120" t="str">
        <f t="shared" si="2"/>
        <v>F</v>
      </c>
      <c r="Q120" t="str">
        <f t="shared" si="3"/>
        <v>F</v>
      </c>
    </row>
    <row r="121" spans="1:17" hidden="1" x14ac:dyDescent="0.3">
      <c r="A121">
        <v>2839</v>
      </c>
      <c r="B121">
        <v>2022</v>
      </c>
      <c r="C121">
        <v>325</v>
      </c>
      <c r="D121" t="s">
        <v>19</v>
      </c>
      <c r="E121" t="s">
        <v>16</v>
      </c>
      <c r="F121" t="s">
        <v>17</v>
      </c>
      <c r="G121" t="s">
        <v>24</v>
      </c>
      <c r="H121">
        <v>274</v>
      </c>
      <c r="I121">
        <v>243.5</v>
      </c>
      <c r="J121">
        <v>94.8</v>
      </c>
      <c r="K121">
        <v>65.5</v>
      </c>
      <c r="L121">
        <v>26.1</v>
      </c>
      <c r="M121">
        <v>13</v>
      </c>
      <c r="N121">
        <v>0.21426983548039899</v>
      </c>
      <c r="O121">
        <v>7.4882796842202601E-2</v>
      </c>
      <c r="P121" t="str">
        <f t="shared" si="2"/>
        <v>F</v>
      </c>
      <c r="Q121" t="str">
        <f t="shared" si="3"/>
        <v>F</v>
      </c>
    </row>
    <row r="122" spans="1:17" hidden="1" x14ac:dyDescent="0.3">
      <c r="A122">
        <v>2841</v>
      </c>
      <c r="B122">
        <v>2024</v>
      </c>
      <c r="C122">
        <v>232</v>
      </c>
      <c r="D122" t="s">
        <v>19</v>
      </c>
      <c r="E122" t="s">
        <v>16</v>
      </c>
      <c r="F122" t="s">
        <v>21</v>
      </c>
      <c r="G122" t="s">
        <v>18</v>
      </c>
      <c r="H122">
        <v>277.8</v>
      </c>
      <c r="I122">
        <v>249</v>
      </c>
      <c r="J122">
        <v>95.2</v>
      </c>
      <c r="K122">
        <v>67.5</v>
      </c>
      <c r="L122">
        <v>28.4</v>
      </c>
      <c r="M122">
        <v>7.5</v>
      </c>
      <c r="N122">
        <v>0.14376423337567201</v>
      </c>
      <c r="O122">
        <v>7.0577197914939799E-2</v>
      </c>
      <c r="P122" t="str">
        <f t="shared" si="2"/>
        <v>F</v>
      </c>
      <c r="Q122" t="str">
        <f t="shared" si="3"/>
        <v>F</v>
      </c>
    </row>
    <row r="123" spans="1:17" hidden="1" x14ac:dyDescent="0.3">
      <c r="A123">
        <v>2842</v>
      </c>
      <c r="B123">
        <v>2024</v>
      </c>
      <c r="C123">
        <v>232</v>
      </c>
      <c r="D123" t="s">
        <v>19</v>
      </c>
      <c r="E123" t="s">
        <v>16</v>
      </c>
      <c r="F123" t="s">
        <v>21</v>
      </c>
      <c r="G123" t="s">
        <v>18</v>
      </c>
      <c r="H123">
        <v>277.8</v>
      </c>
      <c r="I123">
        <v>249</v>
      </c>
      <c r="J123">
        <v>95.2</v>
      </c>
      <c r="K123">
        <v>67.5</v>
      </c>
      <c r="L123">
        <v>28.4</v>
      </c>
      <c r="M123">
        <v>7.5</v>
      </c>
      <c r="N123">
        <v>0.13239392099116401</v>
      </c>
      <c r="O123">
        <v>6.6289942758338105E-2</v>
      </c>
      <c r="P123" t="str">
        <f t="shared" si="2"/>
        <v>F</v>
      </c>
      <c r="Q123" t="str">
        <f t="shared" si="3"/>
        <v>F</v>
      </c>
    </row>
    <row r="124" spans="1:17" hidden="1" x14ac:dyDescent="0.3">
      <c r="A124">
        <v>2846</v>
      </c>
      <c r="B124">
        <v>2026</v>
      </c>
      <c r="C124">
        <v>155</v>
      </c>
      <c r="D124" t="s">
        <v>19</v>
      </c>
      <c r="E124" t="s">
        <v>16</v>
      </c>
      <c r="F124" t="s">
        <v>17</v>
      </c>
      <c r="G124" t="s">
        <v>26</v>
      </c>
      <c r="H124">
        <v>269.7</v>
      </c>
      <c r="I124">
        <v>241.5</v>
      </c>
      <c r="J124">
        <v>92.4</v>
      </c>
      <c r="K124">
        <v>66</v>
      </c>
      <c r="L124">
        <v>24.4</v>
      </c>
      <c r="M124">
        <v>6.5</v>
      </c>
      <c r="N124">
        <v>0.158749171807125</v>
      </c>
      <c r="O124">
        <v>0.23080080251020299</v>
      </c>
      <c r="P124" t="str">
        <f t="shared" si="2"/>
        <v>F</v>
      </c>
      <c r="Q124" t="str">
        <f t="shared" si="3"/>
        <v>F</v>
      </c>
    </row>
    <row r="125" spans="1:17" hidden="1" x14ac:dyDescent="0.3">
      <c r="A125">
        <v>2850</v>
      </c>
      <c r="B125">
        <v>2029</v>
      </c>
      <c r="C125">
        <v>255</v>
      </c>
      <c r="D125" t="s">
        <v>19</v>
      </c>
      <c r="E125" t="s">
        <v>16</v>
      </c>
      <c r="F125" t="s">
        <v>21</v>
      </c>
      <c r="G125" t="s">
        <v>26</v>
      </c>
      <c r="H125">
        <v>278.2</v>
      </c>
      <c r="I125">
        <v>254.5</v>
      </c>
      <c r="J125">
        <v>94.5</v>
      </c>
      <c r="K125">
        <v>67</v>
      </c>
      <c r="L125">
        <v>27.9</v>
      </c>
      <c r="M125">
        <v>11.5</v>
      </c>
      <c r="N125">
        <v>0.27734650261977301</v>
      </c>
      <c r="O125">
        <v>0.12169786529958</v>
      </c>
      <c r="P125" t="str">
        <f t="shared" si="2"/>
        <v>F</v>
      </c>
      <c r="Q125" t="str">
        <f t="shared" si="3"/>
        <v>F</v>
      </c>
    </row>
    <row r="126" spans="1:17" hidden="1" x14ac:dyDescent="0.3">
      <c r="A126">
        <v>2899</v>
      </c>
      <c r="B126">
        <v>2046</v>
      </c>
      <c r="C126">
        <v>228</v>
      </c>
      <c r="D126" t="s">
        <v>19</v>
      </c>
      <c r="E126" t="s">
        <v>16</v>
      </c>
      <c r="F126" t="s">
        <v>17</v>
      </c>
      <c r="G126" t="s">
        <v>18</v>
      </c>
      <c r="H126">
        <v>275.39999999999998</v>
      </c>
      <c r="I126">
        <v>249.5</v>
      </c>
      <c r="J126">
        <v>93.4</v>
      </c>
      <c r="K126">
        <v>64</v>
      </c>
      <c r="L126">
        <v>28.4</v>
      </c>
      <c r="M126">
        <v>13</v>
      </c>
      <c r="N126">
        <v>7.4052238183901803E-2</v>
      </c>
      <c r="O126">
        <v>0.14399859284265901</v>
      </c>
      <c r="P126" t="str">
        <f t="shared" si="2"/>
        <v>T</v>
      </c>
      <c r="Q126" t="str">
        <f t="shared" si="3"/>
        <v>F</v>
      </c>
    </row>
    <row r="127" spans="1:17" hidden="1" x14ac:dyDescent="0.3">
      <c r="A127">
        <v>2900</v>
      </c>
      <c r="B127">
        <v>2046</v>
      </c>
      <c r="C127">
        <v>228</v>
      </c>
      <c r="D127" t="s">
        <v>19</v>
      </c>
      <c r="E127" t="s">
        <v>16</v>
      </c>
      <c r="F127" t="s">
        <v>17</v>
      </c>
      <c r="G127" t="s">
        <v>18</v>
      </c>
      <c r="H127">
        <v>275.39999999999998</v>
      </c>
      <c r="I127">
        <v>249.5</v>
      </c>
      <c r="J127">
        <v>93.4</v>
      </c>
      <c r="K127">
        <v>64</v>
      </c>
      <c r="L127">
        <v>28.4</v>
      </c>
      <c r="M127">
        <v>13</v>
      </c>
      <c r="N127">
        <v>6.9184092716764706E-2</v>
      </c>
      <c r="O127">
        <v>0.14655141474212299</v>
      </c>
      <c r="P127" t="str">
        <f t="shared" si="2"/>
        <v>T</v>
      </c>
      <c r="Q127" t="str">
        <f t="shared" si="3"/>
        <v>F</v>
      </c>
    </row>
    <row r="128" spans="1:17" hidden="1" x14ac:dyDescent="0.3">
      <c r="A128">
        <v>3003</v>
      </c>
      <c r="B128">
        <v>2084</v>
      </c>
      <c r="C128">
        <v>255</v>
      </c>
      <c r="D128" t="s">
        <v>19</v>
      </c>
      <c r="E128" t="s">
        <v>16</v>
      </c>
      <c r="F128" t="s">
        <v>17</v>
      </c>
      <c r="G128" t="s">
        <v>25</v>
      </c>
      <c r="H128">
        <v>278.2</v>
      </c>
      <c r="I128">
        <v>254.5</v>
      </c>
      <c r="J128">
        <v>94.5</v>
      </c>
      <c r="K128">
        <v>67</v>
      </c>
      <c r="L128">
        <v>27.9</v>
      </c>
      <c r="M128">
        <v>11.5</v>
      </c>
      <c r="N128">
        <v>0.29406087497280298</v>
      </c>
      <c r="O128">
        <v>0.100926219590143</v>
      </c>
      <c r="P128" t="str">
        <f t="shared" si="2"/>
        <v>F</v>
      </c>
      <c r="Q128" t="str">
        <f t="shared" si="3"/>
        <v>F</v>
      </c>
    </row>
    <row r="129" spans="1:17" hidden="1" x14ac:dyDescent="0.3">
      <c r="A129">
        <v>3005</v>
      </c>
      <c r="B129">
        <v>2084</v>
      </c>
      <c r="C129">
        <v>255</v>
      </c>
      <c r="D129" t="s">
        <v>19</v>
      </c>
      <c r="E129" t="s">
        <v>16</v>
      </c>
      <c r="F129" t="s">
        <v>17</v>
      </c>
      <c r="G129" t="s">
        <v>25</v>
      </c>
      <c r="H129">
        <v>278.2</v>
      </c>
      <c r="I129">
        <v>254.5</v>
      </c>
      <c r="J129">
        <v>94.5</v>
      </c>
      <c r="K129">
        <v>67</v>
      </c>
      <c r="L129">
        <v>27.9</v>
      </c>
      <c r="M129">
        <v>11.5</v>
      </c>
      <c r="N129">
        <v>0.27133714097845102</v>
      </c>
      <c r="O129">
        <v>0.11999683473664299</v>
      </c>
      <c r="P129" t="str">
        <f t="shared" si="2"/>
        <v>F</v>
      </c>
      <c r="Q129" t="str">
        <f t="shared" si="3"/>
        <v>F</v>
      </c>
    </row>
    <row r="130" spans="1:17" hidden="1" x14ac:dyDescent="0.3">
      <c r="A130">
        <v>3066</v>
      </c>
      <c r="B130">
        <v>2105</v>
      </c>
      <c r="C130">
        <v>387</v>
      </c>
      <c r="D130" t="s">
        <v>19</v>
      </c>
      <c r="E130" t="s">
        <v>16</v>
      </c>
      <c r="F130" t="s">
        <v>21</v>
      </c>
      <c r="G130" t="s">
        <v>18</v>
      </c>
      <c r="H130">
        <v>275.2</v>
      </c>
      <c r="I130">
        <v>249.5</v>
      </c>
      <c r="J130">
        <v>96.8</v>
      </c>
      <c r="K130">
        <v>66</v>
      </c>
      <c r="L130">
        <v>25.3</v>
      </c>
      <c r="M130">
        <v>8.5</v>
      </c>
      <c r="N130">
        <v>8.5553235855889503E-2</v>
      </c>
      <c r="O130">
        <v>6.9144758665117795E-2</v>
      </c>
      <c r="P130" t="str">
        <f t="shared" si="2"/>
        <v>T</v>
      </c>
      <c r="Q130" t="str">
        <f t="shared" si="3"/>
        <v>F</v>
      </c>
    </row>
    <row r="131" spans="1:17" hidden="1" x14ac:dyDescent="0.3">
      <c r="A131">
        <v>3067</v>
      </c>
      <c r="B131">
        <v>2105</v>
      </c>
      <c r="C131">
        <v>387</v>
      </c>
      <c r="D131" t="s">
        <v>19</v>
      </c>
      <c r="E131" t="s">
        <v>16</v>
      </c>
      <c r="F131" t="s">
        <v>21</v>
      </c>
      <c r="G131" t="s">
        <v>18</v>
      </c>
      <c r="H131">
        <v>275.2</v>
      </c>
      <c r="I131">
        <v>249.5</v>
      </c>
      <c r="J131">
        <v>96.8</v>
      </c>
      <c r="K131">
        <v>66</v>
      </c>
      <c r="L131">
        <v>25.3</v>
      </c>
      <c r="M131">
        <v>8.5</v>
      </c>
      <c r="N131">
        <v>7.6957620035452007E-2</v>
      </c>
      <c r="O131">
        <v>8.8558377764643204E-2</v>
      </c>
      <c r="P131" t="str">
        <f t="shared" ref="P131:P194" si="4">IF(N131&lt;0.095876, "T", "F")</f>
        <v>T</v>
      </c>
      <c r="Q131" t="str">
        <f t="shared" ref="Q131:Q194" si="5">IF(O131&lt; 0.064417, "T", "F")</f>
        <v>F</v>
      </c>
    </row>
    <row r="132" spans="1:17" hidden="1" x14ac:dyDescent="0.3">
      <c r="A132">
        <v>3068</v>
      </c>
      <c r="B132">
        <v>2105</v>
      </c>
      <c r="C132">
        <v>387</v>
      </c>
      <c r="D132" t="s">
        <v>19</v>
      </c>
      <c r="E132" t="s">
        <v>16</v>
      </c>
      <c r="F132" t="s">
        <v>21</v>
      </c>
      <c r="G132" t="s">
        <v>18</v>
      </c>
      <c r="H132">
        <v>275.2</v>
      </c>
      <c r="I132">
        <v>249.5</v>
      </c>
      <c r="J132">
        <v>96.8</v>
      </c>
      <c r="K132">
        <v>66</v>
      </c>
      <c r="L132">
        <v>25.3</v>
      </c>
      <c r="M132">
        <v>8.5</v>
      </c>
      <c r="N132">
        <v>8.8645793222266095E-2</v>
      </c>
      <c r="O132">
        <v>6.9396816658683302E-2</v>
      </c>
      <c r="P132" t="str">
        <f t="shared" si="4"/>
        <v>T</v>
      </c>
      <c r="Q132" t="str">
        <f t="shared" si="5"/>
        <v>F</v>
      </c>
    </row>
    <row r="133" spans="1:17" hidden="1" x14ac:dyDescent="0.3">
      <c r="A133">
        <v>3069</v>
      </c>
      <c r="B133">
        <v>2105</v>
      </c>
      <c r="C133">
        <v>387</v>
      </c>
      <c r="D133" t="s">
        <v>19</v>
      </c>
      <c r="E133" t="s">
        <v>16</v>
      </c>
      <c r="F133" t="s">
        <v>21</v>
      </c>
      <c r="G133" t="s">
        <v>18</v>
      </c>
      <c r="H133">
        <v>275.2</v>
      </c>
      <c r="I133">
        <v>249.5</v>
      </c>
      <c r="J133">
        <v>96.8</v>
      </c>
      <c r="K133">
        <v>66</v>
      </c>
      <c r="L133">
        <v>25.3</v>
      </c>
      <c r="M133">
        <v>8.5</v>
      </c>
      <c r="N133">
        <v>9.8321510863927902E-2</v>
      </c>
      <c r="O133">
        <v>9.0904375249378999E-2</v>
      </c>
      <c r="P133" t="str">
        <f t="shared" si="4"/>
        <v>F</v>
      </c>
      <c r="Q133" t="str">
        <f t="shared" si="5"/>
        <v>F</v>
      </c>
    </row>
    <row r="134" spans="1:17" hidden="1" x14ac:dyDescent="0.3">
      <c r="A134">
        <v>3070</v>
      </c>
      <c r="B134">
        <v>2105</v>
      </c>
      <c r="C134">
        <v>387</v>
      </c>
      <c r="D134" t="s">
        <v>19</v>
      </c>
      <c r="E134" t="s">
        <v>16</v>
      </c>
      <c r="F134" t="s">
        <v>21</v>
      </c>
      <c r="G134" t="s">
        <v>18</v>
      </c>
      <c r="H134">
        <v>275.2</v>
      </c>
      <c r="I134">
        <v>249.5</v>
      </c>
      <c r="J134">
        <v>96.8</v>
      </c>
      <c r="K134">
        <v>66</v>
      </c>
      <c r="L134">
        <v>25.3</v>
      </c>
      <c r="M134">
        <v>8.5</v>
      </c>
      <c r="N134">
        <v>8.2644958337534602E-2</v>
      </c>
      <c r="O134">
        <v>7.4914874702590395E-2</v>
      </c>
      <c r="P134" t="str">
        <f t="shared" si="4"/>
        <v>T</v>
      </c>
      <c r="Q134" t="str">
        <f t="shared" si="5"/>
        <v>F</v>
      </c>
    </row>
    <row r="135" spans="1:17" hidden="1" x14ac:dyDescent="0.3">
      <c r="A135">
        <v>3112</v>
      </c>
      <c r="B135">
        <v>2121</v>
      </c>
      <c r="C135">
        <v>368</v>
      </c>
      <c r="D135" t="s">
        <v>19</v>
      </c>
      <c r="E135" t="s">
        <v>16</v>
      </c>
      <c r="F135" t="s">
        <v>21</v>
      </c>
      <c r="G135" t="s">
        <v>18</v>
      </c>
      <c r="H135">
        <v>273.3</v>
      </c>
      <c r="I135">
        <v>249</v>
      </c>
      <c r="J135">
        <v>98.9</v>
      </c>
      <c r="K135">
        <v>68.5</v>
      </c>
      <c r="L135">
        <v>23.8</v>
      </c>
      <c r="M135">
        <v>9</v>
      </c>
      <c r="N135">
        <v>0.14183875149245401</v>
      </c>
      <c r="O135">
        <v>4.3636323496881298E-2</v>
      </c>
      <c r="P135" t="str">
        <f t="shared" si="4"/>
        <v>F</v>
      </c>
      <c r="Q135" t="str">
        <f t="shared" si="5"/>
        <v>T</v>
      </c>
    </row>
    <row r="136" spans="1:17" hidden="1" x14ac:dyDescent="0.3">
      <c r="A136">
        <v>3113</v>
      </c>
      <c r="B136">
        <v>2121</v>
      </c>
      <c r="C136">
        <v>368</v>
      </c>
      <c r="D136" t="s">
        <v>19</v>
      </c>
      <c r="E136" t="s">
        <v>16</v>
      </c>
      <c r="F136" t="s">
        <v>21</v>
      </c>
      <c r="G136" t="s">
        <v>18</v>
      </c>
      <c r="H136">
        <v>273.3</v>
      </c>
      <c r="I136">
        <v>249</v>
      </c>
      <c r="J136">
        <v>98.9</v>
      </c>
      <c r="K136">
        <v>68.5</v>
      </c>
      <c r="L136">
        <v>23.8</v>
      </c>
      <c r="M136">
        <v>9</v>
      </c>
      <c r="N136">
        <v>0.12267387886011</v>
      </c>
      <c r="O136">
        <v>4.6519520539050799E-2</v>
      </c>
      <c r="P136" t="str">
        <f t="shared" si="4"/>
        <v>F</v>
      </c>
      <c r="Q136" t="str">
        <f t="shared" si="5"/>
        <v>T</v>
      </c>
    </row>
    <row r="137" spans="1:17" hidden="1" x14ac:dyDescent="0.3">
      <c r="A137">
        <v>3156</v>
      </c>
      <c r="B137">
        <v>2139</v>
      </c>
      <c r="C137">
        <v>218</v>
      </c>
      <c r="D137" t="s">
        <v>19</v>
      </c>
      <c r="E137" t="s">
        <v>16</v>
      </c>
      <c r="F137" t="s">
        <v>21</v>
      </c>
      <c r="G137" t="s">
        <v>22</v>
      </c>
      <c r="H137">
        <v>274.5</v>
      </c>
      <c r="I137">
        <v>258</v>
      </c>
      <c r="J137">
        <v>101.5</v>
      </c>
      <c r="K137">
        <v>66.5</v>
      </c>
      <c r="L137">
        <v>27.9</v>
      </c>
      <c r="M137">
        <v>10</v>
      </c>
      <c r="N137">
        <v>0.12387110744860801</v>
      </c>
      <c r="O137">
        <v>9.0294732766658697E-2</v>
      </c>
      <c r="P137" t="str">
        <f t="shared" si="4"/>
        <v>F</v>
      </c>
      <c r="Q137" t="str">
        <f t="shared" si="5"/>
        <v>F</v>
      </c>
    </row>
    <row r="138" spans="1:17" hidden="1" x14ac:dyDescent="0.3">
      <c r="A138">
        <v>3157</v>
      </c>
      <c r="B138">
        <v>2139</v>
      </c>
      <c r="C138">
        <v>218</v>
      </c>
      <c r="D138" t="s">
        <v>19</v>
      </c>
      <c r="E138" t="s">
        <v>16</v>
      </c>
      <c r="F138" t="s">
        <v>21</v>
      </c>
      <c r="G138" t="s">
        <v>22</v>
      </c>
      <c r="H138">
        <v>274.5</v>
      </c>
      <c r="I138">
        <v>258</v>
      </c>
      <c r="J138">
        <v>101.5</v>
      </c>
      <c r="K138">
        <v>66.5</v>
      </c>
      <c r="L138">
        <v>27.9</v>
      </c>
      <c r="M138">
        <v>10</v>
      </c>
      <c r="N138">
        <v>0.12112836450211301</v>
      </c>
      <c r="O138">
        <v>0.10149215109392599</v>
      </c>
      <c r="P138" t="str">
        <f t="shared" si="4"/>
        <v>F</v>
      </c>
      <c r="Q138" t="str">
        <f t="shared" si="5"/>
        <v>F</v>
      </c>
    </row>
    <row r="139" spans="1:17" hidden="1" x14ac:dyDescent="0.3">
      <c r="A139">
        <v>3158</v>
      </c>
      <c r="B139">
        <v>2139</v>
      </c>
      <c r="C139">
        <v>218</v>
      </c>
      <c r="D139" t="s">
        <v>19</v>
      </c>
      <c r="E139" t="s">
        <v>16</v>
      </c>
      <c r="F139" t="s">
        <v>21</v>
      </c>
      <c r="G139" t="s">
        <v>22</v>
      </c>
      <c r="H139">
        <v>274.5</v>
      </c>
      <c r="I139">
        <v>258</v>
      </c>
      <c r="J139">
        <v>101.5</v>
      </c>
      <c r="K139">
        <v>66.5</v>
      </c>
      <c r="L139">
        <v>27.9</v>
      </c>
      <c r="M139">
        <v>10</v>
      </c>
      <c r="N139">
        <v>0.12169225180433201</v>
      </c>
      <c r="O139">
        <v>0.11451850066529699</v>
      </c>
      <c r="P139" t="str">
        <f t="shared" si="4"/>
        <v>F</v>
      </c>
      <c r="Q139" t="str">
        <f t="shared" si="5"/>
        <v>F</v>
      </c>
    </row>
    <row r="140" spans="1:17" hidden="1" x14ac:dyDescent="0.3">
      <c r="A140">
        <v>3177</v>
      </c>
      <c r="B140">
        <v>2148</v>
      </c>
      <c r="C140">
        <v>238</v>
      </c>
      <c r="D140" t="s">
        <v>19</v>
      </c>
      <c r="E140" t="s">
        <v>16</v>
      </c>
      <c r="F140" t="s">
        <v>17</v>
      </c>
      <c r="G140" t="s">
        <v>24</v>
      </c>
      <c r="H140">
        <v>273.3</v>
      </c>
      <c r="I140">
        <v>246</v>
      </c>
      <c r="J140">
        <v>92.6</v>
      </c>
      <c r="K140">
        <v>63.5</v>
      </c>
      <c r="L140">
        <v>25.5</v>
      </c>
      <c r="M140">
        <v>9.5</v>
      </c>
      <c r="N140">
        <v>0.122777209357728</v>
      </c>
      <c r="O140">
        <v>0.146959091067843</v>
      </c>
      <c r="P140" t="str">
        <f t="shared" si="4"/>
        <v>F</v>
      </c>
      <c r="Q140" t="str">
        <f t="shared" si="5"/>
        <v>F</v>
      </c>
    </row>
    <row r="141" spans="1:17" hidden="1" x14ac:dyDescent="0.3">
      <c r="A141">
        <v>3178</v>
      </c>
      <c r="B141">
        <v>2148</v>
      </c>
      <c r="C141">
        <v>238</v>
      </c>
      <c r="D141" t="s">
        <v>19</v>
      </c>
      <c r="E141" t="s">
        <v>16</v>
      </c>
      <c r="F141" t="s">
        <v>17</v>
      </c>
      <c r="G141" t="s">
        <v>24</v>
      </c>
      <c r="H141">
        <v>273.3</v>
      </c>
      <c r="I141">
        <v>246</v>
      </c>
      <c r="J141">
        <v>92.6</v>
      </c>
      <c r="K141">
        <v>63.5</v>
      </c>
      <c r="L141">
        <v>25.5</v>
      </c>
      <c r="M141">
        <v>9.5</v>
      </c>
      <c r="N141">
        <v>9.4762153197009397E-2</v>
      </c>
      <c r="O141">
        <v>0.14246785221616201</v>
      </c>
      <c r="P141" t="str">
        <f t="shared" si="4"/>
        <v>T</v>
      </c>
      <c r="Q141" t="str">
        <f t="shared" si="5"/>
        <v>F</v>
      </c>
    </row>
    <row r="142" spans="1:17" hidden="1" x14ac:dyDescent="0.3">
      <c r="A142">
        <v>3185</v>
      </c>
      <c r="B142">
        <v>2151</v>
      </c>
      <c r="C142">
        <v>232</v>
      </c>
      <c r="D142" t="s">
        <v>19</v>
      </c>
      <c r="E142" t="s">
        <v>16</v>
      </c>
      <c r="F142" t="s">
        <v>17</v>
      </c>
      <c r="G142" t="s">
        <v>18</v>
      </c>
      <c r="H142">
        <v>277.8</v>
      </c>
      <c r="I142">
        <v>249</v>
      </c>
      <c r="J142">
        <v>95.2</v>
      </c>
      <c r="K142">
        <v>67.5</v>
      </c>
      <c r="L142">
        <v>28.4</v>
      </c>
      <c r="M142">
        <v>7.5</v>
      </c>
      <c r="N142">
        <v>0.147109589392763</v>
      </c>
      <c r="O142">
        <v>6.5195154172156294E-2</v>
      </c>
      <c r="P142" t="str">
        <f t="shared" si="4"/>
        <v>F</v>
      </c>
      <c r="Q142" t="str">
        <f t="shared" si="5"/>
        <v>F</v>
      </c>
    </row>
    <row r="143" spans="1:17" hidden="1" x14ac:dyDescent="0.3">
      <c r="A143">
        <v>3186</v>
      </c>
      <c r="B143">
        <v>2151</v>
      </c>
      <c r="C143">
        <v>232</v>
      </c>
      <c r="D143" t="s">
        <v>19</v>
      </c>
      <c r="E143" t="s">
        <v>16</v>
      </c>
      <c r="F143" t="s">
        <v>17</v>
      </c>
      <c r="G143" t="s">
        <v>18</v>
      </c>
      <c r="H143">
        <v>277.8</v>
      </c>
      <c r="I143">
        <v>249</v>
      </c>
      <c r="J143">
        <v>95.2</v>
      </c>
      <c r="K143">
        <v>67.5</v>
      </c>
      <c r="L143">
        <v>28.4</v>
      </c>
      <c r="M143">
        <v>7.5</v>
      </c>
      <c r="N143">
        <v>0.138378142234272</v>
      </c>
      <c r="O143">
        <v>6.3741459500940095E-2</v>
      </c>
      <c r="P143" t="str">
        <f t="shared" si="4"/>
        <v>F</v>
      </c>
      <c r="Q143" t="str">
        <f t="shared" si="5"/>
        <v>T</v>
      </c>
    </row>
    <row r="144" spans="1:17" hidden="1" x14ac:dyDescent="0.3">
      <c r="A144">
        <v>3187</v>
      </c>
      <c r="B144">
        <v>2151</v>
      </c>
      <c r="C144">
        <v>232</v>
      </c>
      <c r="D144" t="s">
        <v>19</v>
      </c>
      <c r="E144" t="s">
        <v>16</v>
      </c>
      <c r="F144" t="s">
        <v>17</v>
      </c>
      <c r="G144" t="s">
        <v>18</v>
      </c>
      <c r="H144">
        <v>277.8</v>
      </c>
      <c r="I144">
        <v>249</v>
      </c>
      <c r="J144">
        <v>95.2</v>
      </c>
      <c r="K144">
        <v>67.5</v>
      </c>
      <c r="L144">
        <v>28.4</v>
      </c>
      <c r="M144">
        <v>7.5</v>
      </c>
      <c r="N144">
        <v>0.13762811115320001</v>
      </c>
      <c r="O144">
        <v>5.5361901808269297E-2</v>
      </c>
      <c r="P144" t="str">
        <f t="shared" si="4"/>
        <v>F</v>
      </c>
      <c r="Q144" t="str">
        <f t="shared" si="5"/>
        <v>T</v>
      </c>
    </row>
    <row r="145" spans="1:17" hidden="1" x14ac:dyDescent="0.3">
      <c r="A145">
        <v>3188</v>
      </c>
      <c r="B145">
        <v>2151</v>
      </c>
      <c r="C145">
        <v>232</v>
      </c>
      <c r="D145" t="s">
        <v>19</v>
      </c>
      <c r="E145" t="s">
        <v>16</v>
      </c>
      <c r="F145" t="s">
        <v>17</v>
      </c>
      <c r="G145" t="s">
        <v>18</v>
      </c>
      <c r="H145">
        <v>277.8</v>
      </c>
      <c r="I145">
        <v>249</v>
      </c>
      <c r="J145">
        <v>95.2</v>
      </c>
      <c r="K145">
        <v>67.5</v>
      </c>
      <c r="L145">
        <v>28.4</v>
      </c>
      <c r="M145">
        <v>7.5</v>
      </c>
      <c r="N145">
        <v>0.125187003553202</v>
      </c>
      <c r="O145">
        <v>7.1246351458684604E-2</v>
      </c>
      <c r="P145" t="str">
        <f t="shared" si="4"/>
        <v>F</v>
      </c>
      <c r="Q145" t="str">
        <f t="shared" si="5"/>
        <v>F</v>
      </c>
    </row>
    <row r="146" spans="1:17" hidden="1" x14ac:dyDescent="0.3">
      <c r="A146">
        <v>3285</v>
      </c>
      <c r="B146">
        <v>2192</v>
      </c>
      <c r="C146">
        <v>114</v>
      </c>
      <c r="D146" t="s">
        <v>19</v>
      </c>
      <c r="E146" t="s">
        <v>16</v>
      </c>
      <c r="F146" t="s">
        <v>21</v>
      </c>
      <c r="G146" t="s">
        <v>24</v>
      </c>
      <c r="H146">
        <v>275.89999999999998</v>
      </c>
      <c r="I146">
        <v>254</v>
      </c>
      <c r="J146">
        <v>97.2</v>
      </c>
      <c r="K146">
        <v>66.5</v>
      </c>
      <c r="L146">
        <v>28.5</v>
      </c>
      <c r="M146">
        <v>5.5</v>
      </c>
      <c r="N146">
        <v>0.13880896570576801</v>
      </c>
      <c r="O146">
        <v>0.23036103614150399</v>
      </c>
      <c r="P146" t="str">
        <f t="shared" si="4"/>
        <v>F</v>
      </c>
      <c r="Q146" t="str">
        <f t="shared" si="5"/>
        <v>F</v>
      </c>
    </row>
    <row r="147" spans="1:17" hidden="1" x14ac:dyDescent="0.3">
      <c r="A147">
        <v>3286</v>
      </c>
      <c r="B147">
        <v>2192</v>
      </c>
      <c r="C147">
        <v>114</v>
      </c>
      <c r="D147" t="s">
        <v>19</v>
      </c>
      <c r="E147" t="s">
        <v>16</v>
      </c>
      <c r="F147" t="s">
        <v>21</v>
      </c>
      <c r="G147" t="s">
        <v>24</v>
      </c>
      <c r="H147">
        <v>275.89999999999998</v>
      </c>
      <c r="I147">
        <v>254</v>
      </c>
      <c r="J147">
        <v>97.2</v>
      </c>
      <c r="K147">
        <v>66.5</v>
      </c>
      <c r="L147">
        <v>28.5</v>
      </c>
      <c r="M147">
        <v>5.5</v>
      </c>
      <c r="N147">
        <v>0.11165715541153499</v>
      </c>
      <c r="O147">
        <v>0.20492989153227101</v>
      </c>
      <c r="P147" t="str">
        <f t="shared" si="4"/>
        <v>F</v>
      </c>
      <c r="Q147" t="str">
        <f t="shared" si="5"/>
        <v>F</v>
      </c>
    </row>
    <row r="148" spans="1:17" hidden="1" x14ac:dyDescent="0.3">
      <c r="A148">
        <v>3287</v>
      </c>
      <c r="B148">
        <v>2192</v>
      </c>
      <c r="C148">
        <v>114</v>
      </c>
      <c r="D148" t="s">
        <v>19</v>
      </c>
      <c r="E148" t="s">
        <v>16</v>
      </c>
      <c r="F148" t="s">
        <v>21</v>
      </c>
      <c r="G148" t="s">
        <v>24</v>
      </c>
      <c r="H148">
        <v>275.89999999999998</v>
      </c>
      <c r="I148">
        <v>254</v>
      </c>
      <c r="J148">
        <v>97.2</v>
      </c>
      <c r="K148">
        <v>66.5</v>
      </c>
      <c r="L148">
        <v>28.5</v>
      </c>
      <c r="M148">
        <v>5.5</v>
      </c>
      <c r="N148">
        <v>0.12238225240982301</v>
      </c>
      <c r="O148">
        <v>0.21299702836791801</v>
      </c>
      <c r="P148" t="str">
        <f t="shared" si="4"/>
        <v>F</v>
      </c>
      <c r="Q148" t="str">
        <f t="shared" si="5"/>
        <v>F</v>
      </c>
    </row>
    <row r="149" spans="1:17" hidden="1" x14ac:dyDescent="0.3">
      <c r="A149">
        <v>3326</v>
      </c>
      <c r="B149">
        <v>2209</v>
      </c>
      <c r="C149">
        <v>388</v>
      </c>
      <c r="D149" t="s">
        <v>19</v>
      </c>
      <c r="E149" t="s">
        <v>16</v>
      </c>
      <c r="F149" t="s">
        <v>17</v>
      </c>
      <c r="G149" t="s">
        <v>24</v>
      </c>
      <c r="H149">
        <v>277.10000000000002</v>
      </c>
      <c r="I149">
        <v>244.5</v>
      </c>
      <c r="J149">
        <v>91.9</v>
      </c>
      <c r="K149">
        <v>62.5</v>
      </c>
      <c r="L149">
        <v>25.9</v>
      </c>
      <c r="M149">
        <v>7</v>
      </c>
      <c r="N149">
        <v>0.11284875400314399</v>
      </c>
      <c r="O149">
        <v>4.8948900022573898E-2</v>
      </c>
      <c r="P149" t="str">
        <f t="shared" si="4"/>
        <v>F</v>
      </c>
      <c r="Q149" t="str">
        <f t="shared" si="5"/>
        <v>T</v>
      </c>
    </row>
    <row r="150" spans="1:17" hidden="1" x14ac:dyDescent="0.3">
      <c r="A150">
        <v>3397</v>
      </c>
      <c r="B150">
        <v>2233</v>
      </c>
      <c r="C150">
        <v>368</v>
      </c>
      <c r="D150" t="s">
        <v>19</v>
      </c>
      <c r="E150" t="s">
        <v>16</v>
      </c>
      <c r="F150" t="s">
        <v>17</v>
      </c>
      <c r="G150" t="s">
        <v>24</v>
      </c>
      <c r="H150">
        <v>273.3</v>
      </c>
      <c r="I150">
        <v>249</v>
      </c>
      <c r="J150">
        <v>98.9</v>
      </c>
      <c r="K150">
        <v>68.5</v>
      </c>
      <c r="L150">
        <v>23.8</v>
      </c>
      <c r="M150">
        <v>9</v>
      </c>
      <c r="N150">
        <v>0.115537479854309</v>
      </c>
      <c r="O150">
        <v>3.3035004423070599E-2</v>
      </c>
      <c r="P150" t="str">
        <f t="shared" si="4"/>
        <v>F</v>
      </c>
      <c r="Q150" t="str">
        <f t="shared" si="5"/>
        <v>T</v>
      </c>
    </row>
    <row r="151" spans="1:17" hidden="1" x14ac:dyDescent="0.3">
      <c r="A151">
        <v>3398</v>
      </c>
      <c r="B151">
        <v>2233</v>
      </c>
      <c r="C151">
        <v>368</v>
      </c>
      <c r="D151" t="s">
        <v>19</v>
      </c>
      <c r="E151" t="s">
        <v>16</v>
      </c>
      <c r="F151" t="s">
        <v>17</v>
      </c>
      <c r="G151" t="s">
        <v>24</v>
      </c>
      <c r="H151">
        <v>273.3</v>
      </c>
      <c r="I151">
        <v>249</v>
      </c>
      <c r="J151">
        <v>98.9</v>
      </c>
      <c r="K151">
        <v>68.5</v>
      </c>
      <c r="L151">
        <v>23.8</v>
      </c>
      <c r="M151">
        <v>9</v>
      </c>
      <c r="N151">
        <v>0.113191092097951</v>
      </c>
      <c r="O151">
        <v>4.11161592828235E-2</v>
      </c>
      <c r="P151" t="str">
        <f t="shared" si="4"/>
        <v>F</v>
      </c>
      <c r="Q151" t="str">
        <f t="shared" si="5"/>
        <v>T</v>
      </c>
    </row>
    <row r="152" spans="1:17" hidden="1" x14ac:dyDescent="0.3">
      <c r="A152">
        <v>3548</v>
      </c>
      <c r="B152">
        <v>2280</v>
      </c>
      <c r="C152">
        <v>388</v>
      </c>
      <c r="D152" t="s">
        <v>19</v>
      </c>
      <c r="E152" t="s">
        <v>16</v>
      </c>
      <c r="F152" t="s">
        <v>21</v>
      </c>
      <c r="G152" t="s">
        <v>18</v>
      </c>
      <c r="H152">
        <v>277.10000000000002</v>
      </c>
      <c r="I152">
        <v>244.5</v>
      </c>
      <c r="J152">
        <v>91.9</v>
      </c>
      <c r="K152">
        <v>62.5</v>
      </c>
      <c r="L152">
        <v>25.9</v>
      </c>
      <c r="M152">
        <v>7</v>
      </c>
      <c r="N152">
        <v>0.104620565591172</v>
      </c>
      <c r="O152">
        <v>6.1034942748368001E-2</v>
      </c>
      <c r="P152" t="str">
        <f t="shared" si="4"/>
        <v>F</v>
      </c>
      <c r="Q152" t="str">
        <f t="shared" si="5"/>
        <v>T</v>
      </c>
    </row>
    <row r="153" spans="1:17" hidden="1" x14ac:dyDescent="0.3">
      <c r="A153">
        <v>3549</v>
      </c>
      <c r="B153">
        <v>2280</v>
      </c>
      <c r="C153">
        <v>388</v>
      </c>
      <c r="D153" t="s">
        <v>19</v>
      </c>
      <c r="E153" t="s">
        <v>16</v>
      </c>
      <c r="F153" t="s">
        <v>21</v>
      </c>
      <c r="G153" t="s">
        <v>18</v>
      </c>
      <c r="H153">
        <v>277.10000000000002</v>
      </c>
      <c r="I153">
        <v>244.5</v>
      </c>
      <c r="J153">
        <v>91.9</v>
      </c>
      <c r="K153">
        <v>62.5</v>
      </c>
      <c r="L153">
        <v>25.9</v>
      </c>
      <c r="M153">
        <v>7</v>
      </c>
      <c r="N153">
        <v>0.1190978960858</v>
      </c>
      <c r="O153">
        <v>6.7417604913378698E-2</v>
      </c>
      <c r="P153" t="str">
        <f t="shared" si="4"/>
        <v>F</v>
      </c>
      <c r="Q153" t="str">
        <f t="shared" si="5"/>
        <v>F</v>
      </c>
    </row>
    <row r="154" spans="1:17" hidden="1" x14ac:dyDescent="0.3">
      <c r="A154">
        <v>3550</v>
      </c>
      <c r="B154">
        <v>2280</v>
      </c>
      <c r="C154">
        <v>388</v>
      </c>
      <c r="D154" t="s">
        <v>19</v>
      </c>
      <c r="E154" t="s">
        <v>16</v>
      </c>
      <c r="F154" t="s">
        <v>21</v>
      </c>
      <c r="G154" t="s">
        <v>18</v>
      </c>
      <c r="H154">
        <v>277.10000000000002</v>
      </c>
      <c r="I154">
        <v>244.5</v>
      </c>
      <c r="J154">
        <v>91.9</v>
      </c>
      <c r="K154">
        <v>62.5</v>
      </c>
      <c r="L154">
        <v>25.9</v>
      </c>
      <c r="M154">
        <v>7</v>
      </c>
      <c r="N154">
        <v>9.9955870474237499E-2</v>
      </c>
      <c r="O154">
        <v>7.9977345092935498E-2</v>
      </c>
      <c r="P154" t="str">
        <f t="shared" si="4"/>
        <v>F</v>
      </c>
      <c r="Q154" t="str">
        <f t="shared" si="5"/>
        <v>F</v>
      </c>
    </row>
    <row r="155" spans="1:17" hidden="1" x14ac:dyDescent="0.3">
      <c r="A155">
        <v>3621</v>
      </c>
      <c r="B155">
        <v>2310</v>
      </c>
      <c r="C155">
        <v>218</v>
      </c>
      <c r="D155" t="s">
        <v>19</v>
      </c>
      <c r="E155" t="s">
        <v>16</v>
      </c>
      <c r="F155" t="s">
        <v>21</v>
      </c>
      <c r="G155" t="s">
        <v>26</v>
      </c>
      <c r="H155">
        <v>274.5</v>
      </c>
      <c r="I155">
        <v>258</v>
      </c>
      <c r="J155">
        <v>101.5</v>
      </c>
      <c r="K155">
        <v>66.5</v>
      </c>
      <c r="L155">
        <v>27.9</v>
      </c>
      <c r="M155">
        <v>10</v>
      </c>
      <c r="N155">
        <v>0.15545684797482601</v>
      </c>
      <c r="O155">
        <v>0.109217356042979</v>
      </c>
      <c r="P155" t="str">
        <f t="shared" si="4"/>
        <v>F</v>
      </c>
      <c r="Q155" t="str">
        <f t="shared" si="5"/>
        <v>F</v>
      </c>
    </row>
    <row r="156" spans="1:17" hidden="1" x14ac:dyDescent="0.3">
      <c r="A156">
        <v>3622</v>
      </c>
      <c r="B156">
        <v>2310</v>
      </c>
      <c r="C156">
        <v>218</v>
      </c>
      <c r="D156" t="s">
        <v>19</v>
      </c>
      <c r="E156" t="s">
        <v>16</v>
      </c>
      <c r="F156" t="s">
        <v>21</v>
      </c>
      <c r="G156" t="s">
        <v>26</v>
      </c>
      <c r="H156">
        <v>274.5</v>
      </c>
      <c r="I156">
        <v>258</v>
      </c>
      <c r="J156">
        <v>101.5</v>
      </c>
      <c r="K156">
        <v>66.5</v>
      </c>
      <c r="L156">
        <v>27.9</v>
      </c>
      <c r="M156">
        <v>10</v>
      </c>
      <c r="N156">
        <v>0.11816448055892401</v>
      </c>
      <c r="O156">
        <v>0.11113741111556801</v>
      </c>
      <c r="P156" t="str">
        <f t="shared" si="4"/>
        <v>F</v>
      </c>
      <c r="Q156" t="str">
        <f t="shared" si="5"/>
        <v>F</v>
      </c>
    </row>
    <row r="157" spans="1:17" hidden="1" x14ac:dyDescent="0.3">
      <c r="A157">
        <v>3623</v>
      </c>
      <c r="B157">
        <v>2310</v>
      </c>
      <c r="C157">
        <v>218</v>
      </c>
      <c r="D157" t="s">
        <v>19</v>
      </c>
      <c r="E157" t="s">
        <v>16</v>
      </c>
      <c r="F157" t="s">
        <v>21</v>
      </c>
      <c r="G157" t="s">
        <v>26</v>
      </c>
      <c r="H157">
        <v>274.5</v>
      </c>
      <c r="I157">
        <v>258</v>
      </c>
      <c r="J157">
        <v>101.5</v>
      </c>
      <c r="K157">
        <v>66.5</v>
      </c>
      <c r="L157">
        <v>27.9</v>
      </c>
      <c r="M157">
        <v>10</v>
      </c>
      <c r="N157">
        <v>0.13986016078485999</v>
      </c>
      <c r="O157">
        <v>0.118268356897595</v>
      </c>
      <c r="P157" t="str">
        <f t="shared" si="4"/>
        <v>F</v>
      </c>
      <c r="Q157" t="str">
        <f t="shared" si="5"/>
        <v>F</v>
      </c>
    </row>
    <row r="158" spans="1:17" hidden="1" x14ac:dyDescent="0.3">
      <c r="A158">
        <v>3661</v>
      </c>
      <c r="B158">
        <v>2325</v>
      </c>
      <c r="C158">
        <v>179</v>
      </c>
      <c r="D158" t="s">
        <v>19</v>
      </c>
      <c r="E158" t="s">
        <v>16</v>
      </c>
      <c r="F158" t="s">
        <v>17</v>
      </c>
      <c r="G158" t="s">
        <v>26</v>
      </c>
      <c r="H158">
        <v>276</v>
      </c>
      <c r="I158">
        <v>241.5</v>
      </c>
      <c r="J158">
        <v>96.5</v>
      </c>
      <c r="K158">
        <v>66.5</v>
      </c>
      <c r="L158">
        <v>25.1</v>
      </c>
      <c r="M158">
        <v>9.5</v>
      </c>
      <c r="N158">
        <v>9.4644460121644902E-2</v>
      </c>
      <c r="O158">
        <v>0.13538098644334101</v>
      </c>
      <c r="P158" t="str">
        <f t="shared" si="4"/>
        <v>T</v>
      </c>
      <c r="Q158" t="str">
        <f t="shared" si="5"/>
        <v>F</v>
      </c>
    </row>
    <row r="159" spans="1:17" hidden="1" x14ac:dyDescent="0.3">
      <c r="A159">
        <v>3809</v>
      </c>
      <c r="B159">
        <v>2377</v>
      </c>
      <c r="C159">
        <v>228</v>
      </c>
      <c r="D159" t="s">
        <v>19</v>
      </c>
      <c r="E159" t="s">
        <v>16</v>
      </c>
      <c r="F159" t="s">
        <v>17</v>
      </c>
      <c r="G159" t="s">
        <v>25</v>
      </c>
      <c r="H159">
        <v>275.39999999999998</v>
      </c>
      <c r="I159">
        <v>249.5</v>
      </c>
      <c r="J159">
        <v>93.4</v>
      </c>
      <c r="K159">
        <v>64</v>
      </c>
      <c r="L159">
        <v>28.4</v>
      </c>
      <c r="M159">
        <v>13</v>
      </c>
      <c r="N159">
        <v>8.6417946957442399E-2</v>
      </c>
      <c r="O159">
        <v>0.14681076214620201</v>
      </c>
      <c r="P159" t="str">
        <f t="shared" si="4"/>
        <v>T</v>
      </c>
      <c r="Q159" t="str">
        <f t="shared" si="5"/>
        <v>F</v>
      </c>
    </row>
    <row r="160" spans="1:17" hidden="1" x14ac:dyDescent="0.3">
      <c r="A160">
        <v>3810</v>
      </c>
      <c r="B160">
        <v>2377</v>
      </c>
      <c r="C160">
        <v>228</v>
      </c>
      <c r="D160" t="s">
        <v>19</v>
      </c>
      <c r="E160" t="s">
        <v>16</v>
      </c>
      <c r="F160" t="s">
        <v>17</v>
      </c>
      <c r="G160" t="s">
        <v>25</v>
      </c>
      <c r="H160">
        <v>275.39999999999998</v>
      </c>
      <c r="I160">
        <v>249.5</v>
      </c>
      <c r="J160">
        <v>93.4</v>
      </c>
      <c r="K160">
        <v>64</v>
      </c>
      <c r="L160">
        <v>28.4</v>
      </c>
      <c r="M160">
        <v>13</v>
      </c>
      <c r="N160">
        <v>9.6119383034340602E-2</v>
      </c>
      <c r="O160">
        <v>0.12834859393182199</v>
      </c>
      <c r="P160" t="str">
        <f t="shared" si="4"/>
        <v>F</v>
      </c>
      <c r="Q160" t="str">
        <f t="shared" si="5"/>
        <v>F</v>
      </c>
    </row>
    <row r="161" spans="1:17" hidden="1" x14ac:dyDescent="0.3">
      <c r="A161">
        <v>3811</v>
      </c>
      <c r="B161">
        <v>2377</v>
      </c>
      <c r="C161">
        <v>228</v>
      </c>
      <c r="D161" t="s">
        <v>19</v>
      </c>
      <c r="E161" t="s">
        <v>16</v>
      </c>
      <c r="F161" t="s">
        <v>17</v>
      </c>
      <c r="G161" t="s">
        <v>25</v>
      </c>
      <c r="H161">
        <v>275.39999999999998</v>
      </c>
      <c r="I161">
        <v>249.5</v>
      </c>
      <c r="J161">
        <v>93.4</v>
      </c>
      <c r="K161">
        <v>64</v>
      </c>
      <c r="L161">
        <v>28.4</v>
      </c>
      <c r="M161">
        <v>13</v>
      </c>
      <c r="N161">
        <v>9.1451820011318699E-2</v>
      </c>
      <c r="O161">
        <v>0.14163295043915</v>
      </c>
      <c r="P161" t="str">
        <f t="shared" si="4"/>
        <v>T</v>
      </c>
      <c r="Q161" t="str">
        <f t="shared" si="5"/>
        <v>F</v>
      </c>
    </row>
    <row r="162" spans="1:17" hidden="1" x14ac:dyDescent="0.3">
      <c r="A162">
        <v>3812</v>
      </c>
      <c r="B162">
        <v>2377</v>
      </c>
      <c r="C162">
        <v>228</v>
      </c>
      <c r="D162" t="s">
        <v>19</v>
      </c>
      <c r="E162" t="s">
        <v>16</v>
      </c>
      <c r="F162" t="s">
        <v>17</v>
      </c>
      <c r="G162" t="s">
        <v>25</v>
      </c>
      <c r="H162">
        <v>275.39999999999998</v>
      </c>
      <c r="I162">
        <v>249.5</v>
      </c>
      <c r="J162">
        <v>93.4</v>
      </c>
      <c r="K162">
        <v>64</v>
      </c>
      <c r="L162">
        <v>28.4</v>
      </c>
      <c r="M162">
        <v>13</v>
      </c>
      <c r="N162">
        <v>7.2790438621489997E-2</v>
      </c>
      <c r="O162">
        <v>0.146741257409817</v>
      </c>
      <c r="P162" t="str">
        <f t="shared" si="4"/>
        <v>T</v>
      </c>
      <c r="Q162" t="str">
        <f t="shared" si="5"/>
        <v>F</v>
      </c>
    </row>
    <row r="163" spans="1:17" hidden="1" x14ac:dyDescent="0.3">
      <c r="A163">
        <v>3813</v>
      </c>
      <c r="B163">
        <v>2377</v>
      </c>
      <c r="C163">
        <v>228</v>
      </c>
      <c r="D163" t="s">
        <v>19</v>
      </c>
      <c r="E163" t="s">
        <v>16</v>
      </c>
      <c r="F163" t="s">
        <v>17</v>
      </c>
      <c r="G163" t="s">
        <v>25</v>
      </c>
      <c r="H163">
        <v>275.39999999999998</v>
      </c>
      <c r="I163">
        <v>249.5</v>
      </c>
      <c r="J163">
        <v>93.4</v>
      </c>
      <c r="K163">
        <v>64</v>
      </c>
      <c r="L163">
        <v>28.4</v>
      </c>
      <c r="M163">
        <v>13</v>
      </c>
      <c r="N163">
        <v>6.6157746311926002E-2</v>
      </c>
      <c r="O163">
        <v>0.14680220437316899</v>
      </c>
      <c r="P163" t="str">
        <f t="shared" si="4"/>
        <v>T</v>
      </c>
      <c r="Q163" t="str">
        <f t="shared" si="5"/>
        <v>F</v>
      </c>
    </row>
    <row r="164" spans="1:17" hidden="1" x14ac:dyDescent="0.3">
      <c r="A164">
        <v>3844</v>
      </c>
      <c r="B164">
        <v>239</v>
      </c>
      <c r="C164">
        <v>249</v>
      </c>
      <c r="D164" t="s">
        <v>19</v>
      </c>
      <c r="E164" t="s">
        <v>16</v>
      </c>
      <c r="F164" t="s">
        <v>21</v>
      </c>
      <c r="G164" t="s">
        <v>22</v>
      </c>
      <c r="H164">
        <v>275.7</v>
      </c>
      <c r="I164">
        <v>254.5</v>
      </c>
      <c r="J164">
        <v>97.9</v>
      </c>
      <c r="K164">
        <v>66</v>
      </c>
      <c r="L164">
        <v>26.3</v>
      </c>
      <c r="M164">
        <v>9</v>
      </c>
      <c r="N164">
        <v>0.22990781801558099</v>
      </c>
      <c r="O164">
        <v>5.7591224617540501E-2</v>
      </c>
      <c r="P164" t="str">
        <f t="shared" si="4"/>
        <v>F</v>
      </c>
      <c r="Q164" t="str">
        <f t="shared" si="5"/>
        <v>T</v>
      </c>
    </row>
    <row r="165" spans="1:17" hidden="1" x14ac:dyDescent="0.3">
      <c r="A165">
        <v>3845</v>
      </c>
      <c r="B165">
        <v>239</v>
      </c>
      <c r="C165">
        <v>249</v>
      </c>
      <c r="D165" t="s">
        <v>19</v>
      </c>
      <c r="E165" t="s">
        <v>16</v>
      </c>
      <c r="F165" t="s">
        <v>21</v>
      </c>
      <c r="G165" t="s">
        <v>22</v>
      </c>
      <c r="H165">
        <v>275.7</v>
      </c>
      <c r="I165">
        <v>254.5</v>
      </c>
      <c r="J165">
        <v>97.9</v>
      </c>
      <c r="K165">
        <v>66</v>
      </c>
      <c r="L165">
        <v>26.3</v>
      </c>
      <c r="M165">
        <v>9</v>
      </c>
      <c r="N165">
        <v>0.25037578602620902</v>
      </c>
      <c r="O165">
        <v>4.9156555161516201E-2</v>
      </c>
      <c r="P165" t="str">
        <f t="shared" si="4"/>
        <v>F</v>
      </c>
      <c r="Q165" t="str">
        <f t="shared" si="5"/>
        <v>T</v>
      </c>
    </row>
    <row r="166" spans="1:17" hidden="1" x14ac:dyDescent="0.3">
      <c r="A166">
        <v>3846</v>
      </c>
      <c r="B166">
        <v>239</v>
      </c>
      <c r="C166">
        <v>249</v>
      </c>
      <c r="D166" t="s">
        <v>19</v>
      </c>
      <c r="E166" t="s">
        <v>16</v>
      </c>
      <c r="F166" t="s">
        <v>21</v>
      </c>
      <c r="G166" t="s">
        <v>22</v>
      </c>
      <c r="H166">
        <v>275.7</v>
      </c>
      <c r="I166">
        <v>254.5</v>
      </c>
      <c r="J166">
        <v>97.9</v>
      </c>
      <c r="K166">
        <v>66</v>
      </c>
      <c r="L166">
        <v>26.3</v>
      </c>
      <c r="M166">
        <v>9</v>
      </c>
      <c r="N166">
        <v>0.24277258010284899</v>
      </c>
      <c r="O166">
        <v>6.0658826565778597E-2</v>
      </c>
      <c r="P166" t="str">
        <f t="shared" si="4"/>
        <v>F</v>
      </c>
      <c r="Q166" t="str">
        <f t="shared" si="5"/>
        <v>T</v>
      </c>
    </row>
    <row r="167" spans="1:17" hidden="1" x14ac:dyDescent="0.3">
      <c r="A167">
        <v>3847</v>
      </c>
      <c r="B167">
        <v>239</v>
      </c>
      <c r="C167">
        <v>249</v>
      </c>
      <c r="D167" t="s">
        <v>19</v>
      </c>
      <c r="E167" t="s">
        <v>16</v>
      </c>
      <c r="F167" t="s">
        <v>21</v>
      </c>
      <c r="G167" t="s">
        <v>22</v>
      </c>
      <c r="H167">
        <v>275.7</v>
      </c>
      <c r="I167">
        <v>254.5</v>
      </c>
      <c r="J167">
        <v>97.9</v>
      </c>
      <c r="K167">
        <v>66</v>
      </c>
      <c r="L167">
        <v>26.3</v>
      </c>
      <c r="M167">
        <v>9</v>
      </c>
      <c r="N167">
        <v>0.241944182680081</v>
      </c>
      <c r="O167">
        <v>3.9490822291545803E-2</v>
      </c>
      <c r="P167" t="str">
        <f t="shared" si="4"/>
        <v>F</v>
      </c>
      <c r="Q167" t="str">
        <f t="shared" si="5"/>
        <v>T</v>
      </c>
    </row>
    <row r="168" spans="1:17" hidden="1" x14ac:dyDescent="0.3">
      <c r="A168">
        <v>3848</v>
      </c>
      <c r="B168">
        <v>239</v>
      </c>
      <c r="C168">
        <v>249</v>
      </c>
      <c r="D168" t="s">
        <v>19</v>
      </c>
      <c r="E168" t="s">
        <v>16</v>
      </c>
      <c r="F168" t="s">
        <v>21</v>
      </c>
      <c r="G168" t="s">
        <v>22</v>
      </c>
      <c r="H168">
        <v>275.7</v>
      </c>
      <c r="I168">
        <v>254.5</v>
      </c>
      <c r="J168">
        <v>97.9</v>
      </c>
      <c r="K168">
        <v>66</v>
      </c>
      <c r="L168">
        <v>26.3</v>
      </c>
      <c r="M168">
        <v>9</v>
      </c>
      <c r="N168">
        <v>0.25069470547856199</v>
      </c>
      <c r="O168">
        <v>3.9394728928584699E-2</v>
      </c>
      <c r="P168" t="str">
        <f t="shared" si="4"/>
        <v>F</v>
      </c>
      <c r="Q168" t="str">
        <f t="shared" si="5"/>
        <v>T</v>
      </c>
    </row>
    <row r="169" spans="1:17" hidden="1" x14ac:dyDescent="0.3">
      <c r="A169">
        <v>3849</v>
      </c>
      <c r="B169">
        <v>239</v>
      </c>
      <c r="C169">
        <v>249</v>
      </c>
      <c r="D169" t="s">
        <v>19</v>
      </c>
      <c r="E169" t="s">
        <v>16</v>
      </c>
      <c r="F169" t="s">
        <v>21</v>
      </c>
      <c r="G169" t="s">
        <v>22</v>
      </c>
      <c r="H169">
        <v>275.7</v>
      </c>
      <c r="I169">
        <v>254.5</v>
      </c>
      <c r="J169">
        <v>97.9</v>
      </c>
      <c r="K169">
        <v>66</v>
      </c>
      <c r="L169">
        <v>26.3</v>
      </c>
      <c r="M169">
        <v>9</v>
      </c>
      <c r="N169">
        <v>0.24098740141522901</v>
      </c>
      <c r="O169">
        <v>6.51187526865179E-2</v>
      </c>
      <c r="P169" t="str">
        <f t="shared" si="4"/>
        <v>F</v>
      </c>
      <c r="Q169" t="str">
        <f t="shared" si="5"/>
        <v>F</v>
      </c>
    </row>
    <row r="170" spans="1:17" hidden="1" x14ac:dyDescent="0.3">
      <c r="A170">
        <v>3867</v>
      </c>
      <c r="B170">
        <v>2397</v>
      </c>
      <c r="C170">
        <v>232</v>
      </c>
      <c r="D170" t="s">
        <v>19</v>
      </c>
      <c r="E170" t="s">
        <v>16</v>
      </c>
      <c r="F170" t="s">
        <v>17</v>
      </c>
      <c r="G170" t="s">
        <v>18</v>
      </c>
      <c r="H170">
        <v>277.8</v>
      </c>
      <c r="I170">
        <v>249</v>
      </c>
      <c r="J170">
        <v>95.2</v>
      </c>
      <c r="K170">
        <v>67.5</v>
      </c>
      <c r="L170">
        <v>28.4</v>
      </c>
      <c r="M170">
        <v>7.5</v>
      </c>
      <c r="N170">
        <v>0.128433670744935</v>
      </c>
      <c r="O170">
        <v>7.2610138634252294E-2</v>
      </c>
      <c r="P170" t="str">
        <f t="shared" si="4"/>
        <v>F</v>
      </c>
      <c r="Q170" t="str">
        <f t="shared" si="5"/>
        <v>F</v>
      </c>
    </row>
    <row r="171" spans="1:17" hidden="1" x14ac:dyDescent="0.3">
      <c r="A171">
        <v>3872</v>
      </c>
      <c r="B171">
        <v>2399</v>
      </c>
      <c r="C171">
        <v>218</v>
      </c>
      <c r="D171" t="s">
        <v>19</v>
      </c>
      <c r="E171" t="s">
        <v>16</v>
      </c>
      <c r="F171" t="s">
        <v>21</v>
      </c>
      <c r="G171" t="s">
        <v>22</v>
      </c>
      <c r="H171">
        <v>274.5</v>
      </c>
      <c r="I171">
        <v>258</v>
      </c>
      <c r="J171">
        <v>101.5</v>
      </c>
      <c r="K171">
        <v>66.5</v>
      </c>
      <c r="L171">
        <v>27.9</v>
      </c>
      <c r="M171">
        <v>10</v>
      </c>
      <c r="N171">
        <v>0.14260865537204101</v>
      </c>
      <c r="O171">
        <v>0.10118295175373999</v>
      </c>
      <c r="P171" t="str">
        <f t="shared" si="4"/>
        <v>F</v>
      </c>
      <c r="Q171" t="str">
        <f t="shared" si="5"/>
        <v>F</v>
      </c>
    </row>
    <row r="172" spans="1:17" hidden="1" x14ac:dyDescent="0.3">
      <c r="A172">
        <v>3873</v>
      </c>
      <c r="B172">
        <v>2399</v>
      </c>
      <c r="C172">
        <v>218</v>
      </c>
      <c r="D172" t="s">
        <v>19</v>
      </c>
      <c r="E172" t="s">
        <v>16</v>
      </c>
      <c r="F172" t="s">
        <v>21</v>
      </c>
      <c r="G172" t="s">
        <v>22</v>
      </c>
      <c r="H172">
        <v>274.5</v>
      </c>
      <c r="I172">
        <v>258</v>
      </c>
      <c r="J172">
        <v>101.5</v>
      </c>
      <c r="K172">
        <v>66.5</v>
      </c>
      <c r="L172">
        <v>27.9</v>
      </c>
      <c r="M172">
        <v>10</v>
      </c>
      <c r="N172">
        <v>0.14259382376219301</v>
      </c>
      <c r="O172">
        <v>0.11180341426323299</v>
      </c>
      <c r="P172" t="str">
        <f t="shared" si="4"/>
        <v>F</v>
      </c>
      <c r="Q172" t="str">
        <f t="shared" si="5"/>
        <v>F</v>
      </c>
    </row>
    <row r="173" spans="1:17" hidden="1" x14ac:dyDescent="0.3">
      <c r="A173">
        <v>3876</v>
      </c>
      <c r="B173">
        <v>240</v>
      </c>
      <c r="C173">
        <v>387</v>
      </c>
      <c r="D173" t="s">
        <v>19</v>
      </c>
      <c r="E173" t="s">
        <v>16</v>
      </c>
      <c r="F173" t="s">
        <v>21</v>
      </c>
      <c r="G173" t="s">
        <v>22</v>
      </c>
      <c r="H173">
        <v>275.2</v>
      </c>
      <c r="I173">
        <v>249.5</v>
      </c>
      <c r="J173">
        <v>96.8</v>
      </c>
      <c r="K173">
        <v>66</v>
      </c>
      <c r="L173">
        <v>25.3</v>
      </c>
      <c r="M173">
        <v>8.5</v>
      </c>
      <c r="N173">
        <v>9.3775131443517706E-2</v>
      </c>
      <c r="O173">
        <v>7.0185414685665901E-2</v>
      </c>
      <c r="P173" t="str">
        <f t="shared" si="4"/>
        <v>T</v>
      </c>
      <c r="Q173" t="str">
        <f t="shared" si="5"/>
        <v>F</v>
      </c>
    </row>
    <row r="174" spans="1:17" hidden="1" x14ac:dyDescent="0.3">
      <c r="A174">
        <v>3877</v>
      </c>
      <c r="B174">
        <v>240</v>
      </c>
      <c r="C174">
        <v>387</v>
      </c>
      <c r="D174" t="s">
        <v>19</v>
      </c>
      <c r="E174" t="s">
        <v>16</v>
      </c>
      <c r="F174" t="s">
        <v>21</v>
      </c>
      <c r="G174" t="s">
        <v>22</v>
      </c>
      <c r="H174">
        <v>275.2</v>
      </c>
      <c r="I174">
        <v>249.5</v>
      </c>
      <c r="J174">
        <v>96.8</v>
      </c>
      <c r="K174">
        <v>66</v>
      </c>
      <c r="L174">
        <v>25.3</v>
      </c>
      <c r="M174">
        <v>8.5</v>
      </c>
      <c r="N174">
        <v>8.9992491466417093E-2</v>
      </c>
      <c r="O174">
        <v>8.8228095403010798E-2</v>
      </c>
      <c r="P174" t="str">
        <f t="shared" si="4"/>
        <v>T</v>
      </c>
      <c r="Q174" t="str">
        <f t="shared" si="5"/>
        <v>F</v>
      </c>
    </row>
    <row r="175" spans="1:17" hidden="1" x14ac:dyDescent="0.3">
      <c r="A175">
        <v>3878</v>
      </c>
      <c r="B175">
        <v>240</v>
      </c>
      <c r="C175">
        <v>387</v>
      </c>
      <c r="D175" t="s">
        <v>19</v>
      </c>
      <c r="E175" t="s">
        <v>16</v>
      </c>
      <c r="F175" t="s">
        <v>21</v>
      </c>
      <c r="G175" t="s">
        <v>22</v>
      </c>
      <c r="H175">
        <v>275.2</v>
      </c>
      <c r="I175">
        <v>249.5</v>
      </c>
      <c r="J175">
        <v>96.8</v>
      </c>
      <c r="K175">
        <v>66</v>
      </c>
      <c r="L175">
        <v>25.3</v>
      </c>
      <c r="M175">
        <v>8.5</v>
      </c>
      <c r="N175">
        <v>7.7246416292699197E-2</v>
      </c>
      <c r="O175">
        <v>7.7886649003597097E-2</v>
      </c>
      <c r="P175" t="str">
        <f t="shared" si="4"/>
        <v>T</v>
      </c>
      <c r="Q175" t="str">
        <f t="shared" si="5"/>
        <v>F</v>
      </c>
    </row>
    <row r="176" spans="1:17" hidden="1" x14ac:dyDescent="0.3">
      <c r="A176">
        <v>3923</v>
      </c>
      <c r="B176">
        <v>2419</v>
      </c>
      <c r="C176">
        <v>368</v>
      </c>
      <c r="D176" t="s">
        <v>19</v>
      </c>
      <c r="E176" t="s">
        <v>16</v>
      </c>
      <c r="F176" t="s">
        <v>21</v>
      </c>
      <c r="G176" t="s">
        <v>26</v>
      </c>
      <c r="H176">
        <v>273.3</v>
      </c>
      <c r="I176">
        <v>249</v>
      </c>
      <c r="J176">
        <v>98.9</v>
      </c>
      <c r="K176">
        <v>68.5</v>
      </c>
      <c r="L176">
        <v>23.8</v>
      </c>
      <c r="M176">
        <v>9</v>
      </c>
      <c r="N176">
        <v>0.157925312808571</v>
      </c>
      <c r="O176">
        <v>6.2756498909459807E-2</v>
      </c>
      <c r="P176" t="str">
        <f t="shared" si="4"/>
        <v>F</v>
      </c>
      <c r="Q176" t="str">
        <f t="shared" si="5"/>
        <v>T</v>
      </c>
    </row>
    <row r="177" spans="1:17" hidden="1" x14ac:dyDescent="0.3">
      <c r="A177">
        <v>3924</v>
      </c>
      <c r="B177">
        <v>2419</v>
      </c>
      <c r="C177">
        <v>368</v>
      </c>
      <c r="D177" t="s">
        <v>19</v>
      </c>
      <c r="E177" t="s">
        <v>16</v>
      </c>
      <c r="F177" t="s">
        <v>21</v>
      </c>
      <c r="G177" t="s">
        <v>26</v>
      </c>
      <c r="H177">
        <v>273.3</v>
      </c>
      <c r="I177">
        <v>249</v>
      </c>
      <c r="J177">
        <v>98.9</v>
      </c>
      <c r="K177">
        <v>68.5</v>
      </c>
      <c r="L177">
        <v>23.8</v>
      </c>
      <c r="M177">
        <v>9</v>
      </c>
      <c r="N177">
        <v>0.155743538692418</v>
      </c>
      <c r="O177">
        <v>3.9724741377388399E-2</v>
      </c>
      <c r="P177" t="str">
        <f t="shared" si="4"/>
        <v>F</v>
      </c>
      <c r="Q177" t="str">
        <f t="shared" si="5"/>
        <v>T</v>
      </c>
    </row>
    <row r="178" spans="1:17" hidden="1" x14ac:dyDescent="0.3">
      <c r="A178">
        <v>3925</v>
      </c>
      <c r="B178">
        <v>2419</v>
      </c>
      <c r="C178">
        <v>368</v>
      </c>
      <c r="D178" t="s">
        <v>19</v>
      </c>
      <c r="E178" t="s">
        <v>16</v>
      </c>
      <c r="F178" t="s">
        <v>21</v>
      </c>
      <c r="G178" t="s">
        <v>26</v>
      </c>
      <c r="H178">
        <v>273.3</v>
      </c>
      <c r="I178">
        <v>249</v>
      </c>
      <c r="J178">
        <v>98.9</v>
      </c>
      <c r="K178">
        <v>68.5</v>
      </c>
      <c r="L178">
        <v>23.8</v>
      </c>
      <c r="M178">
        <v>9</v>
      </c>
      <c r="N178">
        <v>0.14427785218563899</v>
      </c>
      <c r="O178">
        <v>5.4221397304741799E-2</v>
      </c>
      <c r="P178" t="str">
        <f t="shared" si="4"/>
        <v>F</v>
      </c>
      <c r="Q178" t="str">
        <f t="shared" si="5"/>
        <v>T</v>
      </c>
    </row>
    <row r="179" spans="1:17" hidden="1" x14ac:dyDescent="0.3">
      <c r="A179">
        <v>4008</v>
      </c>
      <c r="B179">
        <v>2455</v>
      </c>
      <c r="C179">
        <v>368</v>
      </c>
      <c r="D179" t="s">
        <v>19</v>
      </c>
      <c r="E179" t="s">
        <v>16</v>
      </c>
      <c r="F179" t="s">
        <v>17</v>
      </c>
      <c r="G179" t="s">
        <v>26</v>
      </c>
      <c r="H179">
        <v>273.3</v>
      </c>
      <c r="I179">
        <v>249</v>
      </c>
      <c r="J179">
        <v>98.9</v>
      </c>
      <c r="K179">
        <v>68.5</v>
      </c>
      <c r="L179">
        <v>23.8</v>
      </c>
      <c r="M179">
        <v>9</v>
      </c>
      <c r="N179">
        <v>0.14869062387650001</v>
      </c>
      <c r="O179">
        <v>3.8075643308311001E-2</v>
      </c>
      <c r="P179" t="str">
        <f t="shared" si="4"/>
        <v>F</v>
      </c>
      <c r="Q179" t="str">
        <f t="shared" si="5"/>
        <v>T</v>
      </c>
    </row>
    <row r="180" spans="1:17" hidden="1" x14ac:dyDescent="0.3">
      <c r="A180">
        <v>4009</v>
      </c>
      <c r="B180">
        <v>2455</v>
      </c>
      <c r="C180">
        <v>368</v>
      </c>
      <c r="D180" t="s">
        <v>19</v>
      </c>
      <c r="E180" t="s">
        <v>16</v>
      </c>
      <c r="F180" t="s">
        <v>17</v>
      </c>
      <c r="G180" t="s">
        <v>26</v>
      </c>
      <c r="H180">
        <v>273.3</v>
      </c>
      <c r="I180">
        <v>249</v>
      </c>
      <c r="J180">
        <v>98.9</v>
      </c>
      <c r="K180">
        <v>68.5</v>
      </c>
      <c r="L180">
        <v>23.8</v>
      </c>
      <c r="M180">
        <v>9</v>
      </c>
      <c r="N180">
        <v>0.136156086139786</v>
      </c>
      <c r="O180">
        <v>5.5059517725984899E-2</v>
      </c>
      <c r="P180" t="str">
        <f t="shared" si="4"/>
        <v>F</v>
      </c>
      <c r="Q180" t="str">
        <f t="shared" si="5"/>
        <v>T</v>
      </c>
    </row>
    <row r="181" spans="1:17" hidden="1" x14ac:dyDescent="0.3">
      <c r="A181">
        <v>4118</v>
      </c>
      <c r="B181">
        <v>2496</v>
      </c>
      <c r="C181">
        <v>218</v>
      </c>
      <c r="D181" t="s">
        <v>19</v>
      </c>
      <c r="E181" t="s">
        <v>16</v>
      </c>
      <c r="F181" t="s">
        <v>21</v>
      </c>
      <c r="G181" t="s">
        <v>25</v>
      </c>
      <c r="H181">
        <v>274.5</v>
      </c>
      <c r="I181">
        <v>258</v>
      </c>
      <c r="J181">
        <v>101.5</v>
      </c>
      <c r="K181">
        <v>66.5</v>
      </c>
      <c r="L181">
        <v>27.9</v>
      </c>
      <c r="M181">
        <v>10</v>
      </c>
      <c r="N181">
        <v>0.15354532283896499</v>
      </c>
      <c r="O181">
        <v>8.1634551914576498E-2</v>
      </c>
      <c r="P181" t="str">
        <f t="shared" si="4"/>
        <v>F</v>
      </c>
      <c r="Q181" t="str">
        <f t="shared" si="5"/>
        <v>F</v>
      </c>
    </row>
    <row r="182" spans="1:17" hidden="1" x14ac:dyDescent="0.3">
      <c r="A182">
        <v>4119</v>
      </c>
      <c r="B182">
        <v>2496</v>
      </c>
      <c r="C182">
        <v>218</v>
      </c>
      <c r="D182" t="s">
        <v>19</v>
      </c>
      <c r="E182" t="s">
        <v>16</v>
      </c>
      <c r="F182" t="s">
        <v>21</v>
      </c>
      <c r="G182" t="s">
        <v>25</v>
      </c>
      <c r="H182">
        <v>274.5</v>
      </c>
      <c r="I182">
        <v>258</v>
      </c>
      <c r="J182">
        <v>101.5</v>
      </c>
      <c r="K182">
        <v>66.5</v>
      </c>
      <c r="L182">
        <v>27.9</v>
      </c>
      <c r="M182">
        <v>10</v>
      </c>
      <c r="N182">
        <v>0.12718076655847099</v>
      </c>
      <c r="O182">
        <v>9.5021929017533799E-2</v>
      </c>
      <c r="P182" t="str">
        <f t="shared" si="4"/>
        <v>F</v>
      </c>
      <c r="Q182" t="str">
        <f t="shared" si="5"/>
        <v>F</v>
      </c>
    </row>
    <row r="183" spans="1:17" hidden="1" x14ac:dyDescent="0.3">
      <c r="A183">
        <v>4209</v>
      </c>
      <c r="B183">
        <v>2532</v>
      </c>
      <c r="C183">
        <v>238</v>
      </c>
      <c r="D183" t="s">
        <v>19</v>
      </c>
      <c r="E183" t="s">
        <v>16</v>
      </c>
      <c r="F183" t="s">
        <v>21</v>
      </c>
      <c r="G183" t="s">
        <v>18</v>
      </c>
      <c r="H183">
        <v>273.3</v>
      </c>
      <c r="I183">
        <v>246</v>
      </c>
      <c r="J183">
        <v>92.6</v>
      </c>
      <c r="K183">
        <v>63.5</v>
      </c>
      <c r="L183">
        <v>25.5</v>
      </c>
      <c r="M183">
        <v>9.5</v>
      </c>
      <c r="N183">
        <v>0.10343775907393001</v>
      </c>
      <c r="O183">
        <v>0.16896218318505499</v>
      </c>
      <c r="P183" t="str">
        <f t="shared" si="4"/>
        <v>F</v>
      </c>
      <c r="Q183" t="str">
        <f t="shared" si="5"/>
        <v>F</v>
      </c>
    </row>
    <row r="184" spans="1:17" hidden="1" x14ac:dyDescent="0.3">
      <c r="A184">
        <v>4210</v>
      </c>
      <c r="B184">
        <v>2532</v>
      </c>
      <c r="C184">
        <v>238</v>
      </c>
      <c r="D184" t="s">
        <v>19</v>
      </c>
      <c r="E184" t="s">
        <v>16</v>
      </c>
      <c r="F184" t="s">
        <v>21</v>
      </c>
      <c r="G184" t="s">
        <v>18</v>
      </c>
      <c r="H184">
        <v>273.3</v>
      </c>
      <c r="I184">
        <v>246</v>
      </c>
      <c r="J184">
        <v>92.6</v>
      </c>
      <c r="K184">
        <v>63.5</v>
      </c>
      <c r="L184">
        <v>25.5</v>
      </c>
      <c r="M184">
        <v>9.5</v>
      </c>
      <c r="N184">
        <v>0.10781308404251</v>
      </c>
      <c r="O184">
        <v>0.14197286374601401</v>
      </c>
      <c r="P184" t="str">
        <f t="shared" si="4"/>
        <v>F</v>
      </c>
      <c r="Q184" t="str">
        <f t="shared" si="5"/>
        <v>F</v>
      </c>
    </row>
    <row r="185" spans="1:17" hidden="1" x14ac:dyDescent="0.3">
      <c r="A185">
        <v>4211</v>
      </c>
      <c r="B185">
        <v>2532</v>
      </c>
      <c r="C185">
        <v>238</v>
      </c>
      <c r="D185" t="s">
        <v>19</v>
      </c>
      <c r="E185" t="s">
        <v>16</v>
      </c>
      <c r="F185" t="s">
        <v>21</v>
      </c>
      <c r="G185" t="s">
        <v>18</v>
      </c>
      <c r="H185">
        <v>273.3</v>
      </c>
      <c r="I185">
        <v>246</v>
      </c>
      <c r="J185">
        <v>92.6</v>
      </c>
      <c r="K185">
        <v>63.5</v>
      </c>
      <c r="L185">
        <v>25.5</v>
      </c>
      <c r="M185">
        <v>9.5</v>
      </c>
      <c r="N185">
        <v>0.102313872519235</v>
      </c>
      <c r="O185">
        <v>0.167360572641014</v>
      </c>
      <c r="P185" t="str">
        <f t="shared" si="4"/>
        <v>F</v>
      </c>
      <c r="Q185" t="str">
        <f t="shared" si="5"/>
        <v>F</v>
      </c>
    </row>
    <row r="186" spans="1:17" hidden="1" x14ac:dyDescent="0.3">
      <c r="A186">
        <v>4212</v>
      </c>
      <c r="B186">
        <v>2532</v>
      </c>
      <c r="C186">
        <v>238</v>
      </c>
      <c r="D186" t="s">
        <v>19</v>
      </c>
      <c r="E186" t="s">
        <v>16</v>
      </c>
      <c r="F186" t="s">
        <v>21</v>
      </c>
      <c r="G186" t="s">
        <v>18</v>
      </c>
      <c r="H186">
        <v>273.3</v>
      </c>
      <c r="I186">
        <v>246</v>
      </c>
      <c r="J186">
        <v>92.6</v>
      </c>
      <c r="K186">
        <v>63.5</v>
      </c>
      <c r="L186">
        <v>25.5</v>
      </c>
      <c r="M186">
        <v>9.5</v>
      </c>
      <c r="N186">
        <v>0.115675753830994</v>
      </c>
      <c r="O186">
        <v>0.17129757108296001</v>
      </c>
      <c r="P186" t="str">
        <f t="shared" si="4"/>
        <v>F</v>
      </c>
      <c r="Q186" t="str">
        <f t="shared" si="5"/>
        <v>F</v>
      </c>
    </row>
    <row r="187" spans="1:17" hidden="1" x14ac:dyDescent="0.3">
      <c r="A187">
        <v>4213</v>
      </c>
      <c r="B187">
        <v>2532</v>
      </c>
      <c r="C187">
        <v>238</v>
      </c>
      <c r="D187" t="s">
        <v>19</v>
      </c>
      <c r="E187" t="s">
        <v>16</v>
      </c>
      <c r="F187" t="s">
        <v>21</v>
      </c>
      <c r="G187" t="s">
        <v>18</v>
      </c>
      <c r="H187">
        <v>273.3</v>
      </c>
      <c r="I187">
        <v>246</v>
      </c>
      <c r="J187">
        <v>92.6</v>
      </c>
      <c r="K187">
        <v>63.5</v>
      </c>
      <c r="L187">
        <v>25.5</v>
      </c>
      <c r="M187">
        <v>9.5</v>
      </c>
      <c r="N187">
        <v>0.113487141594127</v>
      </c>
      <c r="O187">
        <v>0.16942098273877099</v>
      </c>
      <c r="P187" t="str">
        <f t="shared" si="4"/>
        <v>F</v>
      </c>
      <c r="Q187" t="str">
        <f t="shared" si="5"/>
        <v>F</v>
      </c>
    </row>
    <row r="188" spans="1:17" hidden="1" x14ac:dyDescent="0.3">
      <c r="A188">
        <v>4214</v>
      </c>
      <c r="B188">
        <v>2532</v>
      </c>
      <c r="C188">
        <v>238</v>
      </c>
      <c r="D188" t="s">
        <v>19</v>
      </c>
      <c r="E188" t="s">
        <v>16</v>
      </c>
      <c r="F188" t="s">
        <v>21</v>
      </c>
      <c r="G188" t="s">
        <v>18</v>
      </c>
      <c r="H188">
        <v>273.3</v>
      </c>
      <c r="I188">
        <v>246</v>
      </c>
      <c r="J188">
        <v>92.6</v>
      </c>
      <c r="K188">
        <v>63.5</v>
      </c>
      <c r="L188">
        <v>25.5</v>
      </c>
      <c r="M188">
        <v>9.5</v>
      </c>
      <c r="N188">
        <v>0.119301929588849</v>
      </c>
      <c r="O188">
        <v>0.15079855409679599</v>
      </c>
      <c r="P188" t="str">
        <f t="shared" si="4"/>
        <v>F</v>
      </c>
      <c r="Q188" t="str">
        <f t="shared" si="5"/>
        <v>F</v>
      </c>
    </row>
    <row r="189" spans="1:17" hidden="1" x14ac:dyDescent="0.3">
      <c r="A189">
        <v>4304</v>
      </c>
      <c r="B189">
        <v>2569</v>
      </c>
      <c r="C189">
        <v>302</v>
      </c>
      <c r="D189" t="s">
        <v>19</v>
      </c>
      <c r="E189" t="s">
        <v>16</v>
      </c>
      <c r="F189" t="s">
        <v>17</v>
      </c>
      <c r="G189" t="s">
        <v>25</v>
      </c>
      <c r="H189">
        <v>274</v>
      </c>
      <c r="I189">
        <v>240</v>
      </c>
      <c r="J189">
        <v>93.6</v>
      </c>
      <c r="K189">
        <v>65</v>
      </c>
      <c r="L189">
        <v>24.2</v>
      </c>
      <c r="M189">
        <v>5</v>
      </c>
      <c r="N189">
        <v>0.24544839342145799</v>
      </c>
      <c r="O189">
        <v>0.14019703909397899</v>
      </c>
      <c r="P189" t="str">
        <f t="shared" si="4"/>
        <v>F</v>
      </c>
      <c r="Q189" t="str">
        <f t="shared" si="5"/>
        <v>F</v>
      </c>
    </row>
    <row r="190" spans="1:17" hidden="1" x14ac:dyDescent="0.3">
      <c r="A190">
        <v>4365</v>
      </c>
      <c r="B190">
        <v>2595</v>
      </c>
      <c r="C190">
        <v>218</v>
      </c>
      <c r="D190" t="s">
        <v>19</v>
      </c>
      <c r="E190" t="s">
        <v>16</v>
      </c>
      <c r="F190" t="s">
        <v>17</v>
      </c>
      <c r="G190" t="s">
        <v>25</v>
      </c>
      <c r="H190">
        <v>274.5</v>
      </c>
      <c r="I190">
        <v>258</v>
      </c>
      <c r="J190">
        <v>101.5</v>
      </c>
      <c r="K190">
        <v>66.5</v>
      </c>
      <c r="L190">
        <v>27.9</v>
      </c>
      <c r="M190">
        <v>10</v>
      </c>
      <c r="N190">
        <v>0.13273612416271199</v>
      </c>
      <c r="O190">
        <v>7.9099635891665201E-2</v>
      </c>
      <c r="P190" t="str">
        <f t="shared" si="4"/>
        <v>F</v>
      </c>
      <c r="Q190" t="str">
        <f t="shared" si="5"/>
        <v>F</v>
      </c>
    </row>
    <row r="191" spans="1:17" hidden="1" x14ac:dyDescent="0.3">
      <c r="A191">
        <v>4366</v>
      </c>
      <c r="B191">
        <v>2595</v>
      </c>
      <c r="C191">
        <v>218</v>
      </c>
      <c r="D191" t="s">
        <v>19</v>
      </c>
      <c r="E191" t="s">
        <v>16</v>
      </c>
      <c r="F191" t="s">
        <v>17</v>
      </c>
      <c r="G191" t="s">
        <v>25</v>
      </c>
      <c r="H191">
        <v>274.5</v>
      </c>
      <c r="I191">
        <v>258</v>
      </c>
      <c r="J191">
        <v>101.5</v>
      </c>
      <c r="K191">
        <v>66.5</v>
      </c>
      <c r="L191">
        <v>27.9</v>
      </c>
      <c r="M191">
        <v>10</v>
      </c>
      <c r="N191">
        <v>0.115216762247374</v>
      </c>
      <c r="O191">
        <v>8.6976876264688793E-2</v>
      </c>
      <c r="P191" t="str">
        <f t="shared" si="4"/>
        <v>F</v>
      </c>
      <c r="Q191" t="str">
        <f t="shared" si="5"/>
        <v>F</v>
      </c>
    </row>
    <row r="192" spans="1:17" hidden="1" x14ac:dyDescent="0.3">
      <c r="A192">
        <v>4441</v>
      </c>
      <c r="B192">
        <v>2620</v>
      </c>
      <c r="C192">
        <v>417</v>
      </c>
      <c r="D192" t="s">
        <v>19</v>
      </c>
      <c r="E192" t="s">
        <v>16</v>
      </c>
      <c r="F192" t="s">
        <v>21</v>
      </c>
      <c r="G192" t="s">
        <v>25</v>
      </c>
      <c r="H192">
        <v>268.60000000000002</v>
      </c>
      <c r="I192">
        <v>234.5</v>
      </c>
      <c r="J192">
        <v>92.8</v>
      </c>
      <c r="K192">
        <v>64</v>
      </c>
      <c r="L192">
        <v>24.3</v>
      </c>
      <c r="M192">
        <v>5</v>
      </c>
      <c r="N192">
        <v>0.22120146773938201</v>
      </c>
      <c r="O192">
        <v>0.169353679553955</v>
      </c>
      <c r="P192" t="str">
        <f t="shared" si="4"/>
        <v>F</v>
      </c>
      <c r="Q192" t="str">
        <f t="shared" si="5"/>
        <v>F</v>
      </c>
    </row>
    <row r="193" spans="1:17" hidden="1" x14ac:dyDescent="0.3">
      <c r="A193">
        <v>4442</v>
      </c>
      <c r="B193">
        <v>2620</v>
      </c>
      <c r="C193">
        <v>417</v>
      </c>
      <c r="D193" t="s">
        <v>19</v>
      </c>
      <c r="E193" t="s">
        <v>16</v>
      </c>
      <c r="F193" t="s">
        <v>21</v>
      </c>
      <c r="G193" t="s">
        <v>25</v>
      </c>
      <c r="H193">
        <v>268.60000000000002</v>
      </c>
      <c r="I193">
        <v>234.5</v>
      </c>
      <c r="J193">
        <v>92.8</v>
      </c>
      <c r="K193">
        <v>64</v>
      </c>
      <c r="L193">
        <v>24.3</v>
      </c>
      <c r="M193">
        <v>5</v>
      </c>
      <c r="N193">
        <v>0.21089078488473101</v>
      </c>
      <c r="O193">
        <v>0.142062131058484</v>
      </c>
      <c r="P193" t="str">
        <f t="shared" si="4"/>
        <v>F</v>
      </c>
      <c r="Q193" t="str">
        <f t="shared" si="5"/>
        <v>F</v>
      </c>
    </row>
    <row r="194" spans="1:17" hidden="1" x14ac:dyDescent="0.3">
      <c r="A194">
        <v>4443</v>
      </c>
      <c r="B194">
        <v>2620</v>
      </c>
      <c r="C194">
        <v>417</v>
      </c>
      <c r="D194" t="s">
        <v>19</v>
      </c>
      <c r="E194" t="s">
        <v>16</v>
      </c>
      <c r="F194" t="s">
        <v>21</v>
      </c>
      <c r="G194" t="s">
        <v>25</v>
      </c>
      <c r="H194">
        <v>268.60000000000002</v>
      </c>
      <c r="I194">
        <v>234.5</v>
      </c>
      <c r="J194">
        <v>92.8</v>
      </c>
      <c r="K194">
        <v>64</v>
      </c>
      <c r="L194">
        <v>24.3</v>
      </c>
      <c r="M194">
        <v>5</v>
      </c>
      <c r="N194">
        <v>0.212363017858551</v>
      </c>
      <c r="O194">
        <v>0.17473702248873901</v>
      </c>
      <c r="P194" t="str">
        <f t="shared" si="4"/>
        <v>F</v>
      </c>
      <c r="Q194" t="str">
        <f t="shared" si="5"/>
        <v>F</v>
      </c>
    </row>
    <row r="195" spans="1:17" hidden="1" x14ac:dyDescent="0.3">
      <c r="A195">
        <v>4529</v>
      </c>
      <c r="B195">
        <v>2649</v>
      </c>
      <c r="C195">
        <v>399</v>
      </c>
      <c r="D195" t="s">
        <v>19</v>
      </c>
      <c r="E195" t="s">
        <v>16</v>
      </c>
      <c r="F195" t="s">
        <v>21</v>
      </c>
      <c r="G195" t="s">
        <v>25</v>
      </c>
      <c r="H195">
        <v>273.89999999999998</v>
      </c>
      <c r="I195">
        <v>253</v>
      </c>
      <c r="J195">
        <v>99.6</v>
      </c>
      <c r="K195">
        <v>66</v>
      </c>
      <c r="L195">
        <v>25.8</v>
      </c>
      <c r="M195">
        <v>9.5</v>
      </c>
      <c r="N195">
        <v>0.25198585372802401</v>
      </c>
      <c r="O195">
        <v>7.1818790947182506E-2</v>
      </c>
      <c r="P195" t="str">
        <f t="shared" ref="P195:P258" si="6">IF(N195&lt;0.095876, "T", "F")</f>
        <v>F</v>
      </c>
      <c r="Q195" t="str">
        <f t="shared" ref="Q195:Q258" si="7">IF(O195&lt; 0.064417, "T", "F")</f>
        <v>F</v>
      </c>
    </row>
    <row r="196" spans="1:17" hidden="1" x14ac:dyDescent="0.3">
      <c r="A196">
        <v>4530</v>
      </c>
      <c r="B196">
        <v>2649</v>
      </c>
      <c r="C196">
        <v>399</v>
      </c>
      <c r="D196" t="s">
        <v>19</v>
      </c>
      <c r="E196" t="s">
        <v>16</v>
      </c>
      <c r="F196" t="s">
        <v>21</v>
      </c>
      <c r="G196" t="s">
        <v>25</v>
      </c>
      <c r="H196">
        <v>273.89999999999998</v>
      </c>
      <c r="I196">
        <v>253</v>
      </c>
      <c r="J196">
        <v>99.6</v>
      </c>
      <c r="K196">
        <v>66</v>
      </c>
      <c r="L196">
        <v>25.8</v>
      </c>
      <c r="M196">
        <v>9.5</v>
      </c>
      <c r="N196">
        <v>0.23191557357373799</v>
      </c>
      <c r="O196">
        <v>6.6760498779329297E-2</v>
      </c>
      <c r="P196" t="str">
        <f t="shared" si="6"/>
        <v>F</v>
      </c>
      <c r="Q196" t="str">
        <f t="shared" si="7"/>
        <v>F</v>
      </c>
    </row>
    <row r="197" spans="1:17" hidden="1" x14ac:dyDescent="0.3">
      <c r="A197">
        <v>4531</v>
      </c>
      <c r="B197">
        <v>2649</v>
      </c>
      <c r="C197">
        <v>399</v>
      </c>
      <c r="D197" t="s">
        <v>19</v>
      </c>
      <c r="E197" t="s">
        <v>16</v>
      </c>
      <c r="F197" t="s">
        <v>21</v>
      </c>
      <c r="G197" t="s">
        <v>25</v>
      </c>
      <c r="H197">
        <v>273.89999999999998</v>
      </c>
      <c r="I197">
        <v>253</v>
      </c>
      <c r="J197">
        <v>99.6</v>
      </c>
      <c r="K197">
        <v>66</v>
      </c>
      <c r="L197">
        <v>25.8</v>
      </c>
      <c r="M197">
        <v>9.5</v>
      </c>
      <c r="N197">
        <v>0.237717887930049</v>
      </c>
      <c r="O197">
        <v>6.5474550825007499E-2</v>
      </c>
      <c r="P197" t="str">
        <f t="shared" si="6"/>
        <v>F</v>
      </c>
      <c r="Q197" t="str">
        <f t="shared" si="7"/>
        <v>F</v>
      </c>
    </row>
    <row r="198" spans="1:17" hidden="1" x14ac:dyDescent="0.3">
      <c r="A198">
        <v>4553</v>
      </c>
      <c r="B198">
        <v>2656</v>
      </c>
      <c r="C198">
        <v>238</v>
      </c>
      <c r="D198" t="s">
        <v>19</v>
      </c>
      <c r="E198" t="s">
        <v>16</v>
      </c>
      <c r="F198" t="s">
        <v>21</v>
      </c>
      <c r="G198" t="s">
        <v>25</v>
      </c>
      <c r="H198">
        <v>273.3</v>
      </c>
      <c r="I198">
        <v>246</v>
      </c>
      <c r="J198">
        <v>92.6</v>
      </c>
      <c r="K198">
        <v>63.5</v>
      </c>
      <c r="L198">
        <v>25.5</v>
      </c>
      <c r="M198">
        <v>9.5</v>
      </c>
      <c r="N198">
        <v>0.12554348833940601</v>
      </c>
      <c r="O198">
        <v>0.153104715586074</v>
      </c>
      <c r="P198" t="str">
        <f t="shared" si="6"/>
        <v>F</v>
      </c>
      <c r="Q198" t="str">
        <f t="shared" si="7"/>
        <v>F</v>
      </c>
    </row>
    <row r="199" spans="1:17" hidden="1" x14ac:dyDescent="0.3">
      <c r="A199">
        <v>4556</v>
      </c>
      <c r="B199">
        <v>2658</v>
      </c>
      <c r="C199">
        <v>368</v>
      </c>
      <c r="D199" t="s">
        <v>19</v>
      </c>
      <c r="E199" t="s">
        <v>16</v>
      </c>
      <c r="F199" t="s">
        <v>21</v>
      </c>
      <c r="G199" t="s">
        <v>22</v>
      </c>
      <c r="H199">
        <v>273.3</v>
      </c>
      <c r="I199">
        <v>249</v>
      </c>
      <c r="J199">
        <v>98.9</v>
      </c>
      <c r="K199">
        <v>68.5</v>
      </c>
      <c r="L199">
        <v>23.8</v>
      </c>
      <c r="M199">
        <v>9</v>
      </c>
      <c r="N199">
        <v>0.146230483192483</v>
      </c>
      <c r="O199">
        <v>4.3614883142268503E-2</v>
      </c>
      <c r="P199" t="str">
        <f t="shared" si="6"/>
        <v>F</v>
      </c>
      <c r="Q199" t="str">
        <f t="shared" si="7"/>
        <v>T</v>
      </c>
    </row>
    <row r="200" spans="1:17" hidden="1" x14ac:dyDescent="0.3">
      <c r="A200">
        <v>4557</v>
      </c>
      <c r="B200">
        <v>2658</v>
      </c>
      <c r="C200">
        <v>368</v>
      </c>
      <c r="D200" t="s">
        <v>19</v>
      </c>
      <c r="E200" t="s">
        <v>16</v>
      </c>
      <c r="F200" t="s">
        <v>21</v>
      </c>
      <c r="G200" t="s">
        <v>22</v>
      </c>
      <c r="H200">
        <v>273.3</v>
      </c>
      <c r="I200">
        <v>249</v>
      </c>
      <c r="J200">
        <v>98.9</v>
      </c>
      <c r="K200">
        <v>68.5</v>
      </c>
      <c r="L200">
        <v>23.8</v>
      </c>
      <c r="M200">
        <v>9</v>
      </c>
      <c r="N200">
        <v>0.13166068223440899</v>
      </c>
      <c r="O200">
        <v>3.9606467834927703E-2</v>
      </c>
      <c r="P200" t="str">
        <f t="shared" si="6"/>
        <v>F</v>
      </c>
      <c r="Q200" t="str">
        <f t="shared" si="7"/>
        <v>T</v>
      </c>
    </row>
    <row r="201" spans="1:17" hidden="1" x14ac:dyDescent="0.3">
      <c r="A201">
        <v>4558</v>
      </c>
      <c r="B201">
        <v>2658</v>
      </c>
      <c r="C201">
        <v>368</v>
      </c>
      <c r="D201" t="s">
        <v>19</v>
      </c>
      <c r="E201" t="s">
        <v>16</v>
      </c>
      <c r="F201" t="s">
        <v>21</v>
      </c>
      <c r="G201" t="s">
        <v>22</v>
      </c>
      <c r="H201">
        <v>273.3</v>
      </c>
      <c r="I201">
        <v>249</v>
      </c>
      <c r="J201">
        <v>98.9</v>
      </c>
      <c r="K201">
        <v>68.5</v>
      </c>
      <c r="L201">
        <v>23.8</v>
      </c>
      <c r="M201">
        <v>9</v>
      </c>
      <c r="N201">
        <v>0.15428693166416199</v>
      </c>
      <c r="O201">
        <v>3.57777703628765E-2</v>
      </c>
      <c r="P201" t="str">
        <f t="shared" si="6"/>
        <v>F</v>
      </c>
      <c r="Q201" t="str">
        <f t="shared" si="7"/>
        <v>T</v>
      </c>
    </row>
    <row r="202" spans="1:17" hidden="1" x14ac:dyDescent="0.3">
      <c r="A202">
        <v>4574</v>
      </c>
      <c r="B202">
        <v>2665</v>
      </c>
      <c r="C202">
        <v>238</v>
      </c>
      <c r="D202" t="s">
        <v>19</v>
      </c>
      <c r="E202" t="s">
        <v>16</v>
      </c>
      <c r="F202" t="s">
        <v>17</v>
      </c>
      <c r="G202" t="s">
        <v>26</v>
      </c>
      <c r="H202">
        <v>273.3</v>
      </c>
      <c r="I202">
        <v>246</v>
      </c>
      <c r="J202">
        <v>92.6</v>
      </c>
      <c r="K202">
        <v>63.5</v>
      </c>
      <c r="L202">
        <v>25.5</v>
      </c>
      <c r="M202">
        <v>9.5</v>
      </c>
      <c r="N202">
        <v>8.6333440563492195E-2</v>
      </c>
      <c r="O202">
        <v>0.14134608421896899</v>
      </c>
      <c r="P202" t="str">
        <f t="shared" si="6"/>
        <v>T</v>
      </c>
      <c r="Q202" t="str">
        <f t="shared" si="7"/>
        <v>F</v>
      </c>
    </row>
    <row r="203" spans="1:17" hidden="1" x14ac:dyDescent="0.3">
      <c r="A203">
        <v>4608</v>
      </c>
      <c r="B203">
        <v>2675</v>
      </c>
      <c r="C203">
        <v>179</v>
      </c>
      <c r="D203" t="s">
        <v>19</v>
      </c>
      <c r="E203" t="s">
        <v>16</v>
      </c>
      <c r="F203" t="s">
        <v>21</v>
      </c>
      <c r="G203" t="s">
        <v>26</v>
      </c>
      <c r="H203">
        <v>276</v>
      </c>
      <c r="I203">
        <v>241.5</v>
      </c>
      <c r="J203">
        <v>96.5</v>
      </c>
      <c r="K203">
        <v>66.5</v>
      </c>
      <c r="L203">
        <v>25.1</v>
      </c>
      <c r="M203">
        <v>9.5</v>
      </c>
      <c r="N203">
        <v>8.8578981458209902E-2</v>
      </c>
      <c r="O203">
        <v>0.17823552107551899</v>
      </c>
      <c r="P203" t="str">
        <f t="shared" si="6"/>
        <v>T</v>
      </c>
      <c r="Q203" t="str">
        <f t="shared" si="7"/>
        <v>F</v>
      </c>
    </row>
    <row r="204" spans="1:17" hidden="1" x14ac:dyDescent="0.3">
      <c r="A204">
        <v>4680</v>
      </c>
      <c r="B204">
        <v>2703</v>
      </c>
      <c r="C204">
        <v>344</v>
      </c>
      <c r="D204" t="s">
        <v>19</v>
      </c>
      <c r="E204" t="s">
        <v>16</v>
      </c>
      <c r="F204" t="s">
        <v>17</v>
      </c>
      <c r="G204" t="s">
        <v>25</v>
      </c>
      <c r="H204">
        <v>266.7</v>
      </c>
      <c r="I204">
        <v>231.5</v>
      </c>
      <c r="J204">
        <v>87.8</v>
      </c>
      <c r="K204">
        <v>64.5</v>
      </c>
      <c r="L204">
        <v>22.5</v>
      </c>
      <c r="M204">
        <v>9</v>
      </c>
      <c r="N204">
        <v>0.221103634095174</v>
      </c>
      <c r="O204">
        <v>0.16934463506325201</v>
      </c>
      <c r="P204" t="str">
        <f t="shared" si="6"/>
        <v>F</v>
      </c>
      <c r="Q204" t="str">
        <f t="shared" si="7"/>
        <v>F</v>
      </c>
    </row>
    <row r="205" spans="1:17" hidden="1" x14ac:dyDescent="0.3">
      <c r="A205">
        <v>4691</v>
      </c>
      <c r="B205">
        <v>2709</v>
      </c>
      <c r="C205">
        <v>325</v>
      </c>
      <c r="D205" t="s">
        <v>19</v>
      </c>
      <c r="E205" t="s">
        <v>16</v>
      </c>
      <c r="F205" t="s">
        <v>21</v>
      </c>
      <c r="G205" t="s">
        <v>18</v>
      </c>
      <c r="H205">
        <v>274</v>
      </c>
      <c r="I205">
        <v>243.5</v>
      </c>
      <c r="J205">
        <v>94.8</v>
      </c>
      <c r="K205">
        <v>65.5</v>
      </c>
      <c r="L205">
        <v>26.1</v>
      </c>
      <c r="M205">
        <v>13</v>
      </c>
      <c r="N205">
        <v>0.21876738154383199</v>
      </c>
      <c r="O205">
        <v>0.110714525514583</v>
      </c>
      <c r="P205" t="str">
        <f t="shared" si="6"/>
        <v>F</v>
      </c>
      <c r="Q205" t="str">
        <f t="shared" si="7"/>
        <v>F</v>
      </c>
    </row>
    <row r="206" spans="1:17" hidden="1" x14ac:dyDescent="0.3">
      <c r="A206">
        <v>4692</v>
      </c>
      <c r="B206">
        <v>2709</v>
      </c>
      <c r="C206">
        <v>325</v>
      </c>
      <c r="D206" t="s">
        <v>19</v>
      </c>
      <c r="E206" t="s">
        <v>16</v>
      </c>
      <c r="F206" t="s">
        <v>21</v>
      </c>
      <c r="G206" t="s">
        <v>18</v>
      </c>
      <c r="H206">
        <v>274</v>
      </c>
      <c r="I206">
        <v>243.5</v>
      </c>
      <c r="J206">
        <v>94.8</v>
      </c>
      <c r="K206">
        <v>65.5</v>
      </c>
      <c r="L206">
        <v>26.1</v>
      </c>
      <c r="M206">
        <v>13</v>
      </c>
      <c r="N206">
        <v>0.23055682849322201</v>
      </c>
      <c r="O206">
        <v>0.102193451919289</v>
      </c>
      <c r="P206" t="str">
        <f t="shared" si="6"/>
        <v>F</v>
      </c>
      <c r="Q206" t="str">
        <f t="shared" si="7"/>
        <v>F</v>
      </c>
    </row>
    <row r="207" spans="1:17" hidden="1" x14ac:dyDescent="0.3">
      <c r="A207">
        <v>4693</v>
      </c>
      <c r="B207">
        <v>2709</v>
      </c>
      <c r="C207">
        <v>325</v>
      </c>
      <c r="D207" t="s">
        <v>19</v>
      </c>
      <c r="E207" t="s">
        <v>16</v>
      </c>
      <c r="F207" t="s">
        <v>21</v>
      </c>
      <c r="G207" t="s">
        <v>18</v>
      </c>
      <c r="H207">
        <v>274</v>
      </c>
      <c r="I207">
        <v>243.5</v>
      </c>
      <c r="J207">
        <v>94.8</v>
      </c>
      <c r="K207">
        <v>65.5</v>
      </c>
      <c r="L207">
        <v>26.1</v>
      </c>
      <c r="M207">
        <v>13</v>
      </c>
      <c r="N207">
        <v>0.238710243417176</v>
      </c>
      <c r="O207">
        <v>0.101988615721292</v>
      </c>
      <c r="P207" t="str">
        <f t="shared" si="6"/>
        <v>F</v>
      </c>
      <c r="Q207" t="str">
        <f t="shared" si="7"/>
        <v>F</v>
      </c>
    </row>
    <row r="208" spans="1:17" hidden="1" x14ac:dyDescent="0.3">
      <c r="A208">
        <v>4745</v>
      </c>
      <c r="B208">
        <v>273</v>
      </c>
      <c r="C208">
        <v>218</v>
      </c>
      <c r="D208" t="s">
        <v>19</v>
      </c>
      <c r="E208" t="s">
        <v>16</v>
      </c>
      <c r="F208" t="s">
        <v>21</v>
      </c>
      <c r="G208" t="s">
        <v>22</v>
      </c>
      <c r="H208">
        <v>274.5</v>
      </c>
      <c r="I208">
        <v>258</v>
      </c>
      <c r="J208">
        <v>101.5</v>
      </c>
      <c r="K208">
        <v>66.5</v>
      </c>
      <c r="L208">
        <v>27.9</v>
      </c>
      <c r="M208">
        <v>10</v>
      </c>
      <c r="N208">
        <v>0.12613442157413801</v>
      </c>
      <c r="O208">
        <v>8.0417856461991899E-2</v>
      </c>
      <c r="P208" t="str">
        <f t="shared" si="6"/>
        <v>F</v>
      </c>
      <c r="Q208" t="str">
        <f t="shared" si="7"/>
        <v>F</v>
      </c>
    </row>
    <row r="209" spans="1:17" hidden="1" x14ac:dyDescent="0.3">
      <c r="A209">
        <v>4746</v>
      </c>
      <c r="B209">
        <v>273</v>
      </c>
      <c r="C209">
        <v>218</v>
      </c>
      <c r="D209" t="s">
        <v>19</v>
      </c>
      <c r="E209" t="s">
        <v>16</v>
      </c>
      <c r="F209" t="s">
        <v>21</v>
      </c>
      <c r="G209" t="s">
        <v>22</v>
      </c>
      <c r="H209">
        <v>274.5</v>
      </c>
      <c r="I209">
        <v>258</v>
      </c>
      <c r="J209">
        <v>101.5</v>
      </c>
      <c r="K209">
        <v>66.5</v>
      </c>
      <c r="L209">
        <v>27.9</v>
      </c>
      <c r="M209">
        <v>10</v>
      </c>
      <c r="N209">
        <v>0.152070418543515</v>
      </c>
      <c r="O209">
        <v>9.8351014658919295E-2</v>
      </c>
      <c r="P209" t="str">
        <f t="shared" si="6"/>
        <v>F</v>
      </c>
      <c r="Q209" t="str">
        <f t="shared" si="7"/>
        <v>F</v>
      </c>
    </row>
    <row r="210" spans="1:17" hidden="1" x14ac:dyDescent="0.3">
      <c r="A210">
        <v>4857</v>
      </c>
      <c r="B210">
        <v>2767</v>
      </c>
      <c r="C210">
        <v>405</v>
      </c>
      <c r="D210" t="s">
        <v>19</v>
      </c>
      <c r="E210" t="s">
        <v>16</v>
      </c>
      <c r="F210" t="s">
        <v>21</v>
      </c>
      <c r="G210" t="s">
        <v>24</v>
      </c>
      <c r="H210">
        <v>277.60000000000002</v>
      </c>
      <c r="I210">
        <v>250</v>
      </c>
      <c r="J210">
        <v>93.4</v>
      </c>
      <c r="K210">
        <v>67.5</v>
      </c>
      <c r="L210">
        <v>29.4</v>
      </c>
      <c r="M210">
        <v>6</v>
      </c>
      <c r="N210">
        <v>0.29031532916684399</v>
      </c>
      <c r="O210">
        <v>8.3607810172116506E-2</v>
      </c>
      <c r="P210" t="str">
        <f t="shared" si="6"/>
        <v>F</v>
      </c>
      <c r="Q210" t="str">
        <f t="shared" si="7"/>
        <v>F</v>
      </c>
    </row>
    <row r="211" spans="1:17" hidden="1" x14ac:dyDescent="0.3">
      <c r="A211">
        <v>4861</v>
      </c>
      <c r="B211">
        <v>2769</v>
      </c>
      <c r="C211">
        <v>12</v>
      </c>
      <c r="D211" t="s">
        <v>19</v>
      </c>
      <c r="E211" t="s">
        <v>16</v>
      </c>
      <c r="F211" t="s">
        <v>21</v>
      </c>
      <c r="G211" t="s">
        <v>26</v>
      </c>
      <c r="H211">
        <v>280.39999999999998</v>
      </c>
      <c r="I211">
        <v>260</v>
      </c>
      <c r="J211">
        <v>102.4</v>
      </c>
      <c r="K211">
        <v>69.5</v>
      </c>
      <c r="L211">
        <v>28.2</v>
      </c>
      <c r="M211">
        <v>9</v>
      </c>
      <c r="N211">
        <v>0.16415185337775301</v>
      </c>
      <c r="O211">
        <v>0.131990702692936</v>
      </c>
      <c r="P211" t="str">
        <f t="shared" si="6"/>
        <v>F</v>
      </c>
      <c r="Q211" t="str">
        <f t="shared" si="7"/>
        <v>F</v>
      </c>
    </row>
    <row r="212" spans="1:17" hidden="1" x14ac:dyDescent="0.3">
      <c r="A212">
        <v>4862</v>
      </c>
      <c r="B212">
        <v>2769</v>
      </c>
      <c r="C212">
        <v>12</v>
      </c>
      <c r="D212" t="s">
        <v>19</v>
      </c>
      <c r="E212" t="s">
        <v>16</v>
      </c>
      <c r="F212" t="s">
        <v>21</v>
      </c>
      <c r="G212" t="s">
        <v>26</v>
      </c>
      <c r="H212">
        <v>280.39999999999998</v>
      </c>
      <c r="I212">
        <v>260</v>
      </c>
      <c r="J212">
        <v>102.4</v>
      </c>
      <c r="K212">
        <v>69.5</v>
      </c>
      <c r="L212">
        <v>28.2</v>
      </c>
      <c r="M212">
        <v>9</v>
      </c>
      <c r="N212">
        <v>0.15184993507705</v>
      </c>
      <c r="O212">
        <v>0.12219812425220999</v>
      </c>
      <c r="P212" t="str">
        <f t="shared" si="6"/>
        <v>F</v>
      </c>
      <c r="Q212" t="str">
        <f t="shared" si="7"/>
        <v>F</v>
      </c>
    </row>
    <row r="213" spans="1:17" hidden="1" x14ac:dyDescent="0.3">
      <c r="A213">
        <v>4892</v>
      </c>
      <c r="B213">
        <v>2781</v>
      </c>
      <c r="C213">
        <v>417</v>
      </c>
      <c r="D213" t="s">
        <v>19</v>
      </c>
      <c r="E213" t="s">
        <v>16</v>
      </c>
      <c r="F213" t="s">
        <v>17</v>
      </c>
      <c r="G213" t="s">
        <v>26</v>
      </c>
      <c r="H213">
        <v>268.60000000000002</v>
      </c>
      <c r="I213">
        <v>234.5</v>
      </c>
      <c r="J213">
        <v>92.8</v>
      </c>
      <c r="K213">
        <v>64</v>
      </c>
      <c r="L213">
        <v>24.3</v>
      </c>
      <c r="M213">
        <v>5</v>
      </c>
      <c r="N213">
        <v>0.22313395030387001</v>
      </c>
      <c r="O213">
        <v>0.14311288346654999</v>
      </c>
      <c r="P213" t="str">
        <f t="shared" si="6"/>
        <v>F</v>
      </c>
      <c r="Q213" t="str">
        <f t="shared" si="7"/>
        <v>F</v>
      </c>
    </row>
    <row r="214" spans="1:17" hidden="1" x14ac:dyDescent="0.3">
      <c r="A214">
        <v>4893</v>
      </c>
      <c r="B214">
        <v>2781</v>
      </c>
      <c r="C214">
        <v>417</v>
      </c>
      <c r="D214" t="s">
        <v>19</v>
      </c>
      <c r="E214" t="s">
        <v>16</v>
      </c>
      <c r="F214" t="s">
        <v>17</v>
      </c>
      <c r="G214" t="s">
        <v>26</v>
      </c>
      <c r="H214">
        <v>268.60000000000002</v>
      </c>
      <c r="I214">
        <v>234.5</v>
      </c>
      <c r="J214">
        <v>92.8</v>
      </c>
      <c r="K214">
        <v>64</v>
      </c>
      <c r="L214">
        <v>24.3</v>
      </c>
      <c r="M214">
        <v>5</v>
      </c>
      <c r="N214">
        <v>0.20605500046443401</v>
      </c>
      <c r="O214">
        <v>0.150558947862624</v>
      </c>
      <c r="P214" t="str">
        <f t="shared" si="6"/>
        <v>F</v>
      </c>
      <c r="Q214" t="str">
        <f t="shared" si="7"/>
        <v>F</v>
      </c>
    </row>
    <row r="215" spans="1:17" hidden="1" x14ac:dyDescent="0.3">
      <c r="A215">
        <v>4894</v>
      </c>
      <c r="B215">
        <v>2781</v>
      </c>
      <c r="C215">
        <v>417</v>
      </c>
      <c r="D215" t="s">
        <v>19</v>
      </c>
      <c r="E215" t="s">
        <v>16</v>
      </c>
      <c r="F215" t="s">
        <v>17</v>
      </c>
      <c r="G215" t="s">
        <v>26</v>
      </c>
      <c r="H215">
        <v>268.60000000000002</v>
      </c>
      <c r="I215">
        <v>234.5</v>
      </c>
      <c r="J215">
        <v>92.8</v>
      </c>
      <c r="K215">
        <v>64</v>
      </c>
      <c r="L215">
        <v>24.3</v>
      </c>
      <c r="M215">
        <v>5</v>
      </c>
      <c r="N215">
        <v>0.203642033616795</v>
      </c>
      <c r="O215">
        <v>0.13228862031543401</v>
      </c>
      <c r="P215" t="str">
        <f t="shared" si="6"/>
        <v>F</v>
      </c>
      <c r="Q215" t="str">
        <f t="shared" si="7"/>
        <v>F</v>
      </c>
    </row>
    <row r="216" spans="1:17" hidden="1" x14ac:dyDescent="0.3">
      <c r="A216">
        <v>4895</v>
      </c>
      <c r="B216">
        <v>2781</v>
      </c>
      <c r="C216">
        <v>417</v>
      </c>
      <c r="D216" t="s">
        <v>19</v>
      </c>
      <c r="E216" t="s">
        <v>16</v>
      </c>
      <c r="F216" t="s">
        <v>17</v>
      </c>
      <c r="G216" t="s">
        <v>26</v>
      </c>
      <c r="H216">
        <v>268.60000000000002</v>
      </c>
      <c r="I216">
        <v>234.5</v>
      </c>
      <c r="J216">
        <v>92.8</v>
      </c>
      <c r="K216">
        <v>64</v>
      </c>
      <c r="L216">
        <v>24.3</v>
      </c>
      <c r="M216">
        <v>5</v>
      </c>
      <c r="N216">
        <v>0.208588389815903</v>
      </c>
      <c r="O216">
        <v>0.156058010346903</v>
      </c>
      <c r="P216" t="str">
        <f t="shared" si="6"/>
        <v>F</v>
      </c>
      <c r="Q216" t="str">
        <f t="shared" si="7"/>
        <v>F</v>
      </c>
    </row>
    <row r="217" spans="1:17" hidden="1" x14ac:dyDescent="0.3">
      <c r="A217">
        <v>4911</v>
      </c>
      <c r="B217">
        <v>2790</v>
      </c>
      <c r="C217">
        <v>12</v>
      </c>
      <c r="D217" t="s">
        <v>19</v>
      </c>
      <c r="E217" t="s">
        <v>16</v>
      </c>
      <c r="F217" t="s">
        <v>17</v>
      </c>
      <c r="G217" t="s">
        <v>24</v>
      </c>
      <c r="H217">
        <v>280.39999999999998</v>
      </c>
      <c r="I217">
        <v>260</v>
      </c>
      <c r="J217">
        <v>102.4</v>
      </c>
      <c r="K217">
        <v>69.5</v>
      </c>
      <c r="L217">
        <v>28.2</v>
      </c>
      <c r="M217">
        <v>9</v>
      </c>
      <c r="N217">
        <v>0.15666817001784</v>
      </c>
      <c r="O217">
        <v>0.13059695003158001</v>
      </c>
      <c r="P217" t="str">
        <f t="shared" si="6"/>
        <v>F</v>
      </c>
      <c r="Q217" t="str">
        <f t="shared" si="7"/>
        <v>F</v>
      </c>
    </row>
    <row r="218" spans="1:17" hidden="1" x14ac:dyDescent="0.3">
      <c r="A218">
        <v>4996</v>
      </c>
      <c r="B218">
        <v>2822</v>
      </c>
      <c r="C218">
        <v>255</v>
      </c>
      <c r="D218" t="s">
        <v>19</v>
      </c>
      <c r="E218" t="s">
        <v>16</v>
      </c>
      <c r="F218" t="s">
        <v>17</v>
      </c>
      <c r="G218" t="s">
        <v>18</v>
      </c>
      <c r="H218">
        <v>278.2</v>
      </c>
      <c r="I218">
        <v>254.5</v>
      </c>
      <c r="J218">
        <v>94.5</v>
      </c>
      <c r="K218">
        <v>67</v>
      </c>
      <c r="L218">
        <v>27.9</v>
      </c>
      <c r="M218">
        <v>11.5</v>
      </c>
      <c r="N218">
        <v>0.26363846977702199</v>
      </c>
      <c r="O218">
        <v>0.118716068514679</v>
      </c>
      <c r="P218" t="str">
        <f t="shared" si="6"/>
        <v>F</v>
      </c>
      <c r="Q218" t="str">
        <f t="shared" si="7"/>
        <v>F</v>
      </c>
    </row>
    <row r="219" spans="1:17" hidden="1" x14ac:dyDescent="0.3">
      <c r="A219">
        <v>5065</v>
      </c>
      <c r="B219">
        <v>285</v>
      </c>
      <c r="C219">
        <v>325</v>
      </c>
      <c r="D219" t="s">
        <v>19</v>
      </c>
      <c r="E219" t="s">
        <v>16</v>
      </c>
      <c r="F219" t="s">
        <v>17</v>
      </c>
      <c r="G219" t="s">
        <v>26</v>
      </c>
      <c r="H219">
        <v>274</v>
      </c>
      <c r="I219">
        <v>243.5</v>
      </c>
      <c r="J219">
        <v>94.8</v>
      </c>
      <c r="K219">
        <v>65.5</v>
      </c>
      <c r="L219">
        <v>26.1</v>
      </c>
      <c r="M219">
        <v>13</v>
      </c>
      <c r="N219">
        <v>0.24045197729482901</v>
      </c>
      <c r="O219">
        <v>6.4634608956750106E-2</v>
      </c>
      <c r="P219" t="str">
        <f t="shared" si="6"/>
        <v>F</v>
      </c>
      <c r="Q219" t="str">
        <f t="shared" si="7"/>
        <v>F</v>
      </c>
    </row>
    <row r="220" spans="1:17" hidden="1" x14ac:dyDescent="0.3">
      <c r="A220">
        <v>5066</v>
      </c>
      <c r="B220">
        <v>285</v>
      </c>
      <c r="C220">
        <v>325</v>
      </c>
      <c r="D220" t="s">
        <v>19</v>
      </c>
      <c r="E220" t="s">
        <v>16</v>
      </c>
      <c r="F220" t="s">
        <v>17</v>
      </c>
      <c r="G220" t="s">
        <v>26</v>
      </c>
      <c r="H220">
        <v>274</v>
      </c>
      <c r="I220">
        <v>243.5</v>
      </c>
      <c r="J220">
        <v>94.8</v>
      </c>
      <c r="K220">
        <v>65.5</v>
      </c>
      <c r="L220">
        <v>26.1</v>
      </c>
      <c r="M220">
        <v>13</v>
      </c>
      <c r="N220">
        <v>0.22243921508482201</v>
      </c>
      <c r="O220">
        <v>9.3087987548443205E-2</v>
      </c>
      <c r="P220" t="str">
        <f t="shared" si="6"/>
        <v>F</v>
      </c>
      <c r="Q220" t="str">
        <f t="shared" si="7"/>
        <v>F</v>
      </c>
    </row>
    <row r="221" spans="1:17" hidden="1" x14ac:dyDescent="0.3">
      <c r="A221">
        <v>5067</v>
      </c>
      <c r="B221">
        <v>285</v>
      </c>
      <c r="C221">
        <v>325</v>
      </c>
      <c r="D221" t="s">
        <v>19</v>
      </c>
      <c r="E221" t="s">
        <v>16</v>
      </c>
      <c r="F221" t="s">
        <v>17</v>
      </c>
      <c r="G221" t="s">
        <v>26</v>
      </c>
      <c r="H221">
        <v>274</v>
      </c>
      <c r="I221">
        <v>243.5</v>
      </c>
      <c r="J221">
        <v>94.8</v>
      </c>
      <c r="K221">
        <v>65.5</v>
      </c>
      <c r="L221">
        <v>26.1</v>
      </c>
      <c r="M221">
        <v>13</v>
      </c>
      <c r="N221">
        <v>0.239239344129206</v>
      </c>
      <c r="O221">
        <v>7.6732897959488996E-2</v>
      </c>
      <c r="P221" t="str">
        <f t="shared" si="6"/>
        <v>F</v>
      </c>
      <c r="Q221" t="str">
        <f t="shared" si="7"/>
        <v>F</v>
      </c>
    </row>
    <row r="222" spans="1:17" hidden="1" x14ac:dyDescent="0.3">
      <c r="A222">
        <v>5380</v>
      </c>
      <c r="B222">
        <v>2957</v>
      </c>
      <c r="C222">
        <v>494</v>
      </c>
      <c r="D222" t="s">
        <v>19</v>
      </c>
      <c r="E222" t="s">
        <v>16</v>
      </c>
      <c r="F222" t="s">
        <v>17</v>
      </c>
      <c r="G222" t="s">
        <v>26</v>
      </c>
      <c r="H222">
        <v>281.3</v>
      </c>
      <c r="I222">
        <v>262</v>
      </c>
      <c r="J222">
        <v>97.7</v>
      </c>
      <c r="K222">
        <v>70</v>
      </c>
      <c r="L222">
        <v>27</v>
      </c>
      <c r="M222">
        <v>4</v>
      </c>
      <c r="N222">
        <v>9.8061190089589301E-2</v>
      </c>
      <c r="O222">
        <v>0.19205923111033699</v>
      </c>
      <c r="P222" t="str">
        <f t="shared" si="6"/>
        <v>F</v>
      </c>
      <c r="Q222" t="str">
        <f t="shared" si="7"/>
        <v>F</v>
      </c>
    </row>
    <row r="223" spans="1:17" hidden="1" x14ac:dyDescent="0.3">
      <c r="A223">
        <v>5381</v>
      </c>
      <c r="B223">
        <v>2957</v>
      </c>
      <c r="C223">
        <v>494</v>
      </c>
      <c r="D223" t="s">
        <v>19</v>
      </c>
      <c r="E223" t="s">
        <v>16</v>
      </c>
      <c r="F223" t="s">
        <v>17</v>
      </c>
      <c r="G223" t="s">
        <v>26</v>
      </c>
      <c r="H223">
        <v>281.3</v>
      </c>
      <c r="I223">
        <v>262</v>
      </c>
      <c r="J223">
        <v>97.7</v>
      </c>
      <c r="K223">
        <v>70</v>
      </c>
      <c r="L223">
        <v>27</v>
      </c>
      <c r="M223">
        <v>4</v>
      </c>
      <c r="N223">
        <v>0.115593250773065</v>
      </c>
      <c r="O223">
        <v>0.178557135462136</v>
      </c>
      <c r="P223" t="str">
        <f t="shared" si="6"/>
        <v>F</v>
      </c>
      <c r="Q223" t="str">
        <f t="shared" si="7"/>
        <v>F</v>
      </c>
    </row>
    <row r="224" spans="1:17" hidden="1" x14ac:dyDescent="0.3">
      <c r="A224">
        <v>5382</v>
      </c>
      <c r="B224">
        <v>2957</v>
      </c>
      <c r="C224">
        <v>494</v>
      </c>
      <c r="D224" t="s">
        <v>19</v>
      </c>
      <c r="E224" t="s">
        <v>16</v>
      </c>
      <c r="F224" t="s">
        <v>17</v>
      </c>
      <c r="G224" t="s">
        <v>26</v>
      </c>
      <c r="H224">
        <v>281.3</v>
      </c>
      <c r="I224">
        <v>262</v>
      </c>
      <c r="J224">
        <v>97.7</v>
      </c>
      <c r="K224">
        <v>70</v>
      </c>
      <c r="L224">
        <v>27</v>
      </c>
      <c r="M224">
        <v>4</v>
      </c>
      <c r="N224">
        <v>0.108651542965967</v>
      </c>
      <c r="O224">
        <v>0.203894153726354</v>
      </c>
      <c r="P224" t="str">
        <f t="shared" si="6"/>
        <v>F</v>
      </c>
      <c r="Q224" t="str">
        <f t="shared" si="7"/>
        <v>F</v>
      </c>
    </row>
    <row r="225" spans="1:17" hidden="1" x14ac:dyDescent="0.3">
      <c r="A225">
        <v>5383</v>
      </c>
      <c r="B225">
        <v>2957</v>
      </c>
      <c r="C225">
        <v>494</v>
      </c>
      <c r="D225" t="s">
        <v>19</v>
      </c>
      <c r="E225" t="s">
        <v>16</v>
      </c>
      <c r="F225" t="s">
        <v>17</v>
      </c>
      <c r="G225" t="s">
        <v>26</v>
      </c>
      <c r="H225">
        <v>281.3</v>
      </c>
      <c r="I225">
        <v>262</v>
      </c>
      <c r="J225">
        <v>97.7</v>
      </c>
      <c r="K225">
        <v>70</v>
      </c>
      <c r="L225">
        <v>27</v>
      </c>
      <c r="M225">
        <v>4</v>
      </c>
      <c r="N225">
        <v>0.124104283267851</v>
      </c>
      <c r="O225">
        <v>0.19820237774083099</v>
      </c>
      <c r="P225" t="str">
        <f t="shared" si="6"/>
        <v>F</v>
      </c>
      <c r="Q225" t="str">
        <f t="shared" si="7"/>
        <v>F</v>
      </c>
    </row>
    <row r="226" spans="1:17" hidden="1" x14ac:dyDescent="0.3">
      <c r="A226">
        <v>5384</v>
      </c>
      <c r="B226">
        <v>2957</v>
      </c>
      <c r="C226">
        <v>494</v>
      </c>
      <c r="D226" t="s">
        <v>19</v>
      </c>
      <c r="E226" t="s">
        <v>16</v>
      </c>
      <c r="F226" t="s">
        <v>17</v>
      </c>
      <c r="G226" t="s">
        <v>26</v>
      </c>
      <c r="H226">
        <v>281.3</v>
      </c>
      <c r="I226">
        <v>262</v>
      </c>
      <c r="J226">
        <v>97.7</v>
      </c>
      <c r="K226">
        <v>70</v>
      </c>
      <c r="L226">
        <v>27</v>
      </c>
      <c r="M226">
        <v>4</v>
      </c>
      <c r="N226">
        <v>0.102965094701655</v>
      </c>
      <c r="O226">
        <v>0.19685650393627299</v>
      </c>
      <c r="P226" t="str">
        <f t="shared" si="6"/>
        <v>F</v>
      </c>
      <c r="Q226" t="str">
        <f t="shared" si="7"/>
        <v>F</v>
      </c>
    </row>
    <row r="227" spans="1:17" hidden="1" x14ac:dyDescent="0.3">
      <c r="A227">
        <v>5412</v>
      </c>
      <c r="B227">
        <v>2966</v>
      </c>
      <c r="C227">
        <v>228</v>
      </c>
      <c r="D227" t="s">
        <v>19</v>
      </c>
      <c r="E227" t="s">
        <v>16</v>
      </c>
      <c r="F227" t="s">
        <v>17</v>
      </c>
      <c r="G227" t="s">
        <v>18</v>
      </c>
      <c r="H227">
        <v>275.39999999999998</v>
      </c>
      <c r="I227">
        <v>249.5</v>
      </c>
      <c r="J227">
        <v>93.4</v>
      </c>
      <c r="K227">
        <v>64</v>
      </c>
      <c r="L227">
        <v>28.4</v>
      </c>
      <c r="M227">
        <v>13</v>
      </c>
      <c r="N227">
        <v>7.3733672951482504E-2</v>
      </c>
      <c r="O227">
        <v>0.14440167804002901</v>
      </c>
      <c r="P227" t="str">
        <f t="shared" si="6"/>
        <v>T</v>
      </c>
      <c r="Q227" t="str">
        <f t="shared" si="7"/>
        <v>F</v>
      </c>
    </row>
    <row r="228" spans="1:17" hidden="1" x14ac:dyDescent="0.3">
      <c r="A228">
        <v>5413</v>
      </c>
      <c r="B228">
        <v>2966</v>
      </c>
      <c r="C228">
        <v>228</v>
      </c>
      <c r="D228" t="s">
        <v>19</v>
      </c>
      <c r="E228" t="s">
        <v>16</v>
      </c>
      <c r="F228" t="s">
        <v>17</v>
      </c>
      <c r="G228" t="s">
        <v>18</v>
      </c>
      <c r="H228">
        <v>275.39999999999998</v>
      </c>
      <c r="I228">
        <v>249.5</v>
      </c>
      <c r="J228">
        <v>93.4</v>
      </c>
      <c r="K228">
        <v>64</v>
      </c>
      <c r="L228">
        <v>28.4</v>
      </c>
      <c r="M228">
        <v>13</v>
      </c>
      <c r="N228">
        <v>7.4052617675349403E-2</v>
      </c>
      <c r="O228">
        <v>0.131180759345044</v>
      </c>
      <c r="P228" t="str">
        <f t="shared" si="6"/>
        <v>T</v>
      </c>
      <c r="Q228" t="str">
        <f t="shared" si="7"/>
        <v>F</v>
      </c>
    </row>
    <row r="229" spans="1:17" hidden="1" x14ac:dyDescent="0.3">
      <c r="A229">
        <v>5414</v>
      </c>
      <c r="B229">
        <v>2966</v>
      </c>
      <c r="C229">
        <v>228</v>
      </c>
      <c r="D229" t="s">
        <v>19</v>
      </c>
      <c r="E229" t="s">
        <v>16</v>
      </c>
      <c r="F229" t="s">
        <v>17</v>
      </c>
      <c r="G229" t="s">
        <v>18</v>
      </c>
      <c r="H229">
        <v>275.39999999999998</v>
      </c>
      <c r="I229">
        <v>249.5</v>
      </c>
      <c r="J229">
        <v>93.4</v>
      </c>
      <c r="K229">
        <v>64</v>
      </c>
      <c r="L229">
        <v>28.4</v>
      </c>
      <c r="M229">
        <v>13</v>
      </c>
      <c r="N229">
        <v>8.51559472483156E-2</v>
      </c>
      <c r="O229">
        <v>0.14607176450628701</v>
      </c>
      <c r="P229" t="str">
        <f t="shared" si="6"/>
        <v>T</v>
      </c>
      <c r="Q229" t="str">
        <f t="shared" si="7"/>
        <v>F</v>
      </c>
    </row>
    <row r="230" spans="1:17" hidden="1" x14ac:dyDescent="0.3">
      <c r="A230">
        <v>5415</v>
      </c>
      <c r="B230">
        <v>2966</v>
      </c>
      <c r="C230">
        <v>228</v>
      </c>
      <c r="D230" t="s">
        <v>19</v>
      </c>
      <c r="E230" t="s">
        <v>16</v>
      </c>
      <c r="F230" t="s">
        <v>17</v>
      </c>
      <c r="G230" t="s">
        <v>18</v>
      </c>
      <c r="H230">
        <v>275.39999999999998</v>
      </c>
      <c r="I230">
        <v>249.5</v>
      </c>
      <c r="J230">
        <v>93.4</v>
      </c>
      <c r="K230">
        <v>64</v>
      </c>
      <c r="L230">
        <v>28.4</v>
      </c>
      <c r="M230">
        <v>13</v>
      </c>
      <c r="N230">
        <v>8.7099763935194793E-2</v>
      </c>
      <c r="O230">
        <v>0.14893755360785199</v>
      </c>
      <c r="P230" t="str">
        <f t="shared" si="6"/>
        <v>T</v>
      </c>
      <c r="Q230" t="str">
        <f t="shared" si="7"/>
        <v>F</v>
      </c>
    </row>
    <row r="231" spans="1:17" hidden="1" x14ac:dyDescent="0.3">
      <c r="A231">
        <v>5436</v>
      </c>
      <c r="B231">
        <v>2977</v>
      </c>
      <c r="C231">
        <v>388</v>
      </c>
      <c r="D231" t="s">
        <v>19</v>
      </c>
      <c r="E231" t="s">
        <v>16</v>
      </c>
      <c r="F231" t="s">
        <v>21</v>
      </c>
      <c r="G231" t="s">
        <v>24</v>
      </c>
      <c r="H231">
        <v>277.10000000000002</v>
      </c>
      <c r="I231">
        <v>244.5</v>
      </c>
      <c r="J231">
        <v>91.9</v>
      </c>
      <c r="K231">
        <v>62.5</v>
      </c>
      <c r="L231">
        <v>25.9</v>
      </c>
      <c r="M231">
        <v>7</v>
      </c>
      <c r="N231">
        <v>0.125217216315543</v>
      </c>
      <c r="O231">
        <v>9.4235003520077396E-2</v>
      </c>
      <c r="P231" t="str">
        <f t="shared" si="6"/>
        <v>F</v>
      </c>
      <c r="Q231" t="str">
        <f t="shared" si="7"/>
        <v>F</v>
      </c>
    </row>
    <row r="232" spans="1:17" hidden="1" x14ac:dyDescent="0.3">
      <c r="A232">
        <v>5437</v>
      </c>
      <c r="B232">
        <v>2977</v>
      </c>
      <c r="C232">
        <v>388</v>
      </c>
      <c r="D232" t="s">
        <v>19</v>
      </c>
      <c r="E232" t="s">
        <v>16</v>
      </c>
      <c r="F232" t="s">
        <v>21</v>
      </c>
      <c r="G232" t="s">
        <v>24</v>
      </c>
      <c r="H232">
        <v>277.10000000000002</v>
      </c>
      <c r="I232">
        <v>244.5</v>
      </c>
      <c r="J232">
        <v>91.9</v>
      </c>
      <c r="K232">
        <v>62.5</v>
      </c>
      <c r="L232">
        <v>25.9</v>
      </c>
      <c r="M232">
        <v>7</v>
      </c>
      <c r="N232">
        <v>0.106687074442728</v>
      </c>
      <c r="O232">
        <v>7.6906926879832402E-2</v>
      </c>
      <c r="P232" t="str">
        <f t="shared" si="6"/>
        <v>F</v>
      </c>
      <c r="Q232" t="str">
        <f t="shared" si="7"/>
        <v>F</v>
      </c>
    </row>
    <row r="233" spans="1:17" hidden="1" x14ac:dyDescent="0.3">
      <c r="A233">
        <v>5443</v>
      </c>
      <c r="B233">
        <v>2980</v>
      </c>
      <c r="C233">
        <v>12</v>
      </c>
      <c r="D233" t="s">
        <v>19</v>
      </c>
      <c r="E233" t="s">
        <v>16</v>
      </c>
      <c r="F233" t="s">
        <v>17</v>
      </c>
      <c r="G233" t="s">
        <v>18</v>
      </c>
      <c r="H233">
        <v>280.39999999999998</v>
      </c>
      <c r="I233">
        <v>260</v>
      </c>
      <c r="J233">
        <v>102.4</v>
      </c>
      <c r="K233">
        <v>69.5</v>
      </c>
      <c r="L233">
        <v>28.2</v>
      </c>
      <c r="M233">
        <v>9</v>
      </c>
      <c r="N233">
        <v>0.15480921958695801</v>
      </c>
      <c r="O233">
        <v>9.9669298098472303E-2</v>
      </c>
      <c r="P233" t="str">
        <f t="shared" si="6"/>
        <v>F</v>
      </c>
      <c r="Q233" t="str">
        <f t="shared" si="7"/>
        <v>F</v>
      </c>
    </row>
    <row r="234" spans="1:17" hidden="1" x14ac:dyDescent="0.3">
      <c r="A234">
        <v>5444</v>
      </c>
      <c r="B234">
        <v>2980</v>
      </c>
      <c r="C234">
        <v>12</v>
      </c>
      <c r="D234" t="s">
        <v>19</v>
      </c>
      <c r="E234" t="s">
        <v>16</v>
      </c>
      <c r="F234" t="s">
        <v>17</v>
      </c>
      <c r="G234" t="s">
        <v>18</v>
      </c>
      <c r="H234">
        <v>280.39999999999998</v>
      </c>
      <c r="I234">
        <v>260</v>
      </c>
      <c r="J234">
        <v>102.4</v>
      </c>
      <c r="K234">
        <v>69.5</v>
      </c>
      <c r="L234">
        <v>28.2</v>
      </c>
      <c r="M234">
        <v>9</v>
      </c>
      <c r="N234">
        <v>0.161803965591231</v>
      </c>
      <c r="O234">
        <v>0.103881526745022</v>
      </c>
      <c r="P234" t="str">
        <f t="shared" si="6"/>
        <v>F</v>
      </c>
      <c r="Q234" t="str">
        <f t="shared" si="7"/>
        <v>F</v>
      </c>
    </row>
    <row r="235" spans="1:17" hidden="1" x14ac:dyDescent="0.3">
      <c r="A235">
        <v>5508</v>
      </c>
      <c r="B235">
        <v>3004</v>
      </c>
      <c r="C235">
        <v>344</v>
      </c>
      <c r="D235" t="s">
        <v>19</v>
      </c>
      <c r="E235" t="s">
        <v>16</v>
      </c>
      <c r="F235" t="s">
        <v>17</v>
      </c>
      <c r="G235" t="s">
        <v>25</v>
      </c>
      <c r="H235">
        <v>266.7</v>
      </c>
      <c r="I235">
        <v>231.5</v>
      </c>
      <c r="J235">
        <v>87.8</v>
      </c>
      <c r="K235">
        <v>64.5</v>
      </c>
      <c r="L235">
        <v>22.5</v>
      </c>
      <c r="M235">
        <v>9</v>
      </c>
      <c r="N235">
        <v>0.22379842746404199</v>
      </c>
      <c r="O235">
        <v>0.17071610904787299</v>
      </c>
      <c r="P235" t="str">
        <f t="shared" si="6"/>
        <v>F</v>
      </c>
      <c r="Q235" t="str">
        <f t="shared" si="7"/>
        <v>F</v>
      </c>
    </row>
    <row r="236" spans="1:17" hidden="1" x14ac:dyDescent="0.3">
      <c r="A236">
        <v>5545</v>
      </c>
      <c r="B236">
        <v>3019</v>
      </c>
      <c r="C236">
        <v>12</v>
      </c>
      <c r="D236" t="s">
        <v>19</v>
      </c>
      <c r="E236" t="s">
        <v>16</v>
      </c>
      <c r="F236" t="s">
        <v>21</v>
      </c>
      <c r="G236" t="s">
        <v>25</v>
      </c>
      <c r="H236">
        <v>280.39999999999998</v>
      </c>
      <c r="I236">
        <v>260</v>
      </c>
      <c r="J236">
        <v>102.4</v>
      </c>
      <c r="K236">
        <v>69.5</v>
      </c>
      <c r="L236">
        <v>28.2</v>
      </c>
      <c r="M236">
        <v>9</v>
      </c>
      <c r="N236">
        <v>0.15065821691359799</v>
      </c>
      <c r="O236">
        <v>0.134382502291368</v>
      </c>
      <c r="P236" t="str">
        <f t="shared" si="6"/>
        <v>F</v>
      </c>
      <c r="Q236" t="str">
        <f t="shared" si="7"/>
        <v>F</v>
      </c>
    </row>
    <row r="237" spans="1:17" hidden="1" x14ac:dyDescent="0.3">
      <c r="A237">
        <v>5546</v>
      </c>
      <c r="B237">
        <v>3019</v>
      </c>
      <c r="C237">
        <v>12</v>
      </c>
      <c r="D237" t="s">
        <v>19</v>
      </c>
      <c r="E237" t="s">
        <v>16</v>
      </c>
      <c r="F237" t="s">
        <v>21</v>
      </c>
      <c r="G237" t="s">
        <v>25</v>
      </c>
      <c r="H237">
        <v>280.39999999999998</v>
      </c>
      <c r="I237">
        <v>260</v>
      </c>
      <c r="J237">
        <v>102.4</v>
      </c>
      <c r="K237">
        <v>69.5</v>
      </c>
      <c r="L237">
        <v>28.2</v>
      </c>
      <c r="M237">
        <v>9</v>
      </c>
      <c r="N237">
        <v>0.14025998727715899</v>
      </c>
      <c r="O237">
        <v>0.14152743952730701</v>
      </c>
      <c r="P237" t="str">
        <f t="shared" si="6"/>
        <v>F</v>
      </c>
      <c r="Q237" t="str">
        <f t="shared" si="7"/>
        <v>F</v>
      </c>
    </row>
    <row r="238" spans="1:17" hidden="1" x14ac:dyDescent="0.3">
      <c r="A238">
        <v>5547</v>
      </c>
      <c r="B238">
        <v>3019</v>
      </c>
      <c r="C238">
        <v>12</v>
      </c>
      <c r="D238" t="s">
        <v>19</v>
      </c>
      <c r="E238" t="s">
        <v>16</v>
      </c>
      <c r="F238" t="s">
        <v>21</v>
      </c>
      <c r="G238" t="s">
        <v>25</v>
      </c>
      <c r="H238">
        <v>280.39999999999998</v>
      </c>
      <c r="I238">
        <v>260</v>
      </c>
      <c r="J238">
        <v>102.4</v>
      </c>
      <c r="K238">
        <v>69.5</v>
      </c>
      <c r="L238">
        <v>28.2</v>
      </c>
      <c r="M238">
        <v>9</v>
      </c>
      <c r="N238">
        <v>0.13654603112729199</v>
      </c>
      <c r="O238">
        <v>0.14385201113860299</v>
      </c>
      <c r="P238" t="str">
        <f t="shared" si="6"/>
        <v>F</v>
      </c>
      <c r="Q238" t="str">
        <f t="shared" si="7"/>
        <v>F</v>
      </c>
    </row>
    <row r="239" spans="1:17" hidden="1" x14ac:dyDescent="0.3">
      <c r="A239">
        <v>5568</v>
      </c>
      <c r="B239">
        <v>3027</v>
      </c>
      <c r="C239">
        <v>232</v>
      </c>
      <c r="D239" t="s">
        <v>19</v>
      </c>
      <c r="E239" t="s">
        <v>16</v>
      </c>
      <c r="F239" t="s">
        <v>17</v>
      </c>
      <c r="G239" t="s">
        <v>18</v>
      </c>
      <c r="H239">
        <v>277.8</v>
      </c>
      <c r="I239">
        <v>249</v>
      </c>
      <c r="J239">
        <v>95.2</v>
      </c>
      <c r="K239">
        <v>67.5</v>
      </c>
      <c r="L239">
        <v>28.4</v>
      </c>
      <c r="M239">
        <v>7.5</v>
      </c>
      <c r="N239">
        <v>0.13688118743633201</v>
      </c>
      <c r="O239">
        <v>7.2644820752208794E-2</v>
      </c>
      <c r="P239" t="str">
        <f t="shared" si="6"/>
        <v>F</v>
      </c>
      <c r="Q239" t="str">
        <f t="shared" si="7"/>
        <v>F</v>
      </c>
    </row>
    <row r="240" spans="1:17" hidden="1" x14ac:dyDescent="0.3">
      <c r="A240">
        <v>5569</v>
      </c>
      <c r="B240">
        <v>3027</v>
      </c>
      <c r="C240">
        <v>232</v>
      </c>
      <c r="D240" t="s">
        <v>19</v>
      </c>
      <c r="E240" t="s">
        <v>16</v>
      </c>
      <c r="F240" t="s">
        <v>17</v>
      </c>
      <c r="G240" t="s">
        <v>18</v>
      </c>
      <c r="H240">
        <v>277.8</v>
      </c>
      <c r="I240">
        <v>249</v>
      </c>
      <c r="J240">
        <v>95.2</v>
      </c>
      <c r="K240">
        <v>67.5</v>
      </c>
      <c r="L240">
        <v>28.4</v>
      </c>
      <c r="M240">
        <v>7.5</v>
      </c>
      <c r="N240">
        <v>0.13327764596182301</v>
      </c>
      <c r="O240">
        <v>5.3257210404655198E-2</v>
      </c>
      <c r="P240" t="str">
        <f t="shared" si="6"/>
        <v>F</v>
      </c>
      <c r="Q240" t="str">
        <f t="shared" si="7"/>
        <v>T</v>
      </c>
    </row>
    <row r="241" spans="1:17" hidden="1" x14ac:dyDescent="0.3">
      <c r="A241">
        <v>5570</v>
      </c>
      <c r="B241">
        <v>3027</v>
      </c>
      <c r="C241">
        <v>232</v>
      </c>
      <c r="D241" t="s">
        <v>19</v>
      </c>
      <c r="E241" t="s">
        <v>16</v>
      </c>
      <c r="F241" t="s">
        <v>17</v>
      </c>
      <c r="G241" t="s">
        <v>18</v>
      </c>
      <c r="H241">
        <v>277.8</v>
      </c>
      <c r="I241">
        <v>249</v>
      </c>
      <c r="J241">
        <v>95.2</v>
      </c>
      <c r="K241">
        <v>67.5</v>
      </c>
      <c r="L241">
        <v>28.4</v>
      </c>
      <c r="M241">
        <v>7.5</v>
      </c>
      <c r="N241">
        <v>0.150593675607644</v>
      </c>
      <c r="O241">
        <v>7.8331181372713998E-2</v>
      </c>
      <c r="P241" t="str">
        <f t="shared" si="6"/>
        <v>F</v>
      </c>
      <c r="Q241" t="str">
        <f t="shared" si="7"/>
        <v>F</v>
      </c>
    </row>
    <row r="242" spans="1:17" hidden="1" x14ac:dyDescent="0.3">
      <c r="A242">
        <v>5571</v>
      </c>
      <c r="B242">
        <v>3027</v>
      </c>
      <c r="C242">
        <v>232</v>
      </c>
      <c r="D242" t="s">
        <v>19</v>
      </c>
      <c r="E242" t="s">
        <v>16</v>
      </c>
      <c r="F242" t="s">
        <v>17</v>
      </c>
      <c r="G242" t="s">
        <v>18</v>
      </c>
      <c r="H242">
        <v>277.8</v>
      </c>
      <c r="I242">
        <v>249</v>
      </c>
      <c r="J242">
        <v>95.2</v>
      </c>
      <c r="K242">
        <v>67.5</v>
      </c>
      <c r="L242">
        <v>28.4</v>
      </c>
      <c r="M242">
        <v>7.5</v>
      </c>
      <c r="N242">
        <v>0.116611416081204</v>
      </c>
      <c r="O242">
        <v>7.4335753949590994E-2</v>
      </c>
      <c r="P242" t="str">
        <f t="shared" si="6"/>
        <v>F</v>
      </c>
      <c r="Q242" t="str">
        <f t="shared" si="7"/>
        <v>F</v>
      </c>
    </row>
    <row r="243" spans="1:17" hidden="1" x14ac:dyDescent="0.3">
      <c r="A243">
        <v>5587</v>
      </c>
      <c r="B243">
        <v>3032</v>
      </c>
      <c r="C243">
        <v>228</v>
      </c>
      <c r="D243" t="s">
        <v>19</v>
      </c>
      <c r="E243" t="s">
        <v>16</v>
      </c>
      <c r="F243" t="s">
        <v>21</v>
      </c>
      <c r="G243" t="s">
        <v>18</v>
      </c>
      <c r="H243">
        <v>275.39999999999998</v>
      </c>
      <c r="I243">
        <v>249.5</v>
      </c>
      <c r="J243">
        <v>93.4</v>
      </c>
      <c r="K243">
        <v>64</v>
      </c>
      <c r="L243">
        <v>28.4</v>
      </c>
      <c r="M243">
        <v>13</v>
      </c>
      <c r="N243">
        <v>0.10952890847449701</v>
      </c>
      <c r="O243">
        <v>0.14721986158765499</v>
      </c>
      <c r="P243" t="str">
        <f t="shared" si="6"/>
        <v>F</v>
      </c>
      <c r="Q243" t="str">
        <f t="shared" si="7"/>
        <v>F</v>
      </c>
    </row>
    <row r="244" spans="1:17" hidden="1" x14ac:dyDescent="0.3">
      <c r="A244">
        <v>5588</v>
      </c>
      <c r="B244">
        <v>3032</v>
      </c>
      <c r="C244">
        <v>228</v>
      </c>
      <c r="D244" t="s">
        <v>19</v>
      </c>
      <c r="E244" t="s">
        <v>16</v>
      </c>
      <c r="F244" t="s">
        <v>21</v>
      </c>
      <c r="G244" t="s">
        <v>18</v>
      </c>
      <c r="H244">
        <v>275.39999999999998</v>
      </c>
      <c r="I244">
        <v>249.5</v>
      </c>
      <c r="J244">
        <v>93.4</v>
      </c>
      <c r="K244">
        <v>64</v>
      </c>
      <c r="L244">
        <v>28.4</v>
      </c>
      <c r="M244">
        <v>13</v>
      </c>
      <c r="N244">
        <v>9.5165861953494302E-2</v>
      </c>
      <c r="O244">
        <v>0.15430562662310299</v>
      </c>
      <c r="P244" t="str">
        <f t="shared" si="6"/>
        <v>T</v>
      </c>
      <c r="Q244" t="str">
        <f t="shared" si="7"/>
        <v>F</v>
      </c>
    </row>
    <row r="245" spans="1:17" hidden="1" x14ac:dyDescent="0.3">
      <c r="A245">
        <v>5726</v>
      </c>
      <c r="B245">
        <v>3086</v>
      </c>
      <c r="C245">
        <v>255</v>
      </c>
      <c r="D245" t="s">
        <v>19</v>
      </c>
      <c r="E245" t="s">
        <v>16</v>
      </c>
      <c r="F245" t="s">
        <v>17</v>
      </c>
      <c r="G245" t="s">
        <v>26</v>
      </c>
      <c r="H245">
        <v>278.2</v>
      </c>
      <c r="I245">
        <v>254.5</v>
      </c>
      <c r="J245">
        <v>94.5</v>
      </c>
      <c r="K245">
        <v>67</v>
      </c>
      <c r="L245">
        <v>27.9</v>
      </c>
      <c r="M245">
        <v>11.5</v>
      </c>
      <c r="N245">
        <v>0.27076646698218199</v>
      </c>
      <c r="O245">
        <v>0.100719229275334</v>
      </c>
      <c r="P245" t="str">
        <f t="shared" si="6"/>
        <v>F</v>
      </c>
      <c r="Q245" t="str">
        <f t="shared" si="7"/>
        <v>F</v>
      </c>
    </row>
    <row r="246" spans="1:17" hidden="1" x14ac:dyDescent="0.3">
      <c r="A246">
        <v>5728</v>
      </c>
      <c r="B246">
        <v>3086</v>
      </c>
      <c r="C246">
        <v>255</v>
      </c>
      <c r="D246" t="s">
        <v>19</v>
      </c>
      <c r="E246" t="s">
        <v>16</v>
      </c>
      <c r="F246" t="s">
        <v>17</v>
      </c>
      <c r="G246" t="s">
        <v>26</v>
      </c>
      <c r="H246">
        <v>278.2</v>
      </c>
      <c r="I246">
        <v>254.5</v>
      </c>
      <c r="J246">
        <v>94.5</v>
      </c>
      <c r="K246">
        <v>67</v>
      </c>
      <c r="L246">
        <v>27.9</v>
      </c>
      <c r="M246">
        <v>11.5</v>
      </c>
      <c r="N246">
        <v>0.26556618694723</v>
      </c>
      <c r="O246">
        <v>0.12938092002326901</v>
      </c>
      <c r="P246" t="str">
        <f t="shared" si="6"/>
        <v>F</v>
      </c>
      <c r="Q246" t="str">
        <f t="shared" si="7"/>
        <v>F</v>
      </c>
    </row>
    <row r="247" spans="1:17" hidden="1" x14ac:dyDescent="0.3">
      <c r="A247">
        <v>5758</v>
      </c>
      <c r="B247">
        <v>3098</v>
      </c>
      <c r="C247">
        <v>232</v>
      </c>
      <c r="D247" t="s">
        <v>19</v>
      </c>
      <c r="E247" t="s">
        <v>16</v>
      </c>
      <c r="F247" t="s">
        <v>17</v>
      </c>
      <c r="G247" t="s">
        <v>25</v>
      </c>
      <c r="H247">
        <v>277.8</v>
      </c>
      <c r="I247">
        <v>249</v>
      </c>
      <c r="J247">
        <v>95.2</v>
      </c>
      <c r="K247">
        <v>67.5</v>
      </c>
      <c r="L247">
        <v>28.4</v>
      </c>
      <c r="M247">
        <v>7.5</v>
      </c>
      <c r="N247">
        <v>0.121016533445909</v>
      </c>
      <c r="O247">
        <v>6.4909871690594506E-2</v>
      </c>
      <c r="P247" t="str">
        <f t="shared" si="6"/>
        <v>F</v>
      </c>
      <c r="Q247" t="str">
        <f t="shared" si="7"/>
        <v>F</v>
      </c>
    </row>
    <row r="248" spans="1:17" hidden="1" x14ac:dyDescent="0.3">
      <c r="A248">
        <v>5759</v>
      </c>
      <c r="B248">
        <v>3098</v>
      </c>
      <c r="C248">
        <v>232</v>
      </c>
      <c r="D248" t="s">
        <v>19</v>
      </c>
      <c r="E248" t="s">
        <v>16</v>
      </c>
      <c r="F248" t="s">
        <v>17</v>
      </c>
      <c r="G248" t="s">
        <v>25</v>
      </c>
      <c r="H248">
        <v>277.8</v>
      </c>
      <c r="I248">
        <v>249</v>
      </c>
      <c r="J248">
        <v>95.2</v>
      </c>
      <c r="K248">
        <v>67.5</v>
      </c>
      <c r="L248">
        <v>28.4</v>
      </c>
      <c r="M248">
        <v>7.5</v>
      </c>
      <c r="N248">
        <v>0.128438201025454</v>
      </c>
      <c r="O248">
        <v>7.4327181782887594E-2</v>
      </c>
      <c r="P248" t="str">
        <f t="shared" si="6"/>
        <v>F</v>
      </c>
      <c r="Q248" t="str">
        <f t="shared" si="7"/>
        <v>F</v>
      </c>
    </row>
    <row r="249" spans="1:17" hidden="1" x14ac:dyDescent="0.3">
      <c r="A249">
        <v>5760</v>
      </c>
      <c r="B249">
        <v>3098</v>
      </c>
      <c r="C249">
        <v>232</v>
      </c>
      <c r="D249" t="s">
        <v>19</v>
      </c>
      <c r="E249" t="s">
        <v>16</v>
      </c>
      <c r="F249" t="s">
        <v>17</v>
      </c>
      <c r="G249" t="s">
        <v>25</v>
      </c>
      <c r="H249">
        <v>277.8</v>
      </c>
      <c r="I249">
        <v>249</v>
      </c>
      <c r="J249">
        <v>95.2</v>
      </c>
      <c r="K249">
        <v>67.5</v>
      </c>
      <c r="L249">
        <v>28.4</v>
      </c>
      <c r="M249">
        <v>7.5</v>
      </c>
      <c r="N249">
        <v>0.12836031639775999</v>
      </c>
      <c r="O249">
        <v>5.7511713862902297E-2</v>
      </c>
      <c r="P249" t="str">
        <f t="shared" si="6"/>
        <v>F</v>
      </c>
      <c r="Q249" t="str">
        <f t="shared" si="7"/>
        <v>T</v>
      </c>
    </row>
    <row r="250" spans="1:17" hidden="1" x14ac:dyDescent="0.3">
      <c r="A250">
        <v>5761</v>
      </c>
      <c r="B250">
        <v>3098</v>
      </c>
      <c r="C250">
        <v>232</v>
      </c>
      <c r="D250" t="s">
        <v>19</v>
      </c>
      <c r="E250" t="s">
        <v>16</v>
      </c>
      <c r="F250" t="s">
        <v>17</v>
      </c>
      <c r="G250" t="s">
        <v>25</v>
      </c>
      <c r="H250">
        <v>277.8</v>
      </c>
      <c r="I250">
        <v>249</v>
      </c>
      <c r="J250">
        <v>95.2</v>
      </c>
      <c r="K250">
        <v>67.5</v>
      </c>
      <c r="L250">
        <v>28.4</v>
      </c>
      <c r="M250">
        <v>7.5</v>
      </c>
      <c r="N250">
        <v>0.143545598024789</v>
      </c>
      <c r="O250">
        <v>7.6596631546856905E-2</v>
      </c>
      <c r="P250" t="str">
        <f t="shared" si="6"/>
        <v>F</v>
      </c>
      <c r="Q250" t="str">
        <f t="shared" si="7"/>
        <v>F</v>
      </c>
    </row>
    <row r="251" spans="1:17" hidden="1" x14ac:dyDescent="0.3">
      <c r="A251">
        <v>5762</v>
      </c>
      <c r="B251">
        <v>3098</v>
      </c>
      <c r="C251">
        <v>232</v>
      </c>
      <c r="D251" t="s">
        <v>19</v>
      </c>
      <c r="E251" t="s">
        <v>16</v>
      </c>
      <c r="F251" t="s">
        <v>17</v>
      </c>
      <c r="G251" t="s">
        <v>25</v>
      </c>
      <c r="H251">
        <v>277.8</v>
      </c>
      <c r="I251">
        <v>249</v>
      </c>
      <c r="J251">
        <v>95.2</v>
      </c>
      <c r="K251">
        <v>67.5</v>
      </c>
      <c r="L251">
        <v>28.4</v>
      </c>
      <c r="M251">
        <v>7.5</v>
      </c>
      <c r="N251">
        <v>0.13707504373012999</v>
      </c>
      <c r="O251">
        <v>5.5498606741252302E-2</v>
      </c>
      <c r="P251" t="str">
        <f t="shared" si="6"/>
        <v>F</v>
      </c>
      <c r="Q251" t="str">
        <f t="shared" si="7"/>
        <v>T</v>
      </c>
    </row>
    <row r="252" spans="1:17" hidden="1" x14ac:dyDescent="0.3">
      <c r="A252">
        <v>6019</v>
      </c>
      <c r="B252">
        <v>3189</v>
      </c>
      <c r="C252">
        <v>344</v>
      </c>
      <c r="D252" t="s">
        <v>19</v>
      </c>
      <c r="E252" t="s">
        <v>16</v>
      </c>
      <c r="F252" t="s">
        <v>17</v>
      </c>
      <c r="G252" t="s">
        <v>25</v>
      </c>
      <c r="H252">
        <v>266.7</v>
      </c>
      <c r="I252">
        <v>231.5</v>
      </c>
      <c r="J252">
        <v>87.8</v>
      </c>
      <c r="K252">
        <v>64.5</v>
      </c>
      <c r="L252">
        <v>22.5</v>
      </c>
      <c r="M252">
        <v>9</v>
      </c>
      <c r="N252">
        <v>0.21859023260135799</v>
      </c>
      <c r="O252">
        <v>0.16586884825921699</v>
      </c>
      <c r="P252" t="str">
        <f t="shared" si="6"/>
        <v>F</v>
      </c>
      <c r="Q252" t="str">
        <f t="shared" si="7"/>
        <v>F</v>
      </c>
    </row>
    <row r="253" spans="1:17" hidden="1" x14ac:dyDescent="0.3">
      <c r="A253">
        <v>6022</v>
      </c>
      <c r="B253">
        <v>3189</v>
      </c>
      <c r="C253">
        <v>344</v>
      </c>
      <c r="D253" t="s">
        <v>19</v>
      </c>
      <c r="E253" t="s">
        <v>16</v>
      </c>
      <c r="F253" t="s">
        <v>17</v>
      </c>
      <c r="G253" t="s">
        <v>25</v>
      </c>
      <c r="H253">
        <v>266.7</v>
      </c>
      <c r="I253">
        <v>231.5</v>
      </c>
      <c r="J253">
        <v>87.8</v>
      </c>
      <c r="K253">
        <v>64.5</v>
      </c>
      <c r="L253">
        <v>22.5</v>
      </c>
      <c r="M253">
        <v>9</v>
      </c>
      <c r="N253">
        <v>0.22975558624471201</v>
      </c>
      <c r="O253">
        <v>0.16294203558573001</v>
      </c>
      <c r="P253" t="str">
        <f t="shared" si="6"/>
        <v>F</v>
      </c>
      <c r="Q253" t="str">
        <f t="shared" si="7"/>
        <v>F</v>
      </c>
    </row>
    <row r="254" spans="1:17" hidden="1" x14ac:dyDescent="0.3">
      <c r="A254">
        <v>6089</v>
      </c>
      <c r="B254">
        <v>3214</v>
      </c>
      <c r="C254">
        <v>494</v>
      </c>
      <c r="D254" t="s">
        <v>19</v>
      </c>
      <c r="E254" t="s">
        <v>16</v>
      </c>
      <c r="F254" t="s">
        <v>17</v>
      </c>
      <c r="G254" t="s">
        <v>24</v>
      </c>
      <c r="H254">
        <v>281.3</v>
      </c>
      <c r="I254">
        <v>262</v>
      </c>
      <c r="J254">
        <v>97.7</v>
      </c>
      <c r="K254">
        <v>70</v>
      </c>
      <c r="L254">
        <v>27</v>
      </c>
      <c r="M254">
        <v>4</v>
      </c>
      <c r="N254">
        <v>0.12514040033969101</v>
      </c>
      <c r="O254">
        <v>0.17229604943572399</v>
      </c>
      <c r="P254" t="str">
        <f t="shared" si="6"/>
        <v>F</v>
      </c>
      <c r="Q254" t="str">
        <f t="shared" si="7"/>
        <v>F</v>
      </c>
    </row>
    <row r="255" spans="1:17" hidden="1" x14ac:dyDescent="0.3">
      <c r="A255">
        <v>6122</v>
      </c>
      <c r="B255">
        <v>3224</v>
      </c>
      <c r="C255">
        <v>249</v>
      </c>
      <c r="D255" t="s">
        <v>19</v>
      </c>
      <c r="E255" t="s">
        <v>16</v>
      </c>
      <c r="F255" t="s">
        <v>21</v>
      </c>
      <c r="G255" t="s">
        <v>18</v>
      </c>
      <c r="H255">
        <v>275.7</v>
      </c>
      <c r="I255">
        <v>254.5</v>
      </c>
      <c r="J255">
        <v>97.9</v>
      </c>
      <c r="K255">
        <v>66</v>
      </c>
      <c r="L255">
        <v>26.3</v>
      </c>
      <c r="M255">
        <v>9</v>
      </c>
      <c r="N255">
        <v>0.24583365130812401</v>
      </c>
      <c r="O255">
        <v>5.9331967079595399E-2</v>
      </c>
      <c r="P255" t="str">
        <f t="shared" si="6"/>
        <v>F</v>
      </c>
      <c r="Q255" t="str">
        <f t="shared" si="7"/>
        <v>T</v>
      </c>
    </row>
    <row r="256" spans="1:17" hidden="1" x14ac:dyDescent="0.3">
      <c r="A256">
        <v>6145</v>
      </c>
      <c r="B256">
        <v>3232</v>
      </c>
      <c r="C256">
        <v>249</v>
      </c>
      <c r="D256" t="s">
        <v>19</v>
      </c>
      <c r="E256" t="s">
        <v>16</v>
      </c>
      <c r="F256" t="s">
        <v>17</v>
      </c>
      <c r="G256" t="s">
        <v>26</v>
      </c>
      <c r="H256">
        <v>275.7</v>
      </c>
      <c r="I256">
        <v>254.5</v>
      </c>
      <c r="J256">
        <v>97.9</v>
      </c>
      <c r="K256">
        <v>66</v>
      </c>
      <c r="L256">
        <v>26.3</v>
      </c>
      <c r="M256">
        <v>9</v>
      </c>
      <c r="N256">
        <v>0.24040267387990699</v>
      </c>
      <c r="O256">
        <v>2.7580365949551398E-2</v>
      </c>
      <c r="P256" t="str">
        <f t="shared" si="6"/>
        <v>F</v>
      </c>
      <c r="Q256" t="str">
        <f t="shared" si="7"/>
        <v>T</v>
      </c>
    </row>
    <row r="257" spans="1:17" hidden="1" x14ac:dyDescent="0.3">
      <c r="A257">
        <v>6146</v>
      </c>
      <c r="B257">
        <v>3232</v>
      </c>
      <c r="C257">
        <v>249</v>
      </c>
      <c r="D257" t="s">
        <v>19</v>
      </c>
      <c r="E257" t="s">
        <v>16</v>
      </c>
      <c r="F257" t="s">
        <v>17</v>
      </c>
      <c r="G257" t="s">
        <v>26</v>
      </c>
      <c r="H257">
        <v>275.7</v>
      </c>
      <c r="I257">
        <v>254.5</v>
      </c>
      <c r="J257">
        <v>97.9</v>
      </c>
      <c r="K257">
        <v>66</v>
      </c>
      <c r="L257">
        <v>26.3</v>
      </c>
      <c r="M257">
        <v>9</v>
      </c>
      <c r="N257">
        <v>0.242334232163508</v>
      </c>
      <c r="O257">
        <v>2.68859762551606E-2</v>
      </c>
      <c r="P257" t="str">
        <f t="shared" si="6"/>
        <v>F</v>
      </c>
      <c r="Q257" t="str">
        <f t="shared" si="7"/>
        <v>T</v>
      </c>
    </row>
    <row r="258" spans="1:17" hidden="1" x14ac:dyDescent="0.3">
      <c r="A258">
        <v>6147</v>
      </c>
      <c r="B258">
        <v>3232</v>
      </c>
      <c r="C258">
        <v>249</v>
      </c>
      <c r="D258" t="s">
        <v>19</v>
      </c>
      <c r="E258" t="s">
        <v>16</v>
      </c>
      <c r="F258" t="s">
        <v>17</v>
      </c>
      <c r="G258" t="s">
        <v>26</v>
      </c>
      <c r="H258">
        <v>275.7</v>
      </c>
      <c r="I258">
        <v>254.5</v>
      </c>
      <c r="J258">
        <v>97.9</v>
      </c>
      <c r="K258">
        <v>66</v>
      </c>
      <c r="L258">
        <v>26.3</v>
      </c>
      <c r="M258">
        <v>9</v>
      </c>
      <c r="N258">
        <v>0.22348529601150699</v>
      </c>
      <c r="O258">
        <v>4.4524292631635799E-2</v>
      </c>
      <c r="P258" t="str">
        <f t="shared" si="6"/>
        <v>F</v>
      </c>
      <c r="Q258" t="str">
        <f t="shared" si="7"/>
        <v>T</v>
      </c>
    </row>
    <row r="259" spans="1:17" hidden="1" x14ac:dyDescent="0.3">
      <c r="A259">
        <v>6163</v>
      </c>
      <c r="B259">
        <v>324</v>
      </c>
      <c r="C259">
        <v>417</v>
      </c>
      <c r="D259" t="s">
        <v>19</v>
      </c>
      <c r="E259" t="s">
        <v>16</v>
      </c>
      <c r="F259" t="s">
        <v>17</v>
      </c>
      <c r="G259" t="s">
        <v>22</v>
      </c>
      <c r="H259">
        <v>268.60000000000002</v>
      </c>
      <c r="I259">
        <v>234.5</v>
      </c>
      <c r="J259">
        <v>92.8</v>
      </c>
      <c r="K259">
        <v>64</v>
      </c>
      <c r="L259">
        <v>24.3</v>
      </c>
      <c r="M259">
        <v>5</v>
      </c>
      <c r="N259">
        <v>0.22079891838019</v>
      </c>
      <c r="O259">
        <v>0.14366558884915401</v>
      </c>
      <c r="P259" t="str">
        <f t="shared" ref="P259:P322" si="8">IF(N259&lt;0.095876, "T", "F")</f>
        <v>F</v>
      </c>
      <c r="Q259" t="str">
        <f t="shared" ref="Q259:Q322" si="9">IF(O259&lt; 0.064417, "T", "F")</f>
        <v>F</v>
      </c>
    </row>
    <row r="260" spans="1:17" hidden="1" x14ac:dyDescent="0.3">
      <c r="A260">
        <v>6164</v>
      </c>
      <c r="B260">
        <v>324</v>
      </c>
      <c r="C260">
        <v>417</v>
      </c>
      <c r="D260" t="s">
        <v>19</v>
      </c>
      <c r="E260" t="s">
        <v>16</v>
      </c>
      <c r="F260" t="s">
        <v>17</v>
      </c>
      <c r="G260" t="s">
        <v>22</v>
      </c>
      <c r="H260">
        <v>268.60000000000002</v>
      </c>
      <c r="I260">
        <v>234.5</v>
      </c>
      <c r="J260">
        <v>92.8</v>
      </c>
      <c r="K260">
        <v>64</v>
      </c>
      <c r="L260">
        <v>24.3</v>
      </c>
      <c r="M260">
        <v>5</v>
      </c>
      <c r="N260">
        <v>0.19181983789767801</v>
      </c>
      <c r="O260">
        <v>0.16716156079179301</v>
      </c>
      <c r="P260" t="str">
        <f t="shared" si="8"/>
        <v>F</v>
      </c>
      <c r="Q260" t="str">
        <f t="shared" si="9"/>
        <v>F</v>
      </c>
    </row>
    <row r="261" spans="1:17" hidden="1" x14ac:dyDescent="0.3">
      <c r="A261">
        <v>6165</v>
      </c>
      <c r="B261">
        <v>324</v>
      </c>
      <c r="C261">
        <v>417</v>
      </c>
      <c r="D261" t="s">
        <v>19</v>
      </c>
      <c r="E261" t="s">
        <v>16</v>
      </c>
      <c r="F261" t="s">
        <v>17</v>
      </c>
      <c r="G261" t="s">
        <v>22</v>
      </c>
      <c r="H261">
        <v>268.60000000000002</v>
      </c>
      <c r="I261">
        <v>234.5</v>
      </c>
      <c r="J261">
        <v>92.8</v>
      </c>
      <c r="K261">
        <v>64</v>
      </c>
      <c r="L261">
        <v>24.3</v>
      </c>
      <c r="M261">
        <v>5</v>
      </c>
      <c r="N261">
        <v>0.20673035508599499</v>
      </c>
      <c r="O261">
        <v>0.156168391678709</v>
      </c>
      <c r="P261" t="str">
        <f t="shared" si="8"/>
        <v>F</v>
      </c>
      <c r="Q261" t="str">
        <f t="shared" si="9"/>
        <v>F</v>
      </c>
    </row>
    <row r="262" spans="1:17" hidden="1" x14ac:dyDescent="0.3">
      <c r="A262">
        <v>6174</v>
      </c>
      <c r="B262">
        <v>3243</v>
      </c>
      <c r="C262">
        <v>228</v>
      </c>
      <c r="D262" t="s">
        <v>19</v>
      </c>
      <c r="E262" t="s">
        <v>16</v>
      </c>
      <c r="F262" t="s">
        <v>21</v>
      </c>
      <c r="G262" t="s">
        <v>24</v>
      </c>
      <c r="H262">
        <v>275.39999999999998</v>
      </c>
      <c r="I262">
        <v>249.5</v>
      </c>
      <c r="J262">
        <v>93.4</v>
      </c>
      <c r="K262">
        <v>64</v>
      </c>
      <c r="L262">
        <v>28.4</v>
      </c>
      <c r="M262">
        <v>13</v>
      </c>
      <c r="N262">
        <v>8.1742963383896902E-2</v>
      </c>
      <c r="O262">
        <v>0.12271093774641401</v>
      </c>
      <c r="P262" t="str">
        <f t="shared" si="8"/>
        <v>T</v>
      </c>
      <c r="Q262" t="str">
        <f t="shared" si="9"/>
        <v>F</v>
      </c>
    </row>
    <row r="263" spans="1:17" hidden="1" x14ac:dyDescent="0.3">
      <c r="A263">
        <v>6175</v>
      </c>
      <c r="B263">
        <v>3243</v>
      </c>
      <c r="C263">
        <v>228</v>
      </c>
      <c r="D263" t="s">
        <v>19</v>
      </c>
      <c r="E263" t="s">
        <v>16</v>
      </c>
      <c r="F263" t="s">
        <v>21</v>
      </c>
      <c r="G263" t="s">
        <v>24</v>
      </c>
      <c r="H263">
        <v>275.39999999999998</v>
      </c>
      <c r="I263">
        <v>249.5</v>
      </c>
      <c r="J263">
        <v>93.4</v>
      </c>
      <c r="K263">
        <v>64</v>
      </c>
      <c r="L263">
        <v>28.4</v>
      </c>
      <c r="M263">
        <v>13</v>
      </c>
      <c r="N263">
        <v>8.0857109178608694E-2</v>
      </c>
      <c r="O263">
        <v>0.15303944093730301</v>
      </c>
      <c r="P263" t="str">
        <f t="shared" si="8"/>
        <v>T</v>
      </c>
      <c r="Q263" t="str">
        <f t="shared" si="9"/>
        <v>F</v>
      </c>
    </row>
    <row r="264" spans="1:17" hidden="1" x14ac:dyDescent="0.3">
      <c r="A264">
        <v>6176</v>
      </c>
      <c r="B264">
        <v>3243</v>
      </c>
      <c r="C264">
        <v>228</v>
      </c>
      <c r="D264" t="s">
        <v>19</v>
      </c>
      <c r="E264" t="s">
        <v>16</v>
      </c>
      <c r="F264" t="s">
        <v>21</v>
      </c>
      <c r="G264" t="s">
        <v>24</v>
      </c>
      <c r="H264">
        <v>275.39999999999998</v>
      </c>
      <c r="I264">
        <v>249.5</v>
      </c>
      <c r="J264">
        <v>93.4</v>
      </c>
      <c r="K264">
        <v>64</v>
      </c>
      <c r="L264">
        <v>28.4</v>
      </c>
      <c r="M264">
        <v>13</v>
      </c>
      <c r="N264">
        <v>8.9811445223263495E-2</v>
      </c>
      <c r="O264">
        <v>0.129607665737873</v>
      </c>
      <c r="P264" t="str">
        <f t="shared" si="8"/>
        <v>T</v>
      </c>
      <c r="Q264" t="str">
        <f t="shared" si="9"/>
        <v>F</v>
      </c>
    </row>
    <row r="265" spans="1:17" hidden="1" x14ac:dyDescent="0.3">
      <c r="A265">
        <v>6177</v>
      </c>
      <c r="B265">
        <v>3243</v>
      </c>
      <c r="C265">
        <v>228</v>
      </c>
      <c r="D265" t="s">
        <v>19</v>
      </c>
      <c r="E265" t="s">
        <v>16</v>
      </c>
      <c r="F265" t="s">
        <v>21</v>
      </c>
      <c r="G265" t="s">
        <v>24</v>
      </c>
      <c r="H265">
        <v>275.39999999999998</v>
      </c>
      <c r="I265">
        <v>249.5</v>
      </c>
      <c r="J265">
        <v>93.4</v>
      </c>
      <c r="K265">
        <v>64</v>
      </c>
      <c r="L265">
        <v>28.4</v>
      </c>
      <c r="M265">
        <v>13</v>
      </c>
      <c r="N265">
        <v>9.1201949553620307E-2</v>
      </c>
      <c r="O265">
        <v>0.15370425860384801</v>
      </c>
      <c r="P265" t="str">
        <f t="shared" si="8"/>
        <v>T</v>
      </c>
      <c r="Q265" t="str">
        <f t="shared" si="9"/>
        <v>F</v>
      </c>
    </row>
    <row r="266" spans="1:17" hidden="1" x14ac:dyDescent="0.3">
      <c r="A266">
        <v>6181</v>
      </c>
      <c r="B266">
        <v>3245</v>
      </c>
      <c r="C266">
        <v>238</v>
      </c>
      <c r="D266" t="s">
        <v>19</v>
      </c>
      <c r="E266" t="s">
        <v>16</v>
      </c>
      <c r="F266" t="s">
        <v>17</v>
      </c>
      <c r="G266" t="s">
        <v>25</v>
      </c>
      <c r="H266">
        <v>273.3</v>
      </c>
      <c r="I266">
        <v>246</v>
      </c>
      <c r="J266">
        <v>92.6</v>
      </c>
      <c r="K266">
        <v>63.5</v>
      </c>
      <c r="L266">
        <v>25.5</v>
      </c>
      <c r="M266">
        <v>9.5</v>
      </c>
      <c r="N266">
        <v>9.6051599302174703E-2</v>
      </c>
      <c r="O266">
        <v>0.16476756100495199</v>
      </c>
      <c r="P266" t="str">
        <f t="shared" si="8"/>
        <v>F</v>
      </c>
      <c r="Q266" t="str">
        <f t="shared" si="9"/>
        <v>F</v>
      </c>
    </row>
    <row r="267" spans="1:17" hidden="1" x14ac:dyDescent="0.3">
      <c r="A267">
        <v>6182</v>
      </c>
      <c r="B267">
        <v>3245</v>
      </c>
      <c r="C267">
        <v>238</v>
      </c>
      <c r="D267" t="s">
        <v>19</v>
      </c>
      <c r="E267" t="s">
        <v>16</v>
      </c>
      <c r="F267" t="s">
        <v>17</v>
      </c>
      <c r="G267" t="s">
        <v>25</v>
      </c>
      <c r="H267">
        <v>273.3</v>
      </c>
      <c r="I267">
        <v>246</v>
      </c>
      <c r="J267">
        <v>92.6</v>
      </c>
      <c r="K267">
        <v>63.5</v>
      </c>
      <c r="L267">
        <v>25.5</v>
      </c>
      <c r="M267">
        <v>9.5</v>
      </c>
      <c r="N267">
        <v>0.124043400411934</v>
      </c>
      <c r="O267">
        <v>0.13535758419049901</v>
      </c>
      <c r="P267" t="str">
        <f t="shared" si="8"/>
        <v>F</v>
      </c>
      <c r="Q267" t="str">
        <f t="shared" si="9"/>
        <v>F</v>
      </c>
    </row>
    <row r="268" spans="1:17" hidden="1" x14ac:dyDescent="0.3">
      <c r="A268">
        <v>6183</v>
      </c>
      <c r="B268">
        <v>3245</v>
      </c>
      <c r="C268">
        <v>238</v>
      </c>
      <c r="D268" t="s">
        <v>19</v>
      </c>
      <c r="E268" t="s">
        <v>16</v>
      </c>
      <c r="F268" t="s">
        <v>17</v>
      </c>
      <c r="G268" t="s">
        <v>25</v>
      </c>
      <c r="H268">
        <v>273.3</v>
      </c>
      <c r="I268">
        <v>246</v>
      </c>
      <c r="J268">
        <v>92.6</v>
      </c>
      <c r="K268">
        <v>63.5</v>
      </c>
      <c r="L268">
        <v>25.5</v>
      </c>
      <c r="M268">
        <v>9.5</v>
      </c>
      <c r="N268">
        <v>8.5799273279329305E-2</v>
      </c>
      <c r="O268">
        <v>0.13985483937267901</v>
      </c>
      <c r="P268" t="str">
        <f t="shared" si="8"/>
        <v>T</v>
      </c>
      <c r="Q268" t="str">
        <f t="shared" si="9"/>
        <v>F</v>
      </c>
    </row>
    <row r="269" spans="1:17" hidden="1" x14ac:dyDescent="0.3">
      <c r="A269">
        <v>6184</v>
      </c>
      <c r="B269">
        <v>3245</v>
      </c>
      <c r="C269">
        <v>238</v>
      </c>
      <c r="D269" t="s">
        <v>19</v>
      </c>
      <c r="E269" t="s">
        <v>16</v>
      </c>
      <c r="F269" t="s">
        <v>17</v>
      </c>
      <c r="G269" t="s">
        <v>25</v>
      </c>
      <c r="H269">
        <v>273.3</v>
      </c>
      <c r="I269">
        <v>246</v>
      </c>
      <c r="J269">
        <v>92.6</v>
      </c>
      <c r="K269">
        <v>63.5</v>
      </c>
      <c r="L269">
        <v>25.5</v>
      </c>
      <c r="M269">
        <v>9.5</v>
      </c>
      <c r="N269">
        <v>0.116789191028279</v>
      </c>
      <c r="O269">
        <v>0.161142852680489</v>
      </c>
      <c r="P269" t="str">
        <f t="shared" si="8"/>
        <v>F</v>
      </c>
      <c r="Q269" t="str">
        <f t="shared" si="9"/>
        <v>F</v>
      </c>
    </row>
    <row r="270" spans="1:17" hidden="1" x14ac:dyDescent="0.3">
      <c r="A270">
        <v>6185</v>
      </c>
      <c r="B270">
        <v>3245</v>
      </c>
      <c r="C270">
        <v>238</v>
      </c>
      <c r="D270" t="s">
        <v>19</v>
      </c>
      <c r="E270" t="s">
        <v>16</v>
      </c>
      <c r="F270" t="s">
        <v>17</v>
      </c>
      <c r="G270" t="s">
        <v>25</v>
      </c>
      <c r="H270">
        <v>273.3</v>
      </c>
      <c r="I270">
        <v>246</v>
      </c>
      <c r="J270">
        <v>92.6</v>
      </c>
      <c r="K270">
        <v>63.5</v>
      </c>
      <c r="L270">
        <v>25.5</v>
      </c>
      <c r="M270">
        <v>9.5</v>
      </c>
      <c r="N270">
        <v>0.119119955822811</v>
      </c>
      <c r="O270">
        <v>0.16879308889293401</v>
      </c>
      <c r="P270" t="str">
        <f t="shared" si="8"/>
        <v>F</v>
      </c>
      <c r="Q270" t="str">
        <f t="shared" si="9"/>
        <v>F</v>
      </c>
    </row>
    <row r="271" spans="1:17" hidden="1" x14ac:dyDescent="0.3">
      <c r="A271">
        <v>6245</v>
      </c>
      <c r="B271">
        <v>3269</v>
      </c>
      <c r="C271">
        <v>12</v>
      </c>
      <c r="D271" t="s">
        <v>19</v>
      </c>
      <c r="E271" t="s">
        <v>16</v>
      </c>
      <c r="F271" t="s">
        <v>21</v>
      </c>
      <c r="G271" t="s">
        <v>24</v>
      </c>
      <c r="H271">
        <v>280.39999999999998</v>
      </c>
      <c r="I271">
        <v>260</v>
      </c>
      <c r="J271">
        <v>102.4</v>
      </c>
      <c r="K271">
        <v>69.5</v>
      </c>
      <c r="L271">
        <v>28.2</v>
      </c>
      <c r="M271">
        <v>9</v>
      </c>
      <c r="N271">
        <v>0.15174863541061001</v>
      </c>
      <c r="O271">
        <v>0.115217596740341</v>
      </c>
      <c r="P271" t="str">
        <f t="shared" si="8"/>
        <v>F</v>
      </c>
      <c r="Q271" t="str">
        <f t="shared" si="9"/>
        <v>F</v>
      </c>
    </row>
    <row r="272" spans="1:17" hidden="1" x14ac:dyDescent="0.3">
      <c r="A272">
        <v>6246</v>
      </c>
      <c r="B272">
        <v>3269</v>
      </c>
      <c r="C272">
        <v>12</v>
      </c>
      <c r="D272" t="s">
        <v>19</v>
      </c>
      <c r="E272" t="s">
        <v>16</v>
      </c>
      <c r="F272" t="s">
        <v>21</v>
      </c>
      <c r="G272" t="s">
        <v>24</v>
      </c>
      <c r="H272">
        <v>280.39999999999998</v>
      </c>
      <c r="I272">
        <v>260</v>
      </c>
      <c r="J272">
        <v>102.4</v>
      </c>
      <c r="K272">
        <v>69.5</v>
      </c>
      <c r="L272">
        <v>28.2</v>
      </c>
      <c r="M272">
        <v>9</v>
      </c>
      <c r="N272">
        <v>0.15669361520316399</v>
      </c>
      <c r="O272">
        <v>0.112839720541472</v>
      </c>
      <c r="P272" t="str">
        <f t="shared" si="8"/>
        <v>F</v>
      </c>
      <c r="Q272" t="str">
        <f t="shared" si="9"/>
        <v>F</v>
      </c>
    </row>
    <row r="273" spans="1:17" hidden="1" x14ac:dyDescent="0.3">
      <c r="A273">
        <v>6247</v>
      </c>
      <c r="B273">
        <v>3269</v>
      </c>
      <c r="C273">
        <v>12</v>
      </c>
      <c r="D273" t="s">
        <v>19</v>
      </c>
      <c r="E273" t="s">
        <v>16</v>
      </c>
      <c r="F273" t="s">
        <v>21</v>
      </c>
      <c r="G273" t="s">
        <v>24</v>
      </c>
      <c r="H273">
        <v>280.39999999999998</v>
      </c>
      <c r="I273">
        <v>260</v>
      </c>
      <c r="J273">
        <v>102.4</v>
      </c>
      <c r="K273">
        <v>69.5</v>
      </c>
      <c r="L273">
        <v>28.2</v>
      </c>
      <c r="M273">
        <v>9</v>
      </c>
      <c r="N273">
        <v>0.15809614097856201</v>
      </c>
      <c r="O273">
        <v>0.11844756733945799</v>
      </c>
      <c r="P273" t="str">
        <f t="shared" si="8"/>
        <v>F</v>
      </c>
      <c r="Q273" t="str">
        <f t="shared" si="9"/>
        <v>F</v>
      </c>
    </row>
    <row r="274" spans="1:17" hidden="1" x14ac:dyDescent="0.3">
      <c r="A274">
        <v>6248</v>
      </c>
      <c r="B274">
        <v>3269</v>
      </c>
      <c r="C274">
        <v>12</v>
      </c>
      <c r="D274" t="s">
        <v>19</v>
      </c>
      <c r="E274" t="s">
        <v>16</v>
      </c>
      <c r="F274" t="s">
        <v>21</v>
      </c>
      <c r="G274" t="s">
        <v>24</v>
      </c>
      <c r="H274">
        <v>280.39999999999998</v>
      </c>
      <c r="I274">
        <v>260</v>
      </c>
      <c r="J274">
        <v>102.4</v>
      </c>
      <c r="K274">
        <v>69.5</v>
      </c>
      <c r="L274">
        <v>28.2</v>
      </c>
      <c r="M274">
        <v>9</v>
      </c>
      <c r="N274">
        <v>0.15909307621373101</v>
      </c>
      <c r="O274">
        <v>0.128055477522803</v>
      </c>
      <c r="P274" t="str">
        <f t="shared" si="8"/>
        <v>F</v>
      </c>
      <c r="Q274" t="str">
        <f t="shared" si="9"/>
        <v>F</v>
      </c>
    </row>
    <row r="275" spans="1:17" hidden="1" x14ac:dyDescent="0.3">
      <c r="A275">
        <v>6249</v>
      </c>
      <c r="B275">
        <v>3269</v>
      </c>
      <c r="C275">
        <v>12</v>
      </c>
      <c r="D275" t="s">
        <v>19</v>
      </c>
      <c r="E275" t="s">
        <v>16</v>
      </c>
      <c r="F275" t="s">
        <v>21</v>
      </c>
      <c r="G275" t="s">
        <v>24</v>
      </c>
      <c r="H275">
        <v>280.39999999999998</v>
      </c>
      <c r="I275">
        <v>260</v>
      </c>
      <c r="J275">
        <v>102.4</v>
      </c>
      <c r="K275">
        <v>69.5</v>
      </c>
      <c r="L275">
        <v>28.2</v>
      </c>
      <c r="M275">
        <v>9</v>
      </c>
      <c r="N275">
        <v>0.13397526370104901</v>
      </c>
      <c r="O275">
        <v>0.11499396696764901</v>
      </c>
      <c r="P275" t="str">
        <f t="shared" si="8"/>
        <v>F</v>
      </c>
      <c r="Q275" t="str">
        <f t="shared" si="9"/>
        <v>F</v>
      </c>
    </row>
    <row r="276" spans="1:17" hidden="1" x14ac:dyDescent="0.3">
      <c r="A276">
        <v>6250</v>
      </c>
      <c r="B276">
        <v>3269</v>
      </c>
      <c r="C276">
        <v>12</v>
      </c>
      <c r="D276" t="s">
        <v>19</v>
      </c>
      <c r="E276" t="s">
        <v>16</v>
      </c>
      <c r="F276" t="s">
        <v>21</v>
      </c>
      <c r="G276" t="s">
        <v>24</v>
      </c>
      <c r="H276">
        <v>280.39999999999998</v>
      </c>
      <c r="I276">
        <v>260</v>
      </c>
      <c r="J276">
        <v>102.4</v>
      </c>
      <c r="K276">
        <v>69.5</v>
      </c>
      <c r="L276">
        <v>28.2</v>
      </c>
      <c r="M276">
        <v>9</v>
      </c>
      <c r="N276">
        <v>0.161745527638436</v>
      </c>
      <c r="O276">
        <v>0.10571126118168001</v>
      </c>
      <c r="P276" t="str">
        <f t="shared" si="8"/>
        <v>F</v>
      </c>
      <c r="Q276" t="str">
        <f t="shared" si="9"/>
        <v>F</v>
      </c>
    </row>
    <row r="277" spans="1:17" hidden="1" x14ac:dyDescent="0.3">
      <c r="A277">
        <v>6308</v>
      </c>
      <c r="B277">
        <v>3290</v>
      </c>
      <c r="C277">
        <v>238</v>
      </c>
      <c r="D277" t="s">
        <v>19</v>
      </c>
      <c r="E277" t="s">
        <v>16</v>
      </c>
      <c r="F277" t="s">
        <v>21</v>
      </c>
      <c r="G277" t="s">
        <v>22</v>
      </c>
      <c r="H277">
        <v>273.3</v>
      </c>
      <c r="I277">
        <v>246</v>
      </c>
      <c r="J277">
        <v>92.6</v>
      </c>
      <c r="K277">
        <v>63.5</v>
      </c>
      <c r="L277">
        <v>25.5</v>
      </c>
      <c r="M277">
        <v>9.5</v>
      </c>
      <c r="N277">
        <v>9.5630005083771896E-2</v>
      </c>
      <c r="O277">
        <v>0.179342823972749</v>
      </c>
      <c r="P277" t="str">
        <f t="shared" si="8"/>
        <v>T</v>
      </c>
      <c r="Q277" t="str">
        <f t="shared" si="9"/>
        <v>F</v>
      </c>
    </row>
    <row r="278" spans="1:17" hidden="1" x14ac:dyDescent="0.3">
      <c r="A278">
        <v>6309</v>
      </c>
      <c r="B278">
        <v>3290</v>
      </c>
      <c r="C278">
        <v>238</v>
      </c>
      <c r="D278" t="s">
        <v>19</v>
      </c>
      <c r="E278" t="s">
        <v>16</v>
      </c>
      <c r="F278" t="s">
        <v>21</v>
      </c>
      <c r="G278" t="s">
        <v>22</v>
      </c>
      <c r="H278">
        <v>273.3</v>
      </c>
      <c r="I278">
        <v>246</v>
      </c>
      <c r="J278">
        <v>92.6</v>
      </c>
      <c r="K278">
        <v>63.5</v>
      </c>
      <c r="L278">
        <v>25.5</v>
      </c>
      <c r="M278">
        <v>9.5</v>
      </c>
      <c r="N278">
        <v>0.114258190678156</v>
      </c>
      <c r="O278">
        <v>0.16997675222265199</v>
      </c>
      <c r="P278" t="str">
        <f t="shared" si="8"/>
        <v>F</v>
      </c>
      <c r="Q278" t="str">
        <f t="shared" si="9"/>
        <v>F</v>
      </c>
    </row>
    <row r="279" spans="1:17" hidden="1" x14ac:dyDescent="0.3">
      <c r="A279">
        <v>6310</v>
      </c>
      <c r="B279">
        <v>3290</v>
      </c>
      <c r="C279">
        <v>238</v>
      </c>
      <c r="D279" t="s">
        <v>19</v>
      </c>
      <c r="E279" t="s">
        <v>16</v>
      </c>
      <c r="F279" t="s">
        <v>21</v>
      </c>
      <c r="G279" t="s">
        <v>22</v>
      </c>
      <c r="H279">
        <v>273.3</v>
      </c>
      <c r="I279">
        <v>246</v>
      </c>
      <c r="J279">
        <v>92.6</v>
      </c>
      <c r="K279">
        <v>63.5</v>
      </c>
      <c r="L279">
        <v>25.5</v>
      </c>
      <c r="M279">
        <v>9.5</v>
      </c>
      <c r="N279">
        <v>0.10899790833080999</v>
      </c>
      <c r="O279">
        <v>0.144785781854887</v>
      </c>
      <c r="P279" t="str">
        <f t="shared" si="8"/>
        <v>F</v>
      </c>
      <c r="Q279" t="str">
        <f t="shared" si="9"/>
        <v>F</v>
      </c>
    </row>
    <row r="280" spans="1:17" hidden="1" x14ac:dyDescent="0.3">
      <c r="A280">
        <v>6311</v>
      </c>
      <c r="B280">
        <v>3290</v>
      </c>
      <c r="C280">
        <v>238</v>
      </c>
      <c r="D280" t="s">
        <v>19</v>
      </c>
      <c r="E280" t="s">
        <v>16</v>
      </c>
      <c r="F280" t="s">
        <v>21</v>
      </c>
      <c r="G280" t="s">
        <v>22</v>
      </c>
      <c r="H280">
        <v>273.3</v>
      </c>
      <c r="I280">
        <v>246</v>
      </c>
      <c r="J280">
        <v>92.6</v>
      </c>
      <c r="K280">
        <v>63.5</v>
      </c>
      <c r="L280">
        <v>25.5</v>
      </c>
      <c r="M280">
        <v>9.5</v>
      </c>
      <c r="N280">
        <v>9.51210431756499E-2</v>
      </c>
      <c r="O280">
        <v>0.15590083919088399</v>
      </c>
      <c r="P280" t="str">
        <f t="shared" si="8"/>
        <v>T</v>
      </c>
      <c r="Q280" t="str">
        <f t="shared" si="9"/>
        <v>F</v>
      </c>
    </row>
    <row r="281" spans="1:17" hidden="1" x14ac:dyDescent="0.3">
      <c r="A281">
        <v>6324</v>
      </c>
      <c r="B281">
        <v>3296</v>
      </c>
      <c r="C281">
        <v>344</v>
      </c>
      <c r="D281" t="s">
        <v>19</v>
      </c>
      <c r="E281" t="s">
        <v>16</v>
      </c>
      <c r="F281" t="s">
        <v>17</v>
      </c>
      <c r="G281" t="s">
        <v>22</v>
      </c>
      <c r="H281">
        <v>266.7</v>
      </c>
      <c r="I281">
        <v>231.5</v>
      </c>
      <c r="J281">
        <v>87.8</v>
      </c>
      <c r="K281">
        <v>64.5</v>
      </c>
      <c r="L281">
        <v>22.5</v>
      </c>
      <c r="M281">
        <v>9</v>
      </c>
      <c r="N281">
        <v>0.217652798564759</v>
      </c>
      <c r="O281">
        <v>0.176860244050842</v>
      </c>
      <c r="P281" t="str">
        <f t="shared" si="8"/>
        <v>F</v>
      </c>
      <c r="Q281" t="str">
        <f t="shared" si="9"/>
        <v>F</v>
      </c>
    </row>
    <row r="282" spans="1:17" hidden="1" x14ac:dyDescent="0.3">
      <c r="A282">
        <v>6402</v>
      </c>
      <c r="B282">
        <v>3325</v>
      </c>
      <c r="C282">
        <v>417</v>
      </c>
      <c r="D282" t="s">
        <v>19</v>
      </c>
      <c r="E282" t="s">
        <v>16</v>
      </c>
      <c r="F282" t="s">
        <v>17</v>
      </c>
      <c r="G282" t="s">
        <v>24</v>
      </c>
      <c r="H282">
        <v>268.60000000000002</v>
      </c>
      <c r="I282">
        <v>234.5</v>
      </c>
      <c r="J282">
        <v>92.8</v>
      </c>
      <c r="K282">
        <v>64</v>
      </c>
      <c r="L282">
        <v>24.3</v>
      </c>
      <c r="M282">
        <v>5</v>
      </c>
      <c r="N282">
        <v>0.221380125030673</v>
      </c>
      <c r="O282">
        <v>0.13814628677662899</v>
      </c>
      <c r="P282" t="str">
        <f t="shared" si="8"/>
        <v>F</v>
      </c>
      <c r="Q282" t="str">
        <f t="shared" si="9"/>
        <v>F</v>
      </c>
    </row>
    <row r="283" spans="1:17" hidden="1" x14ac:dyDescent="0.3">
      <c r="A283">
        <v>6403</v>
      </c>
      <c r="B283">
        <v>3325</v>
      </c>
      <c r="C283">
        <v>417</v>
      </c>
      <c r="D283" t="s">
        <v>19</v>
      </c>
      <c r="E283" t="s">
        <v>16</v>
      </c>
      <c r="F283" t="s">
        <v>17</v>
      </c>
      <c r="G283" t="s">
        <v>24</v>
      </c>
      <c r="H283">
        <v>268.60000000000002</v>
      </c>
      <c r="I283">
        <v>234.5</v>
      </c>
      <c r="J283">
        <v>92.8</v>
      </c>
      <c r="K283">
        <v>64</v>
      </c>
      <c r="L283">
        <v>24.3</v>
      </c>
      <c r="M283">
        <v>5</v>
      </c>
      <c r="N283">
        <v>0.19293878587143201</v>
      </c>
      <c r="O283">
        <v>0.15316788386750699</v>
      </c>
      <c r="P283" t="str">
        <f t="shared" si="8"/>
        <v>F</v>
      </c>
      <c r="Q283" t="str">
        <f t="shared" si="9"/>
        <v>F</v>
      </c>
    </row>
    <row r="284" spans="1:17" hidden="1" x14ac:dyDescent="0.3">
      <c r="A284">
        <v>6404</v>
      </c>
      <c r="B284">
        <v>3325</v>
      </c>
      <c r="C284">
        <v>417</v>
      </c>
      <c r="D284" t="s">
        <v>19</v>
      </c>
      <c r="E284" t="s">
        <v>16</v>
      </c>
      <c r="F284" t="s">
        <v>17</v>
      </c>
      <c r="G284" t="s">
        <v>24</v>
      </c>
      <c r="H284">
        <v>268.60000000000002</v>
      </c>
      <c r="I284">
        <v>234.5</v>
      </c>
      <c r="J284">
        <v>92.8</v>
      </c>
      <c r="K284">
        <v>64</v>
      </c>
      <c r="L284">
        <v>24.3</v>
      </c>
      <c r="M284">
        <v>5</v>
      </c>
      <c r="N284">
        <v>0.20671148196146499</v>
      </c>
      <c r="O284">
        <v>0.16325008732560201</v>
      </c>
      <c r="P284" t="str">
        <f t="shared" si="8"/>
        <v>F</v>
      </c>
      <c r="Q284" t="str">
        <f t="shared" si="9"/>
        <v>F</v>
      </c>
    </row>
    <row r="285" spans="1:17" hidden="1" x14ac:dyDescent="0.3">
      <c r="A285">
        <v>6405</v>
      </c>
      <c r="B285">
        <v>3325</v>
      </c>
      <c r="C285">
        <v>417</v>
      </c>
      <c r="D285" t="s">
        <v>19</v>
      </c>
      <c r="E285" t="s">
        <v>16</v>
      </c>
      <c r="F285" t="s">
        <v>17</v>
      </c>
      <c r="G285" t="s">
        <v>24</v>
      </c>
      <c r="H285">
        <v>268.60000000000002</v>
      </c>
      <c r="I285">
        <v>234.5</v>
      </c>
      <c r="J285">
        <v>92.8</v>
      </c>
      <c r="K285">
        <v>64</v>
      </c>
      <c r="L285">
        <v>24.3</v>
      </c>
      <c r="M285">
        <v>5</v>
      </c>
      <c r="N285">
        <v>0.21550661626839601</v>
      </c>
      <c r="O285">
        <v>0.15437946502057201</v>
      </c>
      <c r="P285" t="str">
        <f t="shared" si="8"/>
        <v>F</v>
      </c>
      <c r="Q285" t="str">
        <f t="shared" si="9"/>
        <v>F</v>
      </c>
    </row>
    <row r="286" spans="1:17" hidden="1" x14ac:dyDescent="0.3">
      <c r="A286">
        <v>6406</v>
      </c>
      <c r="B286">
        <v>3325</v>
      </c>
      <c r="C286">
        <v>417</v>
      </c>
      <c r="D286" t="s">
        <v>19</v>
      </c>
      <c r="E286" t="s">
        <v>16</v>
      </c>
      <c r="F286" t="s">
        <v>17</v>
      </c>
      <c r="G286" t="s">
        <v>24</v>
      </c>
      <c r="H286">
        <v>268.60000000000002</v>
      </c>
      <c r="I286">
        <v>234.5</v>
      </c>
      <c r="J286">
        <v>92.8</v>
      </c>
      <c r="K286">
        <v>64</v>
      </c>
      <c r="L286">
        <v>24.3</v>
      </c>
      <c r="M286">
        <v>5</v>
      </c>
      <c r="N286">
        <v>0.22387110648109099</v>
      </c>
      <c r="O286">
        <v>0.138962818629636</v>
      </c>
      <c r="P286" t="str">
        <f t="shared" si="8"/>
        <v>F</v>
      </c>
      <c r="Q286" t="str">
        <f t="shared" si="9"/>
        <v>F</v>
      </c>
    </row>
    <row r="287" spans="1:17" hidden="1" x14ac:dyDescent="0.3">
      <c r="A287">
        <v>6407</v>
      </c>
      <c r="B287">
        <v>3325</v>
      </c>
      <c r="C287">
        <v>417</v>
      </c>
      <c r="D287" t="s">
        <v>19</v>
      </c>
      <c r="E287" t="s">
        <v>16</v>
      </c>
      <c r="F287" t="s">
        <v>17</v>
      </c>
      <c r="G287" t="s">
        <v>24</v>
      </c>
      <c r="H287">
        <v>268.60000000000002</v>
      </c>
      <c r="I287">
        <v>234.5</v>
      </c>
      <c r="J287">
        <v>92.8</v>
      </c>
      <c r="K287">
        <v>64</v>
      </c>
      <c r="L287">
        <v>24.3</v>
      </c>
      <c r="M287">
        <v>5</v>
      </c>
      <c r="N287">
        <v>0.223529790837634</v>
      </c>
      <c r="O287">
        <v>0.14962918143124401</v>
      </c>
      <c r="P287" t="str">
        <f t="shared" si="8"/>
        <v>F</v>
      </c>
      <c r="Q287" t="str">
        <f t="shared" si="9"/>
        <v>F</v>
      </c>
    </row>
    <row r="288" spans="1:17" hidden="1" x14ac:dyDescent="0.3">
      <c r="A288">
        <v>6458</v>
      </c>
      <c r="B288">
        <v>3342</v>
      </c>
      <c r="C288">
        <v>368</v>
      </c>
      <c r="D288" t="s">
        <v>19</v>
      </c>
      <c r="E288" t="s">
        <v>16</v>
      </c>
      <c r="F288" t="s">
        <v>21</v>
      </c>
      <c r="G288" t="s">
        <v>26</v>
      </c>
      <c r="H288">
        <v>273.3</v>
      </c>
      <c r="I288">
        <v>249</v>
      </c>
      <c r="J288">
        <v>98.9</v>
      </c>
      <c r="K288">
        <v>68.5</v>
      </c>
      <c r="L288">
        <v>23.8</v>
      </c>
      <c r="M288">
        <v>9</v>
      </c>
      <c r="N288">
        <v>0.13333582015860901</v>
      </c>
      <c r="O288">
        <v>4.4732241698665097E-2</v>
      </c>
      <c r="P288" t="str">
        <f t="shared" si="8"/>
        <v>F</v>
      </c>
      <c r="Q288" t="str">
        <f t="shared" si="9"/>
        <v>T</v>
      </c>
    </row>
    <row r="289" spans="1:17" hidden="1" x14ac:dyDescent="0.3">
      <c r="A289">
        <v>6459</v>
      </c>
      <c r="B289">
        <v>3342</v>
      </c>
      <c r="C289">
        <v>368</v>
      </c>
      <c r="D289" t="s">
        <v>19</v>
      </c>
      <c r="E289" t="s">
        <v>16</v>
      </c>
      <c r="F289" t="s">
        <v>21</v>
      </c>
      <c r="G289" t="s">
        <v>26</v>
      </c>
      <c r="H289">
        <v>273.3</v>
      </c>
      <c r="I289">
        <v>249</v>
      </c>
      <c r="J289">
        <v>98.9</v>
      </c>
      <c r="K289">
        <v>68.5</v>
      </c>
      <c r="L289">
        <v>23.8</v>
      </c>
      <c r="M289">
        <v>9</v>
      </c>
      <c r="N289">
        <v>0.131597139862632</v>
      </c>
      <c r="O289">
        <v>5.7762905807680197E-2</v>
      </c>
      <c r="P289" t="str">
        <f t="shared" si="8"/>
        <v>F</v>
      </c>
      <c r="Q289" t="str">
        <f t="shared" si="9"/>
        <v>T</v>
      </c>
    </row>
    <row r="290" spans="1:17" hidden="1" x14ac:dyDescent="0.3">
      <c r="A290">
        <v>6460</v>
      </c>
      <c r="B290">
        <v>3342</v>
      </c>
      <c r="C290">
        <v>368</v>
      </c>
      <c r="D290" t="s">
        <v>19</v>
      </c>
      <c r="E290" t="s">
        <v>16</v>
      </c>
      <c r="F290" t="s">
        <v>21</v>
      </c>
      <c r="G290" t="s">
        <v>26</v>
      </c>
      <c r="H290">
        <v>273.3</v>
      </c>
      <c r="I290">
        <v>249</v>
      </c>
      <c r="J290">
        <v>98.9</v>
      </c>
      <c r="K290">
        <v>68.5</v>
      </c>
      <c r="L290">
        <v>23.8</v>
      </c>
      <c r="M290">
        <v>9</v>
      </c>
      <c r="N290">
        <v>0.12129851833427401</v>
      </c>
      <c r="O290">
        <v>5.6522856578743001E-2</v>
      </c>
      <c r="P290" t="str">
        <f t="shared" si="8"/>
        <v>F</v>
      </c>
      <c r="Q290" t="str">
        <f t="shared" si="9"/>
        <v>T</v>
      </c>
    </row>
    <row r="291" spans="1:17" hidden="1" x14ac:dyDescent="0.3">
      <c r="A291">
        <v>6472</v>
      </c>
      <c r="B291">
        <v>3347</v>
      </c>
      <c r="C291">
        <v>388</v>
      </c>
      <c r="D291" t="s">
        <v>19</v>
      </c>
      <c r="E291" t="s">
        <v>16</v>
      </c>
      <c r="F291" t="s">
        <v>17</v>
      </c>
      <c r="G291" t="s">
        <v>22</v>
      </c>
      <c r="H291">
        <v>277.10000000000002</v>
      </c>
      <c r="I291">
        <v>244.5</v>
      </c>
      <c r="J291">
        <v>91.9</v>
      </c>
      <c r="K291">
        <v>62.5</v>
      </c>
      <c r="L291">
        <v>25.9</v>
      </c>
      <c r="M291">
        <v>7</v>
      </c>
      <c r="N291">
        <v>7.9228794049103393E-2</v>
      </c>
      <c r="O291">
        <v>8.6127380899411202E-2</v>
      </c>
      <c r="P291" t="str">
        <f t="shared" si="8"/>
        <v>T</v>
      </c>
      <c r="Q291" t="str">
        <f t="shared" si="9"/>
        <v>F</v>
      </c>
    </row>
    <row r="292" spans="1:17" hidden="1" x14ac:dyDescent="0.3">
      <c r="A292">
        <v>6473</v>
      </c>
      <c r="B292">
        <v>3347</v>
      </c>
      <c r="C292">
        <v>388</v>
      </c>
      <c r="D292" t="s">
        <v>19</v>
      </c>
      <c r="E292" t="s">
        <v>16</v>
      </c>
      <c r="F292" t="s">
        <v>17</v>
      </c>
      <c r="G292" t="s">
        <v>22</v>
      </c>
      <c r="H292">
        <v>277.10000000000002</v>
      </c>
      <c r="I292">
        <v>244.5</v>
      </c>
      <c r="J292">
        <v>91.9</v>
      </c>
      <c r="K292">
        <v>62.5</v>
      </c>
      <c r="L292">
        <v>25.9</v>
      </c>
      <c r="M292">
        <v>7</v>
      </c>
      <c r="N292">
        <v>0.10968255268329299</v>
      </c>
      <c r="O292">
        <v>7.7635369902835094E-2</v>
      </c>
      <c r="P292" t="str">
        <f t="shared" si="8"/>
        <v>F</v>
      </c>
      <c r="Q292" t="str">
        <f t="shared" si="9"/>
        <v>F</v>
      </c>
    </row>
    <row r="293" spans="1:17" hidden="1" x14ac:dyDescent="0.3">
      <c r="A293">
        <v>6474</v>
      </c>
      <c r="B293">
        <v>3347</v>
      </c>
      <c r="C293">
        <v>388</v>
      </c>
      <c r="D293" t="s">
        <v>19</v>
      </c>
      <c r="E293" t="s">
        <v>16</v>
      </c>
      <c r="F293" t="s">
        <v>17</v>
      </c>
      <c r="G293" t="s">
        <v>22</v>
      </c>
      <c r="H293">
        <v>277.10000000000002</v>
      </c>
      <c r="I293">
        <v>244.5</v>
      </c>
      <c r="J293">
        <v>91.9</v>
      </c>
      <c r="K293">
        <v>62.5</v>
      </c>
      <c r="L293">
        <v>25.9</v>
      </c>
      <c r="M293">
        <v>7</v>
      </c>
      <c r="N293">
        <v>9.1749900745434598E-2</v>
      </c>
      <c r="O293">
        <v>6.4711168685016404E-2</v>
      </c>
      <c r="P293" t="str">
        <f t="shared" si="8"/>
        <v>T</v>
      </c>
      <c r="Q293" t="str">
        <f t="shared" si="9"/>
        <v>F</v>
      </c>
    </row>
    <row r="294" spans="1:17" hidden="1" x14ac:dyDescent="0.3">
      <c r="A294">
        <v>6490</v>
      </c>
      <c r="B294">
        <v>3357</v>
      </c>
      <c r="C294">
        <v>405</v>
      </c>
      <c r="D294" t="s">
        <v>19</v>
      </c>
      <c r="E294" t="s">
        <v>16</v>
      </c>
      <c r="F294" t="s">
        <v>21</v>
      </c>
      <c r="G294" t="s">
        <v>26</v>
      </c>
      <c r="H294">
        <v>277.60000000000002</v>
      </c>
      <c r="I294">
        <v>250</v>
      </c>
      <c r="J294">
        <v>93.4</v>
      </c>
      <c r="K294">
        <v>67.5</v>
      </c>
      <c r="L294">
        <v>29.4</v>
      </c>
      <c r="M294">
        <v>6</v>
      </c>
      <c r="N294">
        <v>0.29078982074026799</v>
      </c>
      <c r="O294">
        <v>7.1175412632447005E-2</v>
      </c>
      <c r="P294" t="str">
        <f t="shared" si="8"/>
        <v>F</v>
      </c>
      <c r="Q294" t="str">
        <f t="shared" si="9"/>
        <v>F</v>
      </c>
    </row>
    <row r="295" spans="1:17" hidden="1" x14ac:dyDescent="0.3">
      <c r="A295">
        <v>6491</v>
      </c>
      <c r="B295">
        <v>3357</v>
      </c>
      <c r="C295">
        <v>405</v>
      </c>
      <c r="D295" t="s">
        <v>19</v>
      </c>
      <c r="E295" t="s">
        <v>16</v>
      </c>
      <c r="F295" t="s">
        <v>21</v>
      </c>
      <c r="G295" t="s">
        <v>26</v>
      </c>
      <c r="H295">
        <v>277.60000000000002</v>
      </c>
      <c r="I295">
        <v>250</v>
      </c>
      <c r="J295">
        <v>93.4</v>
      </c>
      <c r="K295">
        <v>67.5</v>
      </c>
      <c r="L295">
        <v>29.4</v>
      </c>
      <c r="M295">
        <v>6</v>
      </c>
      <c r="N295">
        <v>0.317526875196605</v>
      </c>
      <c r="O295">
        <v>7.9795465166149104E-2</v>
      </c>
      <c r="P295" t="str">
        <f t="shared" si="8"/>
        <v>F</v>
      </c>
      <c r="Q295" t="str">
        <f t="shared" si="9"/>
        <v>F</v>
      </c>
    </row>
    <row r="296" spans="1:17" hidden="1" x14ac:dyDescent="0.3">
      <c r="A296">
        <v>6511</v>
      </c>
      <c r="B296">
        <v>3364</v>
      </c>
      <c r="C296">
        <v>228</v>
      </c>
      <c r="D296" t="s">
        <v>19</v>
      </c>
      <c r="E296" t="s">
        <v>16</v>
      </c>
      <c r="F296" t="s">
        <v>17</v>
      </c>
      <c r="G296" t="s">
        <v>24</v>
      </c>
      <c r="H296">
        <v>275.39999999999998</v>
      </c>
      <c r="I296">
        <v>249.5</v>
      </c>
      <c r="J296">
        <v>93.4</v>
      </c>
      <c r="K296">
        <v>64</v>
      </c>
      <c r="L296">
        <v>28.4</v>
      </c>
      <c r="M296">
        <v>13</v>
      </c>
      <c r="N296">
        <v>9.7810470414690306E-2</v>
      </c>
      <c r="O296">
        <v>0.142385468781555</v>
      </c>
      <c r="P296" t="str">
        <f t="shared" si="8"/>
        <v>F</v>
      </c>
      <c r="Q296" t="str">
        <f t="shared" si="9"/>
        <v>F</v>
      </c>
    </row>
    <row r="297" spans="1:17" hidden="1" x14ac:dyDescent="0.3">
      <c r="A297">
        <v>6512</v>
      </c>
      <c r="B297">
        <v>3364</v>
      </c>
      <c r="C297">
        <v>228</v>
      </c>
      <c r="D297" t="s">
        <v>19</v>
      </c>
      <c r="E297" t="s">
        <v>16</v>
      </c>
      <c r="F297" t="s">
        <v>17</v>
      </c>
      <c r="G297" t="s">
        <v>24</v>
      </c>
      <c r="H297">
        <v>275.39999999999998</v>
      </c>
      <c r="I297">
        <v>249.5</v>
      </c>
      <c r="J297">
        <v>93.4</v>
      </c>
      <c r="K297">
        <v>64</v>
      </c>
      <c r="L297">
        <v>28.4</v>
      </c>
      <c r="M297">
        <v>13</v>
      </c>
      <c r="N297">
        <v>7.9398215850218806E-2</v>
      </c>
      <c r="O297">
        <v>0.13737816514165199</v>
      </c>
      <c r="P297" t="str">
        <f t="shared" si="8"/>
        <v>T</v>
      </c>
      <c r="Q297" t="str">
        <f t="shared" si="9"/>
        <v>F</v>
      </c>
    </row>
    <row r="298" spans="1:17" hidden="1" x14ac:dyDescent="0.3">
      <c r="A298">
        <v>6513</v>
      </c>
      <c r="B298">
        <v>3364</v>
      </c>
      <c r="C298">
        <v>228</v>
      </c>
      <c r="D298" t="s">
        <v>19</v>
      </c>
      <c r="E298" t="s">
        <v>16</v>
      </c>
      <c r="F298" t="s">
        <v>17</v>
      </c>
      <c r="G298" t="s">
        <v>24</v>
      </c>
      <c r="H298">
        <v>275.39999999999998</v>
      </c>
      <c r="I298">
        <v>249.5</v>
      </c>
      <c r="J298">
        <v>93.4</v>
      </c>
      <c r="K298">
        <v>64</v>
      </c>
      <c r="L298">
        <v>28.4</v>
      </c>
      <c r="M298">
        <v>13</v>
      </c>
      <c r="N298">
        <v>7.8405246194373196E-2</v>
      </c>
      <c r="O298">
        <v>0.14353480924390399</v>
      </c>
      <c r="P298" t="str">
        <f t="shared" si="8"/>
        <v>T</v>
      </c>
      <c r="Q298" t="str">
        <f t="shared" si="9"/>
        <v>F</v>
      </c>
    </row>
    <row r="299" spans="1:17" hidden="1" x14ac:dyDescent="0.3">
      <c r="A299">
        <v>6585</v>
      </c>
      <c r="B299">
        <v>3395</v>
      </c>
      <c r="C299">
        <v>387</v>
      </c>
      <c r="D299" t="s">
        <v>19</v>
      </c>
      <c r="E299" t="s">
        <v>16</v>
      </c>
      <c r="F299" t="s">
        <v>21</v>
      </c>
      <c r="G299" t="s">
        <v>24</v>
      </c>
      <c r="H299">
        <v>275.2</v>
      </c>
      <c r="I299">
        <v>249.5</v>
      </c>
      <c r="J299">
        <v>96.8</v>
      </c>
      <c r="K299">
        <v>66</v>
      </c>
      <c r="L299">
        <v>25.3</v>
      </c>
      <c r="M299">
        <v>8.5</v>
      </c>
      <c r="N299">
        <v>9.9518547534895793E-2</v>
      </c>
      <c r="O299">
        <v>8.0942350494680695E-2</v>
      </c>
      <c r="P299" t="str">
        <f t="shared" si="8"/>
        <v>F</v>
      </c>
      <c r="Q299" t="str">
        <f t="shared" si="9"/>
        <v>F</v>
      </c>
    </row>
    <row r="300" spans="1:17" hidden="1" x14ac:dyDescent="0.3">
      <c r="A300">
        <v>6599</v>
      </c>
      <c r="B300">
        <v>34</v>
      </c>
      <c r="C300">
        <v>228</v>
      </c>
      <c r="D300" t="s">
        <v>19</v>
      </c>
      <c r="E300" t="s">
        <v>16</v>
      </c>
      <c r="F300" t="s">
        <v>21</v>
      </c>
      <c r="G300" t="s">
        <v>26</v>
      </c>
      <c r="H300">
        <v>275.39999999999998</v>
      </c>
      <c r="I300">
        <v>249.5</v>
      </c>
      <c r="J300">
        <v>93.4</v>
      </c>
      <c r="K300">
        <v>64</v>
      </c>
      <c r="L300">
        <v>28.4</v>
      </c>
      <c r="M300">
        <v>13</v>
      </c>
      <c r="N300">
        <v>0.107713079779285</v>
      </c>
      <c r="O300">
        <v>0.13598311139902799</v>
      </c>
      <c r="P300" t="str">
        <f t="shared" si="8"/>
        <v>F</v>
      </c>
      <c r="Q300" t="str">
        <f t="shared" si="9"/>
        <v>F</v>
      </c>
    </row>
    <row r="301" spans="1:17" hidden="1" x14ac:dyDescent="0.3">
      <c r="A301">
        <v>6600</v>
      </c>
      <c r="B301">
        <v>34</v>
      </c>
      <c r="C301">
        <v>228</v>
      </c>
      <c r="D301" t="s">
        <v>19</v>
      </c>
      <c r="E301" t="s">
        <v>16</v>
      </c>
      <c r="F301" t="s">
        <v>21</v>
      </c>
      <c r="G301" t="s">
        <v>26</v>
      </c>
      <c r="H301">
        <v>275.39999999999998</v>
      </c>
      <c r="I301">
        <v>249.5</v>
      </c>
      <c r="J301">
        <v>93.4</v>
      </c>
      <c r="K301">
        <v>64</v>
      </c>
      <c r="L301">
        <v>28.4</v>
      </c>
      <c r="M301">
        <v>13</v>
      </c>
      <c r="N301">
        <v>0.110269661483002</v>
      </c>
      <c r="O301">
        <v>0.15457956452878399</v>
      </c>
      <c r="P301" t="str">
        <f t="shared" si="8"/>
        <v>F</v>
      </c>
      <c r="Q301" t="str">
        <f t="shared" si="9"/>
        <v>F</v>
      </c>
    </row>
    <row r="302" spans="1:17" hidden="1" x14ac:dyDescent="0.3">
      <c r="A302">
        <v>6601</v>
      </c>
      <c r="B302">
        <v>34</v>
      </c>
      <c r="C302">
        <v>228</v>
      </c>
      <c r="D302" t="s">
        <v>19</v>
      </c>
      <c r="E302" t="s">
        <v>16</v>
      </c>
      <c r="F302" t="s">
        <v>21</v>
      </c>
      <c r="G302" t="s">
        <v>26</v>
      </c>
      <c r="H302">
        <v>275.39999999999998</v>
      </c>
      <c r="I302">
        <v>249.5</v>
      </c>
      <c r="J302">
        <v>93.4</v>
      </c>
      <c r="K302">
        <v>64</v>
      </c>
      <c r="L302">
        <v>28.4</v>
      </c>
      <c r="M302">
        <v>13</v>
      </c>
      <c r="N302">
        <v>7.6575889702370906E-2</v>
      </c>
      <c r="O302">
        <v>0.13883557873966301</v>
      </c>
      <c r="P302" t="str">
        <f t="shared" si="8"/>
        <v>T</v>
      </c>
      <c r="Q302" t="str">
        <f t="shared" si="9"/>
        <v>F</v>
      </c>
    </row>
    <row r="303" spans="1:17" hidden="1" x14ac:dyDescent="0.3">
      <c r="A303">
        <v>6810</v>
      </c>
      <c r="B303">
        <v>3473</v>
      </c>
      <c r="C303">
        <v>12</v>
      </c>
      <c r="D303" t="s">
        <v>19</v>
      </c>
      <c r="E303" t="s">
        <v>16</v>
      </c>
      <c r="F303" t="s">
        <v>21</v>
      </c>
      <c r="G303" t="s">
        <v>22</v>
      </c>
      <c r="H303">
        <v>280.39999999999998</v>
      </c>
      <c r="I303">
        <v>260</v>
      </c>
      <c r="J303">
        <v>102.4</v>
      </c>
      <c r="K303">
        <v>69.5</v>
      </c>
      <c r="L303">
        <v>28.2</v>
      </c>
      <c r="M303">
        <v>9</v>
      </c>
      <c r="N303">
        <v>0.16518120718909701</v>
      </c>
      <c r="O303">
        <v>0.112428496637517</v>
      </c>
      <c r="P303" t="str">
        <f t="shared" si="8"/>
        <v>F</v>
      </c>
      <c r="Q303" t="str">
        <f t="shared" si="9"/>
        <v>F</v>
      </c>
    </row>
    <row r="304" spans="1:17" hidden="1" x14ac:dyDescent="0.3">
      <c r="A304">
        <v>6811</v>
      </c>
      <c r="B304">
        <v>3473</v>
      </c>
      <c r="C304">
        <v>12</v>
      </c>
      <c r="D304" t="s">
        <v>19</v>
      </c>
      <c r="E304" t="s">
        <v>16</v>
      </c>
      <c r="F304" t="s">
        <v>21</v>
      </c>
      <c r="G304" t="s">
        <v>22</v>
      </c>
      <c r="H304">
        <v>280.39999999999998</v>
      </c>
      <c r="I304">
        <v>260</v>
      </c>
      <c r="J304">
        <v>102.4</v>
      </c>
      <c r="K304">
        <v>69.5</v>
      </c>
      <c r="L304">
        <v>28.2</v>
      </c>
      <c r="M304">
        <v>9</v>
      </c>
      <c r="N304">
        <v>0.16977263527078201</v>
      </c>
      <c r="O304">
        <v>0.12917344816428</v>
      </c>
      <c r="P304" t="str">
        <f t="shared" si="8"/>
        <v>F</v>
      </c>
      <c r="Q304" t="str">
        <f t="shared" si="9"/>
        <v>F</v>
      </c>
    </row>
    <row r="305" spans="1:17" x14ac:dyDescent="0.3">
      <c r="A305" s="1">
        <v>6848</v>
      </c>
      <c r="B305" s="1">
        <v>349</v>
      </c>
      <c r="C305" s="1">
        <v>387</v>
      </c>
      <c r="D305" s="1" t="s">
        <v>19</v>
      </c>
      <c r="E305" s="1" t="s">
        <v>16</v>
      </c>
      <c r="F305" s="1" t="s">
        <v>17</v>
      </c>
      <c r="G305" s="1" t="s">
        <v>18</v>
      </c>
      <c r="H305" s="1">
        <v>275.2</v>
      </c>
      <c r="I305" s="1">
        <v>249.5</v>
      </c>
      <c r="J305" s="1">
        <v>96.8</v>
      </c>
      <c r="K305" s="1">
        <v>66</v>
      </c>
      <c r="L305" s="1">
        <v>25.3</v>
      </c>
      <c r="M305" s="1">
        <v>8.5</v>
      </c>
      <c r="N305" s="1">
        <v>7.7261810637713105E-2</v>
      </c>
      <c r="O305" s="1">
        <v>6.2560974166960798E-2</v>
      </c>
      <c r="P305" s="1" t="str">
        <f t="shared" si="8"/>
        <v>T</v>
      </c>
      <c r="Q305" s="1" t="str">
        <f t="shared" si="9"/>
        <v>T</v>
      </c>
    </row>
    <row r="306" spans="1:17" hidden="1" x14ac:dyDescent="0.3">
      <c r="A306">
        <v>6979</v>
      </c>
      <c r="B306">
        <v>3540</v>
      </c>
      <c r="C306">
        <v>368</v>
      </c>
      <c r="D306" t="s">
        <v>19</v>
      </c>
      <c r="E306" t="s">
        <v>16</v>
      </c>
      <c r="F306" t="s">
        <v>21</v>
      </c>
      <c r="G306" t="s">
        <v>24</v>
      </c>
      <c r="H306">
        <v>273.3</v>
      </c>
      <c r="I306">
        <v>249</v>
      </c>
      <c r="J306">
        <v>98.9</v>
      </c>
      <c r="K306">
        <v>68.5</v>
      </c>
      <c r="L306">
        <v>23.8</v>
      </c>
      <c r="M306">
        <v>9</v>
      </c>
      <c r="N306">
        <v>0.13968314750781699</v>
      </c>
      <c r="O306">
        <v>4.9790888650006797E-2</v>
      </c>
      <c r="P306" t="str">
        <f t="shared" si="8"/>
        <v>F</v>
      </c>
      <c r="Q306" t="str">
        <f t="shared" si="9"/>
        <v>T</v>
      </c>
    </row>
    <row r="307" spans="1:17" hidden="1" x14ac:dyDescent="0.3">
      <c r="A307">
        <v>6980</v>
      </c>
      <c r="B307">
        <v>3540</v>
      </c>
      <c r="C307">
        <v>368</v>
      </c>
      <c r="D307" t="s">
        <v>19</v>
      </c>
      <c r="E307" t="s">
        <v>16</v>
      </c>
      <c r="F307" t="s">
        <v>21</v>
      </c>
      <c r="G307" t="s">
        <v>24</v>
      </c>
      <c r="H307">
        <v>273.3</v>
      </c>
      <c r="I307">
        <v>249</v>
      </c>
      <c r="J307">
        <v>98.9</v>
      </c>
      <c r="K307">
        <v>68.5</v>
      </c>
      <c r="L307">
        <v>23.8</v>
      </c>
      <c r="M307">
        <v>9</v>
      </c>
      <c r="N307">
        <v>0.13428717169346399</v>
      </c>
      <c r="O307">
        <v>2.8141393810505799E-2</v>
      </c>
      <c r="P307" t="str">
        <f t="shared" si="8"/>
        <v>F</v>
      </c>
      <c r="Q307" t="str">
        <f t="shared" si="9"/>
        <v>T</v>
      </c>
    </row>
    <row r="308" spans="1:17" hidden="1" x14ac:dyDescent="0.3">
      <c r="A308">
        <v>6981</v>
      </c>
      <c r="B308">
        <v>3540</v>
      </c>
      <c r="C308">
        <v>368</v>
      </c>
      <c r="D308" t="s">
        <v>19</v>
      </c>
      <c r="E308" t="s">
        <v>16</v>
      </c>
      <c r="F308" t="s">
        <v>21</v>
      </c>
      <c r="G308" t="s">
        <v>24</v>
      </c>
      <c r="H308">
        <v>273.3</v>
      </c>
      <c r="I308">
        <v>249</v>
      </c>
      <c r="J308">
        <v>98.9</v>
      </c>
      <c r="K308">
        <v>68.5</v>
      </c>
      <c r="L308">
        <v>23.8</v>
      </c>
      <c r="M308">
        <v>9</v>
      </c>
      <c r="N308">
        <v>0.123863952491298</v>
      </c>
      <c r="O308">
        <v>3.9958202285484502E-2</v>
      </c>
      <c r="P308" t="str">
        <f t="shared" si="8"/>
        <v>F</v>
      </c>
      <c r="Q308" t="str">
        <f t="shared" si="9"/>
        <v>T</v>
      </c>
    </row>
    <row r="309" spans="1:17" hidden="1" x14ac:dyDescent="0.3">
      <c r="A309">
        <v>7025</v>
      </c>
      <c r="B309">
        <v>3556</v>
      </c>
      <c r="C309">
        <v>255</v>
      </c>
      <c r="D309" t="s">
        <v>19</v>
      </c>
      <c r="E309" t="s">
        <v>16</v>
      </c>
      <c r="F309" t="s">
        <v>17</v>
      </c>
      <c r="G309" t="s">
        <v>26</v>
      </c>
      <c r="H309">
        <v>278.2</v>
      </c>
      <c r="I309">
        <v>254.5</v>
      </c>
      <c r="J309">
        <v>94.5</v>
      </c>
      <c r="K309">
        <v>67</v>
      </c>
      <c r="L309">
        <v>27.9</v>
      </c>
      <c r="M309">
        <v>11.5</v>
      </c>
      <c r="N309">
        <v>0.26991844390697201</v>
      </c>
      <c r="O309">
        <v>0.121814199554737</v>
      </c>
      <c r="P309" t="str">
        <f t="shared" si="8"/>
        <v>F</v>
      </c>
      <c r="Q309" t="str">
        <f t="shared" si="9"/>
        <v>F</v>
      </c>
    </row>
    <row r="310" spans="1:17" hidden="1" x14ac:dyDescent="0.3">
      <c r="A310">
        <v>7026</v>
      </c>
      <c r="B310">
        <v>3556</v>
      </c>
      <c r="C310">
        <v>255</v>
      </c>
      <c r="D310" t="s">
        <v>19</v>
      </c>
      <c r="E310" t="s">
        <v>16</v>
      </c>
      <c r="F310" t="s">
        <v>17</v>
      </c>
      <c r="G310" t="s">
        <v>26</v>
      </c>
      <c r="H310">
        <v>278.2</v>
      </c>
      <c r="I310">
        <v>254.5</v>
      </c>
      <c r="J310">
        <v>94.5</v>
      </c>
      <c r="K310">
        <v>67</v>
      </c>
      <c r="L310">
        <v>27.9</v>
      </c>
      <c r="M310">
        <v>11.5</v>
      </c>
      <c r="N310">
        <v>0.270607005993794</v>
      </c>
      <c r="O310">
        <v>0.111988210363288</v>
      </c>
      <c r="P310" t="str">
        <f t="shared" si="8"/>
        <v>F</v>
      </c>
      <c r="Q310" t="str">
        <f t="shared" si="9"/>
        <v>F</v>
      </c>
    </row>
    <row r="311" spans="1:17" hidden="1" x14ac:dyDescent="0.3">
      <c r="A311">
        <v>7027</v>
      </c>
      <c r="B311">
        <v>3556</v>
      </c>
      <c r="C311">
        <v>255</v>
      </c>
      <c r="D311" t="s">
        <v>19</v>
      </c>
      <c r="E311" t="s">
        <v>16</v>
      </c>
      <c r="F311" t="s">
        <v>17</v>
      </c>
      <c r="G311" t="s">
        <v>26</v>
      </c>
      <c r="H311">
        <v>278.2</v>
      </c>
      <c r="I311">
        <v>254.5</v>
      </c>
      <c r="J311">
        <v>94.5</v>
      </c>
      <c r="K311">
        <v>67</v>
      </c>
      <c r="L311">
        <v>27.9</v>
      </c>
      <c r="M311">
        <v>11.5</v>
      </c>
      <c r="N311">
        <v>0.26993510516360902</v>
      </c>
      <c r="O311">
        <v>0.111260950891481</v>
      </c>
      <c r="P311" t="str">
        <f t="shared" si="8"/>
        <v>F</v>
      </c>
      <c r="Q311" t="str">
        <f t="shared" si="9"/>
        <v>F</v>
      </c>
    </row>
    <row r="312" spans="1:17" hidden="1" x14ac:dyDescent="0.3">
      <c r="A312">
        <v>7028</v>
      </c>
      <c r="B312">
        <v>3556</v>
      </c>
      <c r="C312">
        <v>255</v>
      </c>
      <c r="D312" t="s">
        <v>19</v>
      </c>
      <c r="E312" t="s">
        <v>16</v>
      </c>
      <c r="F312" t="s">
        <v>17</v>
      </c>
      <c r="G312" t="s">
        <v>26</v>
      </c>
      <c r="H312">
        <v>278.2</v>
      </c>
      <c r="I312">
        <v>254.5</v>
      </c>
      <c r="J312">
        <v>94.5</v>
      </c>
      <c r="K312">
        <v>67</v>
      </c>
      <c r="L312">
        <v>27.9</v>
      </c>
      <c r="M312">
        <v>11.5</v>
      </c>
      <c r="N312">
        <v>0.26411789723595702</v>
      </c>
      <c r="O312">
        <v>0.116033393452757</v>
      </c>
      <c r="P312" t="str">
        <f t="shared" si="8"/>
        <v>F</v>
      </c>
      <c r="Q312" t="str">
        <f t="shared" si="9"/>
        <v>F</v>
      </c>
    </row>
    <row r="313" spans="1:17" hidden="1" x14ac:dyDescent="0.3">
      <c r="A313">
        <v>7057</v>
      </c>
      <c r="B313">
        <v>3564</v>
      </c>
      <c r="C313">
        <v>388</v>
      </c>
      <c r="D313" t="s">
        <v>19</v>
      </c>
      <c r="E313" t="s">
        <v>16</v>
      </c>
      <c r="F313" t="s">
        <v>21</v>
      </c>
      <c r="G313" t="s">
        <v>26</v>
      </c>
      <c r="H313">
        <v>277.10000000000002</v>
      </c>
      <c r="I313">
        <v>244.5</v>
      </c>
      <c r="J313">
        <v>91.9</v>
      </c>
      <c r="K313">
        <v>62.5</v>
      </c>
      <c r="L313">
        <v>25.9</v>
      </c>
      <c r="M313">
        <v>7</v>
      </c>
      <c r="N313">
        <v>9.9633656972933499E-2</v>
      </c>
      <c r="O313">
        <v>8.04255893695629E-2</v>
      </c>
      <c r="P313" t="str">
        <f t="shared" si="8"/>
        <v>F</v>
      </c>
      <c r="Q313" t="str">
        <f t="shared" si="9"/>
        <v>F</v>
      </c>
    </row>
    <row r="314" spans="1:17" hidden="1" x14ac:dyDescent="0.3">
      <c r="A314">
        <v>7058</v>
      </c>
      <c r="B314">
        <v>3564</v>
      </c>
      <c r="C314">
        <v>388</v>
      </c>
      <c r="D314" t="s">
        <v>19</v>
      </c>
      <c r="E314" t="s">
        <v>16</v>
      </c>
      <c r="F314" t="s">
        <v>21</v>
      </c>
      <c r="G314" t="s">
        <v>26</v>
      </c>
      <c r="H314">
        <v>277.10000000000002</v>
      </c>
      <c r="I314">
        <v>244.5</v>
      </c>
      <c r="J314">
        <v>91.9</v>
      </c>
      <c r="K314">
        <v>62.5</v>
      </c>
      <c r="L314">
        <v>25.9</v>
      </c>
      <c r="M314">
        <v>7</v>
      </c>
      <c r="N314">
        <v>9.6730954437169295E-2</v>
      </c>
      <c r="O314">
        <v>7.84670282366106E-2</v>
      </c>
      <c r="P314" t="str">
        <f t="shared" si="8"/>
        <v>F</v>
      </c>
      <c r="Q314" t="str">
        <f t="shared" si="9"/>
        <v>F</v>
      </c>
    </row>
    <row r="315" spans="1:17" x14ac:dyDescent="0.3">
      <c r="A315" s="1">
        <v>7059</v>
      </c>
      <c r="B315" s="1">
        <v>3564</v>
      </c>
      <c r="C315" s="1">
        <v>388</v>
      </c>
      <c r="D315" s="1" t="s">
        <v>19</v>
      </c>
      <c r="E315" s="1" t="s">
        <v>16</v>
      </c>
      <c r="F315" s="1" t="s">
        <v>21</v>
      </c>
      <c r="G315" s="1" t="s">
        <v>26</v>
      </c>
      <c r="H315" s="1">
        <v>277.10000000000002</v>
      </c>
      <c r="I315" s="1">
        <v>244.5</v>
      </c>
      <c r="J315" s="1">
        <v>91.9</v>
      </c>
      <c r="K315" s="1">
        <v>62.5</v>
      </c>
      <c r="L315" s="1">
        <v>25.9</v>
      </c>
      <c r="M315" s="1">
        <v>7</v>
      </c>
      <c r="N315" s="1">
        <v>9.2380240808099104E-2</v>
      </c>
      <c r="O315" s="1">
        <v>6.3591591308096995E-2</v>
      </c>
      <c r="P315" s="1" t="str">
        <f t="shared" si="8"/>
        <v>T</v>
      </c>
      <c r="Q315" s="1" t="str">
        <f t="shared" si="9"/>
        <v>T</v>
      </c>
    </row>
    <row r="316" spans="1:17" hidden="1" x14ac:dyDescent="0.3">
      <c r="A316">
        <v>7060</v>
      </c>
      <c r="B316">
        <v>3564</v>
      </c>
      <c r="C316">
        <v>388</v>
      </c>
      <c r="D316" t="s">
        <v>19</v>
      </c>
      <c r="E316" t="s">
        <v>16</v>
      </c>
      <c r="F316" t="s">
        <v>21</v>
      </c>
      <c r="G316" t="s">
        <v>26</v>
      </c>
      <c r="H316">
        <v>277.10000000000002</v>
      </c>
      <c r="I316">
        <v>244.5</v>
      </c>
      <c r="J316">
        <v>91.9</v>
      </c>
      <c r="K316">
        <v>62.5</v>
      </c>
      <c r="L316">
        <v>25.9</v>
      </c>
      <c r="M316">
        <v>7</v>
      </c>
      <c r="N316">
        <v>0.109693626447614</v>
      </c>
      <c r="O316">
        <v>7.98234446686822E-2</v>
      </c>
      <c r="P316" t="str">
        <f t="shared" si="8"/>
        <v>F</v>
      </c>
      <c r="Q316" t="str">
        <f t="shared" si="9"/>
        <v>F</v>
      </c>
    </row>
    <row r="317" spans="1:17" hidden="1" x14ac:dyDescent="0.3">
      <c r="A317">
        <v>7138</v>
      </c>
      <c r="B317">
        <v>359</v>
      </c>
      <c r="C317">
        <v>325</v>
      </c>
      <c r="D317" t="s">
        <v>19</v>
      </c>
      <c r="E317" t="s">
        <v>16</v>
      </c>
      <c r="F317" t="s">
        <v>21</v>
      </c>
      <c r="G317" t="s">
        <v>26</v>
      </c>
      <c r="H317">
        <v>274</v>
      </c>
      <c r="I317">
        <v>243.5</v>
      </c>
      <c r="J317">
        <v>94.8</v>
      </c>
      <c r="K317">
        <v>65.5</v>
      </c>
      <c r="L317">
        <v>26.1</v>
      </c>
      <c r="M317">
        <v>13</v>
      </c>
      <c r="N317">
        <v>0.24408232786530901</v>
      </c>
      <c r="O317">
        <v>0.107873942824559</v>
      </c>
      <c r="P317" t="str">
        <f t="shared" si="8"/>
        <v>F</v>
      </c>
      <c r="Q317" t="str">
        <f t="shared" si="9"/>
        <v>F</v>
      </c>
    </row>
    <row r="318" spans="1:17" hidden="1" x14ac:dyDescent="0.3">
      <c r="A318">
        <v>7139</v>
      </c>
      <c r="B318">
        <v>359</v>
      </c>
      <c r="C318">
        <v>325</v>
      </c>
      <c r="D318" t="s">
        <v>19</v>
      </c>
      <c r="E318" t="s">
        <v>16</v>
      </c>
      <c r="F318" t="s">
        <v>21</v>
      </c>
      <c r="G318" t="s">
        <v>26</v>
      </c>
      <c r="H318">
        <v>274</v>
      </c>
      <c r="I318">
        <v>243.5</v>
      </c>
      <c r="J318">
        <v>94.8</v>
      </c>
      <c r="K318">
        <v>65.5</v>
      </c>
      <c r="L318">
        <v>26.1</v>
      </c>
      <c r="M318">
        <v>13</v>
      </c>
      <c r="N318">
        <v>0.255576391610291</v>
      </c>
      <c r="O318">
        <v>9.4462357289887694E-2</v>
      </c>
      <c r="P318" t="str">
        <f t="shared" si="8"/>
        <v>F</v>
      </c>
      <c r="Q318" t="str">
        <f t="shared" si="9"/>
        <v>F</v>
      </c>
    </row>
    <row r="319" spans="1:17" hidden="1" x14ac:dyDescent="0.3">
      <c r="A319">
        <v>7140</v>
      </c>
      <c r="B319">
        <v>359</v>
      </c>
      <c r="C319">
        <v>325</v>
      </c>
      <c r="D319" t="s">
        <v>19</v>
      </c>
      <c r="E319" t="s">
        <v>16</v>
      </c>
      <c r="F319" t="s">
        <v>21</v>
      </c>
      <c r="G319" t="s">
        <v>26</v>
      </c>
      <c r="H319">
        <v>274</v>
      </c>
      <c r="I319">
        <v>243.5</v>
      </c>
      <c r="J319">
        <v>94.8</v>
      </c>
      <c r="K319">
        <v>65.5</v>
      </c>
      <c r="L319">
        <v>26.1</v>
      </c>
      <c r="M319">
        <v>13</v>
      </c>
      <c r="N319">
        <v>0.25459508785068002</v>
      </c>
      <c r="O319">
        <v>9.9138405141836999E-2</v>
      </c>
      <c r="P319" t="str">
        <f t="shared" si="8"/>
        <v>F</v>
      </c>
      <c r="Q319" t="str">
        <f t="shared" si="9"/>
        <v>F</v>
      </c>
    </row>
    <row r="320" spans="1:17" hidden="1" x14ac:dyDescent="0.3">
      <c r="A320">
        <v>7141</v>
      </c>
      <c r="B320">
        <v>359</v>
      </c>
      <c r="C320">
        <v>325</v>
      </c>
      <c r="D320" t="s">
        <v>19</v>
      </c>
      <c r="E320" t="s">
        <v>16</v>
      </c>
      <c r="F320" t="s">
        <v>21</v>
      </c>
      <c r="G320" t="s">
        <v>26</v>
      </c>
      <c r="H320">
        <v>274</v>
      </c>
      <c r="I320">
        <v>243.5</v>
      </c>
      <c r="J320">
        <v>94.8</v>
      </c>
      <c r="K320">
        <v>65.5</v>
      </c>
      <c r="L320">
        <v>26.1</v>
      </c>
      <c r="M320">
        <v>13</v>
      </c>
      <c r="N320">
        <v>0.23976706807033701</v>
      </c>
      <c r="O320">
        <v>9.2040448926011695E-2</v>
      </c>
      <c r="P320" t="str">
        <f t="shared" si="8"/>
        <v>F</v>
      </c>
      <c r="Q320" t="str">
        <f t="shared" si="9"/>
        <v>F</v>
      </c>
    </row>
    <row r="321" spans="1:17" hidden="1" x14ac:dyDescent="0.3">
      <c r="A321">
        <v>7391</v>
      </c>
      <c r="B321">
        <v>3669</v>
      </c>
      <c r="C321">
        <v>368</v>
      </c>
      <c r="D321" t="s">
        <v>19</v>
      </c>
      <c r="E321" t="s">
        <v>16</v>
      </c>
      <c r="F321" t="s">
        <v>17</v>
      </c>
      <c r="G321" t="s">
        <v>26</v>
      </c>
      <c r="H321">
        <v>273.3</v>
      </c>
      <c r="I321">
        <v>249</v>
      </c>
      <c r="J321">
        <v>98.9</v>
      </c>
      <c r="K321">
        <v>68.5</v>
      </c>
      <c r="L321">
        <v>23.8</v>
      </c>
      <c r="M321">
        <v>9</v>
      </c>
      <c r="N321">
        <v>0.141002994649396</v>
      </c>
      <c r="O321">
        <v>4.90729896205922E-2</v>
      </c>
      <c r="P321" t="str">
        <f t="shared" si="8"/>
        <v>F</v>
      </c>
      <c r="Q321" t="str">
        <f t="shared" si="9"/>
        <v>T</v>
      </c>
    </row>
    <row r="322" spans="1:17" hidden="1" x14ac:dyDescent="0.3">
      <c r="A322">
        <v>7690</v>
      </c>
      <c r="B322">
        <v>3781</v>
      </c>
      <c r="C322">
        <v>249</v>
      </c>
      <c r="D322" t="s">
        <v>19</v>
      </c>
      <c r="E322" t="s">
        <v>16</v>
      </c>
      <c r="F322" t="s">
        <v>17</v>
      </c>
      <c r="G322" t="s">
        <v>25</v>
      </c>
      <c r="H322">
        <v>275.7</v>
      </c>
      <c r="I322">
        <v>254.5</v>
      </c>
      <c r="J322">
        <v>97.9</v>
      </c>
      <c r="K322">
        <v>66</v>
      </c>
      <c r="L322">
        <v>26.3</v>
      </c>
      <c r="M322">
        <v>9</v>
      </c>
      <c r="N322">
        <v>0.238081722168553</v>
      </c>
      <c r="O322">
        <v>3.9795494699880397E-2</v>
      </c>
      <c r="P322" t="str">
        <f t="shared" si="8"/>
        <v>F</v>
      </c>
      <c r="Q322" t="str">
        <f t="shared" si="9"/>
        <v>T</v>
      </c>
    </row>
    <row r="323" spans="1:17" hidden="1" x14ac:dyDescent="0.3">
      <c r="A323">
        <v>7721</v>
      </c>
      <c r="B323">
        <v>3793</v>
      </c>
      <c r="C323">
        <v>417</v>
      </c>
      <c r="D323" t="s">
        <v>19</v>
      </c>
      <c r="E323" t="s">
        <v>16</v>
      </c>
      <c r="F323" t="s">
        <v>21</v>
      </c>
      <c r="G323" t="s">
        <v>18</v>
      </c>
      <c r="H323">
        <v>268.60000000000002</v>
      </c>
      <c r="I323">
        <v>234.5</v>
      </c>
      <c r="J323">
        <v>92.8</v>
      </c>
      <c r="K323">
        <v>64</v>
      </c>
      <c r="L323">
        <v>24.3</v>
      </c>
      <c r="M323">
        <v>5</v>
      </c>
      <c r="N323">
        <v>0.21752818466228599</v>
      </c>
      <c r="O323">
        <v>0.15214840341160199</v>
      </c>
      <c r="P323" t="str">
        <f t="shared" ref="P323:P386" si="10">IF(N323&lt;0.095876, "T", "F")</f>
        <v>F</v>
      </c>
      <c r="Q323" t="str">
        <f t="shared" ref="Q323:Q386" si="11">IF(O323&lt; 0.064417, "T", "F")</f>
        <v>F</v>
      </c>
    </row>
    <row r="324" spans="1:17" hidden="1" x14ac:dyDescent="0.3">
      <c r="A324">
        <v>7722</v>
      </c>
      <c r="B324">
        <v>3794</v>
      </c>
      <c r="C324">
        <v>238</v>
      </c>
      <c r="D324" t="s">
        <v>19</v>
      </c>
      <c r="E324" t="s">
        <v>16</v>
      </c>
      <c r="F324" t="s">
        <v>17</v>
      </c>
      <c r="G324" t="s">
        <v>26</v>
      </c>
      <c r="H324">
        <v>273.3</v>
      </c>
      <c r="I324">
        <v>246</v>
      </c>
      <c r="J324">
        <v>92.6</v>
      </c>
      <c r="K324">
        <v>63.5</v>
      </c>
      <c r="L324">
        <v>25.5</v>
      </c>
      <c r="M324">
        <v>9.5</v>
      </c>
      <c r="N324">
        <v>0.11143488918191199</v>
      </c>
      <c r="O324">
        <v>0.14692567797185799</v>
      </c>
      <c r="P324" t="str">
        <f t="shared" si="10"/>
        <v>F</v>
      </c>
      <c r="Q324" t="str">
        <f t="shared" si="11"/>
        <v>F</v>
      </c>
    </row>
    <row r="325" spans="1:17" hidden="1" x14ac:dyDescent="0.3">
      <c r="A325">
        <v>7929</v>
      </c>
      <c r="B325">
        <v>3870</v>
      </c>
      <c r="C325">
        <v>114</v>
      </c>
      <c r="D325" t="s">
        <v>19</v>
      </c>
      <c r="E325" t="s">
        <v>16</v>
      </c>
      <c r="F325" t="s">
        <v>17</v>
      </c>
      <c r="G325" t="s">
        <v>18</v>
      </c>
      <c r="H325">
        <v>275.89999999999998</v>
      </c>
      <c r="I325">
        <v>254</v>
      </c>
      <c r="J325">
        <v>97.2</v>
      </c>
      <c r="K325">
        <v>66.5</v>
      </c>
      <c r="L325">
        <v>28.5</v>
      </c>
      <c r="M325">
        <v>5.5</v>
      </c>
      <c r="N325">
        <v>0.11934962586876301</v>
      </c>
      <c r="O325">
        <v>0.217340744194364</v>
      </c>
      <c r="P325" t="str">
        <f t="shared" si="10"/>
        <v>F</v>
      </c>
      <c r="Q325" t="str">
        <f t="shared" si="11"/>
        <v>F</v>
      </c>
    </row>
    <row r="326" spans="1:17" hidden="1" x14ac:dyDescent="0.3">
      <c r="A326">
        <v>7962</v>
      </c>
      <c r="B326">
        <v>3882</v>
      </c>
      <c r="C326">
        <v>417</v>
      </c>
      <c r="D326" t="s">
        <v>19</v>
      </c>
      <c r="E326" t="s">
        <v>16</v>
      </c>
      <c r="F326" t="s">
        <v>21</v>
      </c>
      <c r="G326" t="s">
        <v>25</v>
      </c>
      <c r="H326">
        <v>268.60000000000002</v>
      </c>
      <c r="I326">
        <v>234.5</v>
      </c>
      <c r="J326">
        <v>92.8</v>
      </c>
      <c r="K326">
        <v>64</v>
      </c>
      <c r="L326">
        <v>24.3</v>
      </c>
      <c r="M326">
        <v>5</v>
      </c>
      <c r="N326">
        <v>0.23470420328588701</v>
      </c>
      <c r="O326">
        <v>0.14795643778384199</v>
      </c>
      <c r="P326" t="str">
        <f t="shared" si="10"/>
        <v>F</v>
      </c>
      <c r="Q326" t="str">
        <f t="shared" si="11"/>
        <v>F</v>
      </c>
    </row>
    <row r="327" spans="1:17" hidden="1" x14ac:dyDescent="0.3">
      <c r="A327">
        <v>8031</v>
      </c>
      <c r="B327">
        <v>3905</v>
      </c>
      <c r="C327">
        <v>218</v>
      </c>
      <c r="D327" t="s">
        <v>19</v>
      </c>
      <c r="E327" t="s">
        <v>16</v>
      </c>
      <c r="F327" t="s">
        <v>17</v>
      </c>
      <c r="G327" t="s">
        <v>18</v>
      </c>
      <c r="H327">
        <v>274.5</v>
      </c>
      <c r="I327">
        <v>258</v>
      </c>
      <c r="J327">
        <v>101.5</v>
      </c>
      <c r="K327">
        <v>66.5</v>
      </c>
      <c r="L327">
        <v>27.9</v>
      </c>
      <c r="M327">
        <v>10</v>
      </c>
      <c r="N327">
        <v>0.11444685079042199</v>
      </c>
      <c r="O327">
        <v>8.6896611287680406E-2</v>
      </c>
      <c r="P327" t="str">
        <f t="shared" si="10"/>
        <v>F</v>
      </c>
      <c r="Q327" t="str">
        <f t="shared" si="11"/>
        <v>F</v>
      </c>
    </row>
    <row r="328" spans="1:17" hidden="1" x14ac:dyDescent="0.3">
      <c r="A328">
        <v>8032</v>
      </c>
      <c r="B328">
        <v>3905</v>
      </c>
      <c r="C328">
        <v>218</v>
      </c>
      <c r="D328" t="s">
        <v>19</v>
      </c>
      <c r="E328" t="s">
        <v>16</v>
      </c>
      <c r="F328" t="s">
        <v>17</v>
      </c>
      <c r="G328" t="s">
        <v>18</v>
      </c>
      <c r="H328">
        <v>274.5</v>
      </c>
      <c r="I328">
        <v>258</v>
      </c>
      <c r="J328">
        <v>101.5</v>
      </c>
      <c r="K328">
        <v>66.5</v>
      </c>
      <c r="L328">
        <v>27.9</v>
      </c>
      <c r="M328">
        <v>10</v>
      </c>
      <c r="N328">
        <v>0.109351334575941</v>
      </c>
      <c r="O328">
        <v>7.7509791723492996E-2</v>
      </c>
      <c r="P328" t="str">
        <f t="shared" si="10"/>
        <v>F</v>
      </c>
      <c r="Q328" t="str">
        <f t="shared" si="11"/>
        <v>F</v>
      </c>
    </row>
    <row r="329" spans="1:17" hidden="1" x14ac:dyDescent="0.3">
      <c r="A329">
        <v>8042</v>
      </c>
      <c r="B329">
        <v>391</v>
      </c>
      <c r="C329">
        <v>325</v>
      </c>
      <c r="D329" t="s">
        <v>19</v>
      </c>
      <c r="E329" t="s">
        <v>16</v>
      </c>
      <c r="F329" t="s">
        <v>17</v>
      </c>
      <c r="G329" t="s">
        <v>26</v>
      </c>
      <c r="H329">
        <v>274</v>
      </c>
      <c r="I329">
        <v>243.5</v>
      </c>
      <c r="J329">
        <v>94.8</v>
      </c>
      <c r="K329">
        <v>65.5</v>
      </c>
      <c r="L329">
        <v>26.1</v>
      </c>
      <c r="M329">
        <v>13</v>
      </c>
      <c r="N329">
        <v>0.235364697020502</v>
      </c>
      <c r="O329">
        <v>7.4525856722645001E-2</v>
      </c>
      <c r="P329" t="str">
        <f t="shared" si="10"/>
        <v>F</v>
      </c>
      <c r="Q329" t="str">
        <f t="shared" si="11"/>
        <v>F</v>
      </c>
    </row>
    <row r="330" spans="1:17" hidden="1" x14ac:dyDescent="0.3">
      <c r="A330">
        <v>8043</v>
      </c>
      <c r="B330">
        <v>391</v>
      </c>
      <c r="C330">
        <v>325</v>
      </c>
      <c r="D330" t="s">
        <v>19</v>
      </c>
      <c r="E330" t="s">
        <v>16</v>
      </c>
      <c r="F330" t="s">
        <v>17</v>
      </c>
      <c r="G330" t="s">
        <v>26</v>
      </c>
      <c r="H330">
        <v>274</v>
      </c>
      <c r="I330">
        <v>243.5</v>
      </c>
      <c r="J330">
        <v>94.8</v>
      </c>
      <c r="K330">
        <v>65.5</v>
      </c>
      <c r="L330">
        <v>26.1</v>
      </c>
      <c r="M330">
        <v>13</v>
      </c>
      <c r="N330">
        <v>0.22919329185016199</v>
      </c>
      <c r="O330">
        <v>9.6877963689937896E-2</v>
      </c>
      <c r="P330" t="str">
        <f t="shared" si="10"/>
        <v>F</v>
      </c>
      <c r="Q330" t="str">
        <f t="shared" si="11"/>
        <v>F</v>
      </c>
    </row>
    <row r="331" spans="1:17" hidden="1" x14ac:dyDescent="0.3">
      <c r="A331">
        <v>8090</v>
      </c>
      <c r="B331">
        <v>3926</v>
      </c>
      <c r="C331">
        <v>218</v>
      </c>
      <c r="D331" t="s">
        <v>19</v>
      </c>
      <c r="E331" t="s">
        <v>16</v>
      </c>
      <c r="F331" t="s">
        <v>21</v>
      </c>
      <c r="G331" t="s">
        <v>26</v>
      </c>
      <c r="H331">
        <v>274.5</v>
      </c>
      <c r="I331">
        <v>258</v>
      </c>
      <c r="J331">
        <v>101.5</v>
      </c>
      <c r="K331">
        <v>66.5</v>
      </c>
      <c r="L331">
        <v>27.9</v>
      </c>
      <c r="M331">
        <v>10</v>
      </c>
      <c r="N331">
        <v>0.11721403335779</v>
      </c>
      <c r="O331">
        <v>0.102349321500947</v>
      </c>
      <c r="P331" t="str">
        <f t="shared" si="10"/>
        <v>F</v>
      </c>
      <c r="Q331" t="str">
        <f t="shared" si="11"/>
        <v>F</v>
      </c>
    </row>
    <row r="332" spans="1:17" hidden="1" x14ac:dyDescent="0.3">
      <c r="A332">
        <v>8091</v>
      </c>
      <c r="B332">
        <v>3926</v>
      </c>
      <c r="C332">
        <v>218</v>
      </c>
      <c r="D332" t="s">
        <v>19</v>
      </c>
      <c r="E332" t="s">
        <v>16</v>
      </c>
      <c r="F332" t="s">
        <v>21</v>
      </c>
      <c r="G332" t="s">
        <v>26</v>
      </c>
      <c r="H332">
        <v>274.5</v>
      </c>
      <c r="I332">
        <v>258</v>
      </c>
      <c r="J332">
        <v>101.5</v>
      </c>
      <c r="K332">
        <v>66.5</v>
      </c>
      <c r="L332">
        <v>27.9</v>
      </c>
      <c r="M332">
        <v>10</v>
      </c>
      <c r="N332">
        <v>0.14001160177630201</v>
      </c>
      <c r="O332">
        <v>8.2981226661444196E-2</v>
      </c>
      <c r="P332" t="str">
        <f t="shared" si="10"/>
        <v>F</v>
      </c>
      <c r="Q332" t="str">
        <f t="shared" si="11"/>
        <v>F</v>
      </c>
    </row>
    <row r="333" spans="1:17" hidden="1" x14ac:dyDescent="0.3">
      <c r="A333">
        <v>8092</v>
      </c>
      <c r="B333">
        <v>3926</v>
      </c>
      <c r="C333">
        <v>218</v>
      </c>
      <c r="D333" t="s">
        <v>19</v>
      </c>
      <c r="E333" t="s">
        <v>16</v>
      </c>
      <c r="F333" t="s">
        <v>21</v>
      </c>
      <c r="G333" t="s">
        <v>26</v>
      </c>
      <c r="H333">
        <v>274.5</v>
      </c>
      <c r="I333">
        <v>258</v>
      </c>
      <c r="J333">
        <v>101.5</v>
      </c>
      <c r="K333">
        <v>66.5</v>
      </c>
      <c r="L333">
        <v>27.9</v>
      </c>
      <c r="M333">
        <v>10</v>
      </c>
      <c r="N333">
        <v>0.12099115815208999</v>
      </c>
      <c r="O333">
        <v>0.10735371305777</v>
      </c>
      <c r="P333" t="str">
        <f t="shared" si="10"/>
        <v>F</v>
      </c>
      <c r="Q333" t="str">
        <f t="shared" si="11"/>
        <v>F</v>
      </c>
    </row>
    <row r="334" spans="1:17" hidden="1" x14ac:dyDescent="0.3">
      <c r="A334">
        <v>8093</v>
      </c>
      <c r="B334">
        <v>3926</v>
      </c>
      <c r="C334">
        <v>218</v>
      </c>
      <c r="D334" t="s">
        <v>19</v>
      </c>
      <c r="E334" t="s">
        <v>16</v>
      </c>
      <c r="F334" t="s">
        <v>21</v>
      </c>
      <c r="G334" t="s">
        <v>26</v>
      </c>
      <c r="H334">
        <v>274.5</v>
      </c>
      <c r="I334">
        <v>258</v>
      </c>
      <c r="J334">
        <v>101.5</v>
      </c>
      <c r="K334">
        <v>66.5</v>
      </c>
      <c r="L334">
        <v>27.9</v>
      </c>
      <c r="M334">
        <v>10</v>
      </c>
      <c r="N334">
        <v>0.15269607545446801</v>
      </c>
      <c r="O334">
        <v>8.5782874693194899E-2</v>
      </c>
      <c r="P334" t="str">
        <f t="shared" si="10"/>
        <v>F</v>
      </c>
      <c r="Q334" t="str">
        <f t="shared" si="11"/>
        <v>F</v>
      </c>
    </row>
    <row r="335" spans="1:17" x14ac:dyDescent="0.3">
      <c r="A335" s="1">
        <v>8106</v>
      </c>
      <c r="B335" s="1">
        <v>3931</v>
      </c>
      <c r="C335" s="1">
        <v>387</v>
      </c>
      <c r="D335" s="1" t="s">
        <v>19</v>
      </c>
      <c r="E335" s="1" t="s">
        <v>16</v>
      </c>
      <c r="F335" s="1" t="s">
        <v>21</v>
      </c>
      <c r="G335" s="1" t="s">
        <v>26</v>
      </c>
      <c r="H335" s="1">
        <v>275.2</v>
      </c>
      <c r="I335" s="1">
        <v>249.5</v>
      </c>
      <c r="J335" s="1">
        <v>96.8</v>
      </c>
      <c r="K335" s="1">
        <v>66</v>
      </c>
      <c r="L335" s="1">
        <v>25.3</v>
      </c>
      <c r="M335" s="1">
        <v>8.5</v>
      </c>
      <c r="N335" s="1">
        <v>9.1892654150134895E-2</v>
      </c>
      <c r="O335" s="1">
        <v>6.4135848848764707E-2</v>
      </c>
      <c r="P335" s="1" t="str">
        <f t="shared" si="10"/>
        <v>T</v>
      </c>
      <c r="Q335" s="1" t="str">
        <f t="shared" si="11"/>
        <v>T</v>
      </c>
    </row>
    <row r="336" spans="1:17" hidden="1" x14ac:dyDescent="0.3">
      <c r="A336">
        <v>8107</v>
      </c>
      <c r="B336">
        <v>3931</v>
      </c>
      <c r="C336">
        <v>387</v>
      </c>
      <c r="D336" t="s">
        <v>19</v>
      </c>
      <c r="E336" t="s">
        <v>16</v>
      </c>
      <c r="F336" t="s">
        <v>21</v>
      </c>
      <c r="G336" t="s">
        <v>26</v>
      </c>
      <c r="H336">
        <v>275.2</v>
      </c>
      <c r="I336">
        <v>249.5</v>
      </c>
      <c r="J336">
        <v>96.8</v>
      </c>
      <c r="K336">
        <v>66</v>
      </c>
      <c r="L336">
        <v>25.3</v>
      </c>
      <c r="M336">
        <v>8.5</v>
      </c>
      <c r="N336">
        <v>0.105538672730529</v>
      </c>
      <c r="O336">
        <v>8.6927918289696093E-2</v>
      </c>
      <c r="P336" t="str">
        <f t="shared" si="10"/>
        <v>F</v>
      </c>
      <c r="Q336" t="str">
        <f t="shared" si="11"/>
        <v>F</v>
      </c>
    </row>
    <row r="337" spans="1:17" hidden="1" x14ac:dyDescent="0.3">
      <c r="A337">
        <v>8108</v>
      </c>
      <c r="B337">
        <v>3931</v>
      </c>
      <c r="C337">
        <v>387</v>
      </c>
      <c r="D337" t="s">
        <v>19</v>
      </c>
      <c r="E337" t="s">
        <v>16</v>
      </c>
      <c r="F337" t="s">
        <v>21</v>
      </c>
      <c r="G337" t="s">
        <v>26</v>
      </c>
      <c r="H337">
        <v>275.2</v>
      </c>
      <c r="I337">
        <v>249.5</v>
      </c>
      <c r="J337">
        <v>96.8</v>
      </c>
      <c r="K337">
        <v>66</v>
      </c>
      <c r="L337">
        <v>25.3</v>
      </c>
      <c r="M337">
        <v>8.5</v>
      </c>
      <c r="N337">
        <v>0.10554449205116199</v>
      </c>
      <c r="O337">
        <v>7.8324305733638105E-2</v>
      </c>
      <c r="P337" t="str">
        <f t="shared" si="10"/>
        <v>F</v>
      </c>
      <c r="Q337" t="str">
        <f t="shared" si="11"/>
        <v>F</v>
      </c>
    </row>
    <row r="338" spans="1:17" hidden="1" x14ac:dyDescent="0.3">
      <c r="A338">
        <v>8145</v>
      </c>
      <c r="B338">
        <v>3944</v>
      </c>
      <c r="C338">
        <v>417</v>
      </c>
      <c r="D338" t="s">
        <v>19</v>
      </c>
      <c r="E338" t="s">
        <v>16</v>
      </c>
      <c r="F338" t="s">
        <v>17</v>
      </c>
      <c r="G338" t="s">
        <v>22</v>
      </c>
      <c r="H338">
        <v>268.60000000000002</v>
      </c>
      <c r="I338">
        <v>234.5</v>
      </c>
      <c r="J338">
        <v>92.8</v>
      </c>
      <c r="K338">
        <v>64</v>
      </c>
      <c r="L338">
        <v>24.3</v>
      </c>
      <c r="M338">
        <v>5</v>
      </c>
      <c r="N338">
        <v>0.21619674826952601</v>
      </c>
      <c r="O338">
        <v>0.14990382793738</v>
      </c>
      <c r="P338" t="str">
        <f t="shared" si="10"/>
        <v>F</v>
      </c>
      <c r="Q338" t="str">
        <f t="shared" si="11"/>
        <v>F</v>
      </c>
    </row>
    <row r="339" spans="1:17" hidden="1" x14ac:dyDescent="0.3">
      <c r="A339">
        <v>8146</v>
      </c>
      <c r="B339">
        <v>3944</v>
      </c>
      <c r="C339">
        <v>417</v>
      </c>
      <c r="D339" t="s">
        <v>19</v>
      </c>
      <c r="E339" t="s">
        <v>16</v>
      </c>
      <c r="F339" t="s">
        <v>17</v>
      </c>
      <c r="G339" t="s">
        <v>22</v>
      </c>
      <c r="H339">
        <v>268.60000000000002</v>
      </c>
      <c r="I339">
        <v>234.5</v>
      </c>
      <c r="J339">
        <v>92.8</v>
      </c>
      <c r="K339">
        <v>64</v>
      </c>
      <c r="L339">
        <v>24.3</v>
      </c>
      <c r="M339">
        <v>5</v>
      </c>
      <c r="N339">
        <v>0.23127121051544899</v>
      </c>
      <c r="O339">
        <v>0.136391601152659</v>
      </c>
      <c r="P339" t="str">
        <f t="shared" si="10"/>
        <v>F</v>
      </c>
      <c r="Q339" t="str">
        <f t="shared" si="11"/>
        <v>F</v>
      </c>
    </row>
    <row r="340" spans="1:17" hidden="1" x14ac:dyDescent="0.3">
      <c r="A340">
        <v>8147</v>
      </c>
      <c r="B340">
        <v>3944</v>
      </c>
      <c r="C340">
        <v>417</v>
      </c>
      <c r="D340" t="s">
        <v>19</v>
      </c>
      <c r="E340" t="s">
        <v>16</v>
      </c>
      <c r="F340" t="s">
        <v>17</v>
      </c>
      <c r="G340" t="s">
        <v>22</v>
      </c>
      <c r="H340">
        <v>268.60000000000002</v>
      </c>
      <c r="I340">
        <v>234.5</v>
      </c>
      <c r="J340">
        <v>92.8</v>
      </c>
      <c r="K340">
        <v>64</v>
      </c>
      <c r="L340">
        <v>24.3</v>
      </c>
      <c r="M340">
        <v>5</v>
      </c>
      <c r="N340">
        <v>0.21117513045910399</v>
      </c>
      <c r="O340">
        <v>0.164686077423883</v>
      </c>
      <c r="P340" t="str">
        <f t="shared" si="10"/>
        <v>F</v>
      </c>
      <c r="Q340" t="str">
        <f t="shared" si="11"/>
        <v>F</v>
      </c>
    </row>
    <row r="341" spans="1:17" hidden="1" x14ac:dyDescent="0.3">
      <c r="A341">
        <v>8180</v>
      </c>
      <c r="B341">
        <v>3957</v>
      </c>
      <c r="C341">
        <v>325</v>
      </c>
      <c r="D341" t="s">
        <v>19</v>
      </c>
      <c r="E341" t="s">
        <v>16</v>
      </c>
      <c r="F341" t="s">
        <v>21</v>
      </c>
      <c r="G341" t="s">
        <v>24</v>
      </c>
      <c r="H341">
        <v>274</v>
      </c>
      <c r="I341">
        <v>243.5</v>
      </c>
      <c r="J341">
        <v>94.8</v>
      </c>
      <c r="K341">
        <v>65.5</v>
      </c>
      <c r="L341">
        <v>26.1</v>
      </c>
      <c r="M341">
        <v>13</v>
      </c>
      <c r="N341">
        <v>0.24261668197178399</v>
      </c>
      <c r="O341">
        <v>9.72488028012264E-2</v>
      </c>
      <c r="P341" t="str">
        <f t="shared" si="10"/>
        <v>F</v>
      </c>
      <c r="Q341" t="str">
        <f t="shared" si="11"/>
        <v>F</v>
      </c>
    </row>
    <row r="342" spans="1:17" hidden="1" x14ac:dyDescent="0.3">
      <c r="A342">
        <v>8181</v>
      </c>
      <c r="B342">
        <v>3957</v>
      </c>
      <c r="C342">
        <v>325</v>
      </c>
      <c r="D342" t="s">
        <v>19</v>
      </c>
      <c r="E342" t="s">
        <v>16</v>
      </c>
      <c r="F342" t="s">
        <v>21</v>
      </c>
      <c r="G342" t="s">
        <v>24</v>
      </c>
      <c r="H342">
        <v>274</v>
      </c>
      <c r="I342">
        <v>243.5</v>
      </c>
      <c r="J342">
        <v>94.8</v>
      </c>
      <c r="K342">
        <v>65.5</v>
      </c>
      <c r="L342">
        <v>26.1</v>
      </c>
      <c r="M342">
        <v>13</v>
      </c>
      <c r="N342">
        <v>0.225344839727358</v>
      </c>
      <c r="O342">
        <v>0.107569022711762</v>
      </c>
      <c r="P342" t="str">
        <f t="shared" si="10"/>
        <v>F</v>
      </c>
      <c r="Q342" t="str">
        <f t="shared" si="11"/>
        <v>F</v>
      </c>
    </row>
    <row r="343" spans="1:17" hidden="1" x14ac:dyDescent="0.3">
      <c r="A343">
        <v>8233</v>
      </c>
      <c r="B343">
        <v>3976</v>
      </c>
      <c r="C343">
        <v>368</v>
      </c>
      <c r="D343" t="s">
        <v>19</v>
      </c>
      <c r="E343" t="s">
        <v>16</v>
      </c>
      <c r="F343" t="s">
        <v>17</v>
      </c>
      <c r="G343" t="s">
        <v>25</v>
      </c>
      <c r="H343">
        <v>273.3</v>
      </c>
      <c r="I343">
        <v>249</v>
      </c>
      <c r="J343">
        <v>98.9</v>
      </c>
      <c r="K343">
        <v>68.5</v>
      </c>
      <c r="L343">
        <v>23.8</v>
      </c>
      <c r="M343">
        <v>9</v>
      </c>
      <c r="N343">
        <v>0.118010318774827</v>
      </c>
      <c r="O343">
        <v>3.07231302885187E-2</v>
      </c>
      <c r="P343" t="str">
        <f t="shared" si="10"/>
        <v>F</v>
      </c>
      <c r="Q343" t="str">
        <f t="shared" si="11"/>
        <v>T</v>
      </c>
    </row>
    <row r="344" spans="1:17" hidden="1" x14ac:dyDescent="0.3">
      <c r="A344">
        <v>8234</v>
      </c>
      <c r="B344">
        <v>3976</v>
      </c>
      <c r="C344">
        <v>368</v>
      </c>
      <c r="D344" t="s">
        <v>19</v>
      </c>
      <c r="E344" t="s">
        <v>16</v>
      </c>
      <c r="F344" t="s">
        <v>17</v>
      </c>
      <c r="G344" t="s">
        <v>25</v>
      </c>
      <c r="H344">
        <v>273.3</v>
      </c>
      <c r="I344">
        <v>249</v>
      </c>
      <c r="J344">
        <v>98.9</v>
      </c>
      <c r="K344">
        <v>68.5</v>
      </c>
      <c r="L344">
        <v>23.8</v>
      </c>
      <c r="M344">
        <v>9</v>
      </c>
      <c r="N344">
        <v>0.128974248620642</v>
      </c>
      <c r="O344">
        <v>2.9184278860092099E-2</v>
      </c>
      <c r="P344" t="str">
        <f t="shared" si="10"/>
        <v>F</v>
      </c>
      <c r="Q344" t="str">
        <f t="shared" si="11"/>
        <v>T</v>
      </c>
    </row>
    <row r="345" spans="1:17" hidden="1" x14ac:dyDescent="0.3">
      <c r="A345">
        <v>8240</v>
      </c>
      <c r="B345">
        <v>398</v>
      </c>
      <c r="C345">
        <v>255</v>
      </c>
      <c r="D345" t="s">
        <v>19</v>
      </c>
      <c r="E345" t="s">
        <v>16</v>
      </c>
      <c r="F345" t="s">
        <v>17</v>
      </c>
      <c r="G345" t="s">
        <v>25</v>
      </c>
      <c r="H345">
        <v>278.2</v>
      </c>
      <c r="I345">
        <v>254.5</v>
      </c>
      <c r="J345">
        <v>94.5</v>
      </c>
      <c r="K345">
        <v>67</v>
      </c>
      <c r="L345">
        <v>27.9</v>
      </c>
      <c r="M345">
        <v>11.5</v>
      </c>
      <c r="N345">
        <v>0.28945180492878703</v>
      </c>
      <c r="O345">
        <v>0.100644433519178</v>
      </c>
      <c r="P345" t="str">
        <f t="shared" si="10"/>
        <v>F</v>
      </c>
      <c r="Q345" t="str">
        <f t="shared" si="11"/>
        <v>F</v>
      </c>
    </row>
    <row r="346" spans="1:17" hidden="1" x14ac:dyDescent="0.3">
      <c r="A346">
        <v>8245</v>
      </c>
      <c r="B346">
        <v>3980</v>
      </c>
      <c r="C346">
        <v>388</v>
      </c>
      <c r="D346" t="s">
        <v>19</v>
      </c>
      <c r="E346" t="s">
        <v>16</v>
      </c>
      <c r="F346" t="s">
        <v>17</v>
      </c>
      <c r="G346" t="s">
        <v>25</v>
      </c>
      <c r="H346">
        <v>277.10000000000002</v>
      </c>
      <c r="I346">
        <v>244.5</v>
      </c>
      <c r="J346">
        <v>91.9</v>
      </c>
      <c r="K346">
        <v>62.5</v>
      </c>
      <c r="L346">
        <v>25.9</v>
      </c>
      <c r="M346">
        <v>7</v>
      </c>
      <c r="N346">
        <v>9.9410072527001805E-2</v>
      </c>
      <c r="O346">
        <v>6.9536151213813596E-2</v>
      </c>
      <c r="P346" t="str">
        <f t="shared" si="10"/>
        <v>F</v>
      </c>
      <c r="Q346" t="str">
        <f t="shared" si="11"/>
        <v>F</v>
      </c>
    </row>
    <row r="347" spans="1:17" hidden="1" x14ac:dyDescent="0.3">
      <c r="A347">
        <v>8246</v>
      </c>
      <c r="B347">
        <v>3980</v>
      </c>
      <c r="C347">
        <v>388</v>
      </c>
      <c r="D347" t="s">
        <v>19</v>
      </c>
      <c r="E347" t="s">
        <v>16</v>
      </c>
      <c r="F347" t="s">
        <v>17</v>
      </c>
      <c r="G347" t="s">
        <v>25</v>
      </c>
      <c r="H347">
        <v>277.10000000000002</v>
      </c>
      <c r="I347">
        <v>244.5</v>
      </c>
      <c r="J347">
        <v>91.9</v>
      </c>
      <c r="K347">
        <v>62.5</v>
      </c>
      <c r="L347">
        <v>25.9</v>
      </c>
      <c r="M347">
        <v>7</v>
      </c>
      <c r="N347">
        <v>0.111683706708422</v>
      </c>
      <c r="O347">
        <v>6.7502905504481597E-2</v>
      </c>
      <c r="P347" t="str">
        <f t="shared" si="10"/>
        <v>F</v>
      </c>
      <c r="Q347" t="str">
        <f t="shared" si="11"/>
        <v>F</v>
      </c>
    </row>
    <row r="348" spans="1:17" hidden="1" x14ac:dyDescent="0.3">
      <c r="A348">
        <v>8247</v>
      </c>
      <c r="B348">
        <v>3980</v>
      </c>
      <c r="C348">
        <v>388</v>
      </c>
      <c r="D348" t="s">
        <v>19</v>
      </c>
      <c r="E348" t="s">
        <v>16</v>
      </c>
      <c r="F348" t="s">
        <v>17</v>
      </c>
      <c r="G348" t="s">
        <v>25</v>
      </c>
      <c r="H348">
        <v>277.10000000000002</v>
      </c>
      <c r="I348">
        <v>244.5</v>
      </c>
      <c r="J348">
        <v>91.9</v>
      </c>
      <c r="K348">
        <v>62.5</v>
      </c>
      <c r="L348">
        <v>25.9</v>
      </c>
      <c r="M348">
        <v>7</v>
      </c>
      <c r="N348">
        <v>0.107464830339595</v>
      </c>
      <c r="O348">
        <v>5.3697884840277002E-2</v>
      </c>
      <c r="P348" t="str">
        <f t="shared" si="10"/>
        <v>F</v>
      </c>
      <c r="Q348" t="str">
        <f t="shared" si="11"/>
        <v>T</v>
      </c>
    </row>
    <row r="349" spans="1:17" hidden="1" x14ac:dyDescent="0.3">
      <c r="A349">
        <v>8248</v>
      </c>
      <c r="B349">
        <v>3980</v>
      </c>
      <c r="C349">
        <v>388</v>
      </c>
      <c r="D349" t="s">
        <v>19</v>
      </c>
      <c r="E349" t="s">
        <v>16</v>
      </c>
      <c r="F349" t="s">
        <v>17</v>
      </c>
      <c r="G349" t="s">
        <v>25</v>
      </c>
      <c r="H349">
        <v>277.10000000000002</v>
      </c>
      <c r="I349">
        <v>244.5</v>
      </c>
      <c r="J349">
        <v>91.9</v>
      </c>
      <c r="K349">
        <v>62.5</v>
      </c>
      <c r="L349">
        <v>25.9</v>
      </c>
      <c r="M349">
        <v>7</v>
      </c>
      <c r="N349">
        <v>9.9535000754187503E-2</v>
      </c>
      <c r="O349">
        <v>6.3264424298351399E-2</v>
      </c>
      <c r="P349" t="str">
        <f t="shared" si="10"/>
        <v>F</v>
      </c>
      <c r="Q349" t="str">
        <f t="shared" si="11"/>
        <v>T</v>
      </c>
    </row>
    <row r="350" spans="1:17" hidden="1" x14ac:dyDescent="0.3">
      <c r="A350">
        <v>8249</v>
      </c>
      <c r="B350">
        <v>3980</v>
      </c>
      <c r="C350">
        <v>388</v>
      </c>
      <c r="D350" t="s">
        <v>19</v>
      </c>
      <c r="E350" t="s">
        <v>16</v>
      </c>
      <c r="F350" t="s">
        <v>17</v>
      </c>
      <c r="G350" t="s">
        <v>25</v>
      </c>
      <c r="H350">
        <v>277.10000000000002</v>
      </c>
      <c r="I350">
        <v>244.5</v>
      </c>
      <c r="J350">
        <v>91.9</v>
      </c>
      <c r="K350">
        <v>62.5</v>
      </c>
      <c r="L350">
        <v>25.9</v>
      </c>
      <c r="M350">
        <v>7</v>
      </c>
      <c r="N350">
        <v>8.5259320817649004E-2</v>
      </c>
      <c r="O350">
        <v>7.61028647677367E-2</v>
      </c>
      <c r="P350" t="str">
        <f t="shared" si="10"/>
        <v>T</v>
      </c>
      <c r="Q350" t="str">
        <f t="shared" si="11"/>
        <v>F</v>
      </c>
    </row>
    <row r="351" spans="1:17" hidden="1" x14ac:dyDescent="0.3">
      <c r="A351">
        <v>8250</v>
      </c>
      <c r="B351">
        <v>3980</v>
      </c>
      <c r="C351">
        <v>388</v>
      </c>
      <c r="D351" t="s">
        <v>19</v>
      </c>
      <c r="E351" t="s">
        <v>16</v>
      </c>
      <c r="F351" t="s">
        <v>17</v>
      </c>
      <c r="G351" t="s">
        <v>25</v>
      </c>
      <c r="H351">
        <v>277.10000000000002</v>
      </c>
      <c r="I351">
        <v>244.5</v>
      </c>
      <c r="J351">
        <v>91.9</v>
      </c>
      <c r="K351">
        <v>62.5</v>
      </c>
      <c r="L351">
        <v>25.9</v>
      </c>
      <c r="M351">
        <v>7</v>
      </c>
      <c r="N351">
        <v>7.98579470473436E-2</v>
      </c>
      <c r="O351">
        <v>8.4347937300559603E-2</v>
      </c>
      <c r="P351" t="str">
        <f t="shared" si="10"/>
        <v>T</v>
      </c>
      <c r="Q351" t="str">
        <f t="shared" si="11"/>
        <v>F</v>
      </c>
    </row>
    <row r="352" spans="1:17" hidden="1" x14ac:dyDescent="0.3">
      <c r="A352">
        <v>8272</v>
      </c>
      <c r="B352">
        <v>3990</v>
      </c>
      <c r="C352">
        <v>218</v>
      </c>
      <c r="D352" t="s">
        <v>19</v>
      </c>
      <c r="E352" t="s">
        <v>16</v>
      </c>
      <c r="F352" t="s">
        <v>21</v>
      </c>
      <c r="G352" t="s">
        <v>22</v>
      </c>
      <c r="H352">
        <v>274.5</v>
      </c>
      <c r="I352">
        <v>258</v>
      </c>
      <c r="J352">
        <v>101.5</v>
      </c>
      <c r="K352">
        <v>66.5</v>
      </c>
      <c r="L352">
        <v>27.9</v>
      </c>
      <c r="M352">
        <v>10</v>
      </c>
      <c r="N352">
        <v>0.14016995022488399</v>
      </c>
      <c r="O352">
        <v>0.102413115650635</v>
      </c>
      <c r="P352" t="str">
        <f t="shared" si="10"/>
        <v>F</v>
      </c>
      <c r="Q352" t="str">
        <f t="shared" si="11"/>
        <v>F</v>
      </c>
    </row>
    <row r="353" spans="1:17" hidden="1" x14ac:dyDescent="0.3">
      <c r="A353">
        <v>8273</v>
      </c>
      <c r="B353">
        <v>3990</v>
      </c>
      <c r="C353">
        <v>218</v>
      </c>
      <c r="D353" t="s">
        <v>19</v>
      </c>
      <c r="E353" t="s">
        <v>16</v>
      </c>
      <c r="F353" t="s">
        <v>21</v>
      </c>
      <c r="G353" t="s">
        <v>22</v>
      </c>
      <c r="H353">
        <v>274.5</v>
      </c>
      <c r="I353">
        <v>258</v>
      </c>
      <c r="J353">
        <v>101.5</v>
      </c>
      <c r="K353">
        <v>66.5</v>
      </c>
      <c r="L353">
        <v>27.9</v>
      </c>
      <c r="M353">
        <v>10</v>
      </c>
      <c r="N353">
        <v>0.132689591016871</v>
      </c>
      <c r="O353">
        <v>9.5761298804932393E-2</v>
      </c>
      <c r="P353" t="str">
        <f t="shared" si="10"/>
        <v>F</v>
      </c>
      <c r="Q353" t="str">
        <f t="shared" si="11"/>
        <v>F</v>
      </c>
    </row>
    <row r="354" spans="1:17" hidden="1" x14ac:dyDescent="0.3">
      <c r="A354">
        <v>8289</v>
      </c>
      <c r="B354">
        <v>3995</v>
      </c>
      <c r="C354">
        <v>12</v>
      </c>
      <c r="D354" t="s">
        <v>19</v>
      </c>
      <c r="E354" t="s">
        <v>16</v>
      </c>
      <c r="F354" t="s">
        <v>17</v>
      </c>
      <c r="G354" t="s">
        <v>18</v>
      </c>
      <c r="H354">
        <v>280.39999999999998</v>
      </c>
      <c r="I354">
        <v>260</v>
      </c>
      <c r="J354">
        <v>102.4</v>
      </c>
      <c r="K354">
        <v>69.5</v>
      </c>
      <c r="L354">
        <v>28.2</v>
      </c>
      <c r="M354">
        <v>9</v>
      </c>
      <c r="N354">
        <v>0.12712952678355399</v>
      </c>
      <c r="O354">
        <v>0.101199877448786</v>
      </c>
      <c r="P354" t="str">
        <f t="shared" si="10"/>
        <v>F</v>
      </c>
      <c r="Q354" t="str">
        <f t="shared" si="11"/>
        <v>F</v>
      </c>
    </row>
    <row r="355" spans="1:17" hidden="1" x14ac:dyDescent="0.3">
      <c r="A355">
        <v>8290</v>
      </c>
      <c r="B355">
        <v>3995</v>
      </c>
      <c r="C355">
        <v>12</v>
      </c>
      <c r="D355" t="s">
        <v>19</v>
      </c>
      <c r="E355" t="s">
        <v>16</v>
      </c>
      <c r="F355" t="s">
        <v>17</v>
      </c>
      <c r="G355" t="s">
        <v>18</v>
      </c>
      <c r="H355">
        <v>280.39999999999998</v>
      </c>
      <c r="I355">
        <v>260</v>
      </c>
      <c r="J355">
        <v>102.4</v>
      </c>
      <c r="K355">
        <v>69.5</v>
      </c>
      <c r="L355">
        <v>28.2</v>
      </c>
      <c r="M355">
        <v>9</v>
      </c>
      <c r="N355">
        <v>0.157026920577268</v>
      </c>
      <c r="O355">
        <v>0.13230841070024499</v>
      </c>
      <c r="P355" t="str">
        <f t="shared" si="10"/>
        <v>F</v>
      </c>
      <c r="Q355" t="str">
        <f t="shared" si="11"/>
        <v>F</v>
      </c>
    </row>
    <row r="356" spans="1:17" hidden="1" x14ac:dyDescent="0.3">
      <c r="A356">
        <v>8291</v>
      </c>
      <c r="B356">
        <v>3995</v>
      </c>
      <c r="C356">
        <v>12</v>
      </c>
      <c r="D356" t="s">
        <v>19</v>
      </c>
      <c r="E356" t="s">
        <v>16</v>
      </c>
      <c r="F356" t="s">
        <v>17</v>
      </c>
      <c r="G356" t="s">
        <v>18</v>
      </c>
      <c r="H356">
        <v>280.39999999999998</v>
      </c>
      <c r="I356">
        <v>260</v>
      </c>
      <c r="J356">
        <v>102.4</v>
      </c>
      <c r="K356">
        <v>69.5</v>
      </c>
      <c r="L356">
        <v>28.2</v>
      </c>
      <c r="M356">
        <v>9</v>
      </c>
      <c r="N356">
        <v>0.15817366954205</v>
      </c>
      <c r="O356">
        <v>0.109350529639738</v>
      </c>
      <c r="P356" t="str">
        <f t="shared" si="10"/>
        <v>F</v>
      </c>
      <c r="Q356" t="str">
        <f t="shared" si="11"/>
        <v>F</v>
      </c>
    </row>
    <row r="357" spans="1:17" hidden="1" x14ac:dyDescent="0.3">
      <c r="A357">
        <v>8292</v>
      </c>
      <c r="B357">
        <v>3995</v>
      </c>
      <c r="C357">
        <v>12</v>
      </c>
      <c r="D357" t="s">
        <v>19</v>
      </c>
      <c r="E357" t="s">
        <v>16</v>
      </c>
      <c r="F357" t="s">
        <v>17</v>
      </c>
      <c r="G357" t="s">
        <v>18</v>
      </c>
      <c r="H357">
        <v>280.39999999999998</v>
      </c>
      <c r="I357">
        <v>260</v>
      </c>
      <c r="J357">
        <v>102.4</v>
      </c>
      <c r="K357">
        <v>69.5</v>
      </c>
      <c r="L357">
        <v>28.2</v>
      </c>
      <c r="M357">
        <v>9</v>
      </c>
      <c r="N357">
        <v>0.143356247621056</v>
      </c>
      <c r="O357">
        <v>0.122917831430219</v>
      </c>
      <c r="P357" t="str">
        <f t="shared" si="10"/>
        <v>F</v>
      </c>
      <c r="Q357" t="str">
        <f t="shared" si="11"/>
        <v>F</v>
      </c>
    </row>
    <row r="358" spans="1:17" hidden="1" x14ac:dyDescent="0.3">
      <c r="A358">
        <v>8314</v>
      </c>
      <c r="B358">
        <v>40</v>
      </c>
      <c r="C358">
        <v>218</v>
      </c>
      <c r="D358" t="s">
        <v>19</v>
      </c>
      <c r="E358" t="s">
        <v>16</v>
      </c>
      <c r="F358" t="s">
        <v>21</v>
      </c>
      <c r="G358" t="s">
        <v>18</v>
      </c>
      <c r="H358">
        <v>274.5</v>
      </c>
      <c r="I358">
        <v>258</v>
      </c>
      <c r="J358">
        <v>101.5</v>
      </c>
      <c r="K358">
        <v>66.5</v>
      </c>
      <c r="L358">
        <v>27.9</v>
      </c>
      <c r="M358">
        <v>10</v>
      </c>
      <c r="N358">
        <v>0.138467100761197</v>
      </c>
      <c r="O358">
        <v>0.10539621857237901</v>
      </c>
      <c r="P358" t="str">
        <f t="shared" si="10"/>
        <v>F</v>
      </c>
      <c r="Q358" t="str">
        <f t="shared" si="11"/>
        <v>F</v>
      </c>
    </row>
    <row r="359" spans="1:17" hidden="1" x14ac:dyDescent="0.3">
      <c r="A359">
        <v>8315</v>
      </c>
      <c r="B359">
        <v>40</v>
      </c>
      <c r="C359">
        <v>218</v>
      </c>
      <c r="D359" t="s">
        <v>19</v>
      </c>
      <c r="E359" t="s">
        <v>16</v>
      </c>
      <c r="F359" t="s">
        <v>21</v>
      </c>
      <c r="G359" t="s">
        <v>18</v>
      </c>
      <c r="H359">
        <v>274.5</v>
      </c>
      <c r="I359">
        <v>258</v>
      </c>
      <c r="J359">
        <v>101.5</v>
      </c>
      <c r="K359">
        <v>66.5</v>
      </c>
      <c r="L359">
        <v>27.9</v>
      </c>
      <c r="M359">
        <v>10</v>
      </c>
      <c r="N359">
        <v>0.13371679394357899</v>
      </c>
      <c r="O359">
        <v>0.100018881071087</v>
      </c>
      <c r="P359" t="str">
        <f t="shared" si="10"/>
        <v>F</v>
      </c>
      <c r="Q359" t="str">
        <f t="shared" si="11"/>
        <v>F</v>
      </c>
    </row>
    <row r="360" spans="1:17" hidden="1" x14ac:dyDescent="0.3">
      <c r="A360">
        <v>8316</v>
      </c>
      <c r="B360">
        <v>40</v>
      </c>
      <c r="C360">
        <v>218</v>
      </c>
      <c r="D360" t="s">
        <v>19</v>
      </c>
      <c r="E360" t="s">
        <v>16</v>
      </c>
      <c r="F360" t="s">
        <v>21</v>
      </c>
      <c r="G360" t="s">
        <v>18</v>
      </c>
      <c r="H360">
        <v>274.5</v>
      </c>
      <c r="I360">
        <v>258</v>
      </c>
      <c r="J360">
        <v>101.5</v>
      </c>
      <c r="K360">
        <v>66.5</v>
      </c>
      <c r="L360">
        <v>27.9</v>
      </c>
      <c r="M360">
        <v>10</v>
      </c>
      <c r="N360">
        <v>0.14125002883367099</v>
      </c>
      <c r="O360">
        <v>9.75588148525314E-2</v>
      </c>
      <c r="P360" t="str">
        <f t="shared" si="10"/>
        <v>F</v>
      </c>
      <c r="Q360" t="str">
        <f t="shared" si="11"/>
        <v>F</v>
      </c>
    </row>
    <row r="361" spans="1:17" hidden="1" x14ac:dyDescent="0.3">
      <c r="A361">
        <v>8317</v>
      </c>
      <c r="B361">
        <v>40</v>
      </c>
      <c r="C361">
        <v>218</v>
      </c>
      <c r="D361" t="s">
        <v>19</v>
      </c>
      <c r="E361" t="s">
        <v>16</v>
      </c>
      <c r="F361" t="s">
        <v>21</v>
      </c>
      <c r="G361" t="s">
        <v>18</v>
      </c>
      <c r="H361">
        <v>274.5</v>
      </c>
      <c r="I361">
        <v>258</v>
      </c>
      <c r="J361">
        <v>101.5</v>
      </c>
      <c r="K361">
        <v>66.5</v>
      </c>
      <c r="L361">
        <v>27.9</v>
      </c>
      <c r="M361">
        <v>10</v>
      </c>
      <c r="N361">
        <v>0.14078226151109199</v>
      </c>
      <c r="O361">
        <v>9.4484511273522795E-2</v>
      </c>
      <c r="P361" t="str">
        <f t="shared" si="10"/>
        <v>F</v>
      </c>
      <c r="Q361" t="str">
        <f t="shared" si="11"/>
        <v>F</v>
      </c>
    </row>
    <row r="362" spans="1:17" hidden="1" x14ac:dyDescent="0.3">
      <c r="A362">
        <v>8441</v>
      </c>
      <c r="B362">
        <v>450</v>
      </c>
      <c r="C362">
        <v>405</v>
      </c>
      <c r="D362" t="s">
        <v>19</v>
      </c>
      <c r="E362" t="s">
        <v>16</v>
      </c>
      <c r="F362" t="s">
        <v>21</v>
      </c>
      <c r="G362" t="s">
        <v>25</v>
      </c>
      <c r="H362">
        <v>277.60000000000002</v>
      </c>
      <c r="I362">
        <v>250</v>
      </c>
      <c r="J362">
        <v>93.4</v>
      </c>
      <c r="K362">
        <v>67.5</v>
      </c>
      <c r="L362">
        <v>29.4</v>
      </c>
      <c r="M362">
        <v>6</v>
      </c>
      <c r="N362">
        <v>0.31344553868601399</v>
      </c>
      <c r="O362">
        <v>8.1674735051684294E-2</v>
      </c>
      <c r="P362" t="str">
        <f t="shared" si="10"/>
        <v>F</v>
      </c>
      <c r="Q362" t="str">
        <f t="shared" si="11"/>
        <v>F</v>
      </c>
    </row>
    <row r="363" spans="1:17" hidden="1" x14ac:dyDescent="0.3">
      <c r="A363">
        <v>8730</v>
      </c>
      <c r="B363">
        <v>551</v>
      </c>
      <c r="C363">
        <v>255</v>
      </c>
      <c r="D363" t="s">
        <v>19</v>
      </c>
      <c r="E363" t="s">
        <v>16</v>
      </c>
      <c r="F363" t="s">
        <v>17</v>
      </c>
      <c r="G363" t="s">
        <v>25</v>
      </c>
      <c r="H363">
        <v>278.2</v>
      </c>
      <c r="I363">
        <v>254.5</v>
      </c>
      <c r="J363">
        <v>94.5</v>
      </c>
      <c r="K363">
        <v>67</v>
      </c>
      <c r="L363">
        <v>27.9</v>
      </c>
      <c r="M363">
        <v>11.5</v>
      </c>
      <c r="N363">
        <v>0.26231979790367299</v>
      </c>
      <c r="O363">
        <v>0.127069257381874</v>
      </c>
      <c r="P363" t="str">
        <f t="shared" si="10"/>
        <v>F</v>
      </c>
      <c r="Q363" t="str">
        <f t="shared" si="11"/>
        <v>F</v>
      </c>
    </row>
    <row r="364" spans="1:17" hidden="1" x14ac:dyDescent="0.3">
      <c r="A364">
        <v>8732</v>
      </c>
      <c r="B364">
        <v>551</v>
      </c>
      <c r="C364">
        <v>255</v>
      </c>
      <c r="D364" t="s">
        <v>19</v>
      </c>
      <c r="E364" t="s">
        <v>16</v>
      </c>
      <c r="F364" t="s">
        <v>17</v>
      </c>
      <c r="G364" t="s">
        <v>25</v>
      </c>
      <c r="H364">
        <v>278.2</v>
      </c>
      <c r="I364">
        <v>254.5</v>
      </c>
      <c r="J364">
        <v>94.5</v>
      </c>
      <c r="K364">
        <v>67</v>
      </c>
      <c r="L364">
        <v>27.9</v>
      </c>
      <c r="M364">
        <v>11.5</v>
      </c>
      <c r="N364">
        <v>0.284677061718977</v>
      </c>
      <c r="O364">
        <v>0.110891608512085</v>
      </c>
      <c r="P364" t="str">
        <f t="shared" si="10"/>
        <v>F</v>
      </c>
      <c r="Q364" t="str">
        <f t="shared" si="11"/>
        <v>F</v>
      </c>
    </row>
    <row r="365" spans="1:17" hidden="1" x14ac:dyDescent="0.3">
      <c r="A365">
        <v>8781</v>
      </c>
      <c r="B365">
        <v>569</v>
      </c>
      <c r="C365">
        <v>180</v>
      </c>
      <c r="D365" t="s">
        <v>19</v>
      </c>
      <c r="E365" t="s">
        <v>16</v>
      </c>
      <c r="F365" t="s">
        <v>21</v>
      </c>
      <c r="G365" t="s">
        <v>18</v>
      </c>
      <c r="H365">
        <v>277.3</v>
      </c>
      <c r="I365">
        <v>253.5</v>
      </c>
      <c r="J365">
        <v>97.5</v>
      </c>
      <c r="K365">
        <v>67</v>
      </c>
      <c r="L365">
        <v>29.4</v>
      </c>
      <c r="M365">
        <v>9</v>
      </c>
      <c r="N365">
        <v>4.9013630766653202E-2</v>
      </c>
      <c r="O365">
        <v>0.10671820582045199</v>
      </c>
      <c r="P365" t="str">
        <f t="shared" si="10"/>
        <v>T</v>
      </c>
      <c r="Q365" t="str">
        <f t="shared" si="11"/>
        <v>F</v>
      </c>
    </row>
    <row r="366" spans="1:17" hidden="1" x14ac:dyDescent="0.3">
      <c r="A366">
        <v>8844</v>
      </c>
      <c r="B366">
        <v>591</v>
      </c>
      <c r="C366">
        <v>417</v>
      </c>
      <c r="D366" t="s">
        <v>19</v>
      </c>
      <c r="E366" t="s">
        <v>16</v>
      </c>
      <c r="F366" t="s">
        <v>17</v>
      </c>
      <c r="G366" t="s">
        <v>26</v>
      </c>
      <c r="H366">
        <v>268.60000000000002</v>
      </c>
      <c r="I366">
        <v>234.5</v>
      </c>
      <c r="J366">
        <v>92.8</v>
      </c>
      <c r="K366">
        <v>64</v>
      </c>
      <c r="L366">
        <v>24.3</v>
      </c>
      <c r="M366">
        <v>5</v>
      </c>
      <c r="N366">
        <v>0.22499965903702401</v>
      </c>
      <c r="O366">
        <v>0.14069981605749299</v>
      </c>
      <c r="P366" t="str">
        <f t="shared" si="10"/>
        <v>F</v>
      </c>
      <c r="Q366" t="str">
        <f t="shared" si="11"/>
        <v>F</v>
      </c>
    </row>
    <row r="367" spans="1:17" hidden="1" x14ac:dyDescent="0.3">
      <c r="A367">
        <v>8845</v>
      </c>
      <c r="B367">
        <v>591</v>
      </c>
      <c r="C367">
        <v>417</v>
      </c>
      <c r="D367" t="s">
        <v>19</v>
      </c>
      <c r="E367" t="s">
        <v>16</v>
      </c>
      <c r="F367" t="s">
        <v>17</v>
      </c>
      <c r="G367" t="s">
        <v>26</v>
      </c>
      <c r="H367">
        <v>268.60000000000002</v>
      </c>
      <c r="I367">
        <v>234.5</v>
      </c>
      <c r="J367">
        <v>92.8</v>
      </c>
      <c r="K367">
        <v>64</v>
      </c>
      <c r="L367">
        <v>24.3</v>
      </c>
      <c r="M367">
        <v>5</v>
      </c>
      <c r="N367">
        <v>0.226327323075179</v>
      </c>
      <c r="O367">
        <v>0.154361297085613</v>
      </c>
      <c r="P367" t="str">
        <f t="shared" si="10"/>
        <v>F</v>
      </c>
      <c r="Q367" t="str">
        <f t="shared" si="11"/>
        <v>F</v>
      </c>
    </row>
    <row r="368" spans="1:17" hidden="1" x14ac:dyDescent="0.3">
      <c r="A368">
        <v>8846</v>
      </c>
      <c r="B368">
        <v>591</v>
      </c>
      <c r="C368">
        <v>417</v>
      </c>
      <c r="D368" t="s">
        <v>19</v>
      </c>
      <c r="E368" t="s">
        <v>16</v>
      </c>
      <c r="F368" t="s">
        <v>17</v>
      </c>
      <c r="G368" t="s">
        <v>26</v>
      </c>
      <c r="H368">
        <v>268.60000000000002</v>
      </c>
      <c r="I368">
        <v>234.5</v>
      </c>
      <c r="J368">
        <v>92.8</v>
      </c>
      <c r="K368">
        <v>64</v>
      </c>
      <c r="L368">
        <v>24.3</v>
      </c>
      <c r="M368">
        <v>5</v>
      </c>
      <c r="N368">
        <v>0.21642415413032101</v>
      </c>
      <c r="O368">
        <v>0.158820089955447</v>
      </c>
      <c r="P368" t="str">
        <f t="shared" si="10"/>
        <v>F</v>
      </c>
      <c r="Q368" t="str">
        <f t="shared" si="11"/>
        <v>F</v>
      </c>
    </row>
    <row r="369" spans="1:17" x14ac:dyDescent="0.3">
      <c r="A369" s="1">
        <v>8913</v>
      </c>
      <c r="B369" s="1">
        <v>614</v>
      </c>
      <c r="C369" s="1">
        <v>388</v>
      </c>
      <c r="D369" s="1" t="s">
        <v>19</v>
      </c>
      <c r="E369" s="1" t="s">
        <v>16</v>
      </c>
      <c r="F369" s="1" t="s">
        <v>17</v>
      </c>
      <c r="G369" s="1" t="s">
        <v>25</v>
      </c>
      <c r="H369" s="1">
        <v>277.10000000000002</v>
      </c>
      <c r="I369" s="1">
        <v>244.5</v>
      </c>
      <c r="J369" s="1">
        <v>91.9</v>
      </c>
      <c r="K369" s="1">
        <v>62.5</v>
      </c>
      <c r="L369" s="1">
        <v>25.9</v>
      </c>
      <c r="M369" s="1">
        <v>7</v>
      </c>
      <c r="N369" s="1">
        <v>9.2611065687658894E-2</v>
      </c>
      <c r="O369" s="1">
        <v>6.0253097101780499E-2</v>
      </c>
      <c r="P369" s="1" t="str">
        <f t="shared" si="10"/>
        <v>T</v>
      </c>
      <c r="Q369" s="1" t="str">
        <f t="shared" si="11"/>
        <v>T</v>
      </c>
    </row>
    <row r="370" spans="1:17" hidden="1" x14ac:dyDescent="0.3">
      <c r="A370">
        <v>8914</v>
      </c>
      <c r="B370">
        <v>614</v>
      </c>
      <c r="C370">
        <v>388</v>
      </c>
      <c r="D370" t="s">
        <v>19</v>
      </c>
      <c r="E370" t="s">
        <v>16</v>
      </c>
      <c r="F370" t="s">
        <v>17</v>
      </c>
      <c r="G370" t="s">
        <v>25</v>
      </c>
      <c r="H370">
        <v>277.10000000000002</v>
      </c>
      <c r="I370">
        <v>244.5</v>
      </c>
      <c r="J370">
        <v>91.9</v>
      </c>
      <c r="K370">
        <v>62.5</v>
      </c>
      <c r="L370">
        <v>25.9</v>
      </c>
      <c r="M370">
        <v>7</v>
      </c>
      <c r="N370">
        <v>8.3923326209359994E-2</v>
      </c>
      <c r="O370">
        <v>8.2800314718746798E-2</v>
      </c>
      <c r="P370" t="str">
        <f t="shared" si="10"/>
        <v>T</v>
      </c>
      <c r="Q370" t="str">
        <f t="shared" si="11"/>
        <v>F</v>
      </c>
    </row>
    <row r="371" spans="1:17" hidden="1" x14ac:dyDescent="0.3">
      <c r="A371">
        <v>8915</v>
      </c>
      <c r="B371">
        <v>614</v>
      </c>
      <c r="C371">
        <v>388</v>
      </c>
      <c r="D371" t="s">
        <v>19</v>
      </c>
      <c r="E371" t="s">
        <v>16</v>
      </c>
      <c r="F371" t="s">
        <v>17</v>
      </c>
      <c r="G371" t="s">
        <v>25</v>
      </c>
      <c r="H371">
        <v>277.10000000000002</v>
      </c>
      <c r="I371">
        <v>244.5</v>
      </c>
      <c r="J371">
        <v>91.9</v>
      </c>
      <c r="K371">
        <v>62.5</v>
      </c>
      <c r="L371">
        <v>25.9</v>
      </c>
      <c r="M371">
        <v>7</v>
      </c>
      <c r="N371">
        <v>8.3031155751584707E-2</v>
      </c>
      <c r="O371">
        <v>8.8519842059859993E-2</v>
      </c>
      <c r="P371" t="str">
        <f t="shared" si="10"/>
        <v>T</v>
      </c>
      <c r="Q371" t="str">
        <f t="shared" si="11"/>
        <v>F</v>
      </c>
    </row>
    <row r="372" spans="1:17" hidden="1" x14ac:dyDescent="0.3">
      <c r="A372">
        <v>8916</v>
      </c>
      <c r="B372">
        <v>614</v>
      </c>
      <c r="C372">
        <v>388</v>
      </c>
      <c r="D372" t="s">
        <v>19</v>
      </c>
      <c r="E372" t="s">
        <v>16</v>
      </c>
      <c r="F372" t="s">
        <v>17</v>
      </c>
      <c r="G372" t="s">
        <v>25</v>
      </c>
      <c r="H372">
        <v>277.10000000000002</v>
      </c>
      <c r="I372">
        <v>244.5</v>
      </c>
      <c r="J372">
        <v>91.9</v>
      </c>
      <c r="K372">
        <v>62.5</v>
      </c>
      <c r="L372">
        <v>25.9</v>
      </c>
      <c r="M372">
        <v>7</v>
      </c>
      <c r="N372">
        <v>0.113518340800262</v>
      </c>
      <c r="O372">
        <v>5.4124957349298203E-2</v>
      </c>
      <c r="P372" t="str">
        <f t="shared" si="10"/>
        <v>F</v>
      </c>
      <c r="Q372" t="str">
        <f t="shared" si="11"/>
        <v>T</v>
      </c>
    </row>
    <row r="373" spans="1:17" hidden="1" x14ac:dyDescent="0.3">
      <c r="A373">
        <v>9102</v>
      </c>
      <c r="B373">
        <v>672</v>
      </c>
      <c r="C373">
        <v>12</v>
      </c>
      <c r="D373" t="s">
        <v>19</v>
      </c>
      <c r="E373" t="s">
        <v>16</v>
      </c>
      <c r="F373" t="s">
        <v>21</v>
      </c>
      <c r="G373" t="s">
        <v>26</v>
      </c>
      <c r="H373">
        <v>280.39999999999998</v>
      </c>
      <c r="I373">
        <v>260</v>
      </c>
      <c r="J373">
        <v>102.4</v>
      </c>
      <c r="K373">
        <v>69.5</v>
      </c>
      <c r="L373">
        <v>28.2</v>
      </c>
      <c r="M373">
        <v>9</v>
      </c>
      <c r="N373">
        <v>0.144292374293083</v>
      </c>
      <c r="O373">
        <v>0.113305957015811</v>
      </c>
      <c r="P373" t="str">
        <f t="shared" si="10"/>
        <v>F</v>
      </c>
      <c r="Q373" t="str">
        <f t="shared" si="11"/>
        <v>F</v>
      </c>
    </row>
    <row r="374" spans="1:17" hidden="1" x14ac:dyDescent="0.3">
      <c r="A374">
        <v>9127</v>
      </c>
      <c r="B374">
        <v>683</v>
      </c>
      <c r="C374">
        <v>387</v>
      </c>
      <c r="D374" t="s">
        <v>19</v>
      </c>
      <c r="E374" t="s">
        <v>16</v>
      </c>
      <c r="F374" t="s">
        <v>17</v>
      </c>
      <c r="G374" t="s">
        <v>26</v>
      </c>
      <c r="H374">
        <v>275.2</v>
      </c>
      <c r="I374">
        <v>249.5</v>
      </c>
      <c r="J374">
        <v>96.8</v>
      </c>
      <c r="K374">
        <v>66</v>
      </c>
      <c r="L374">
        <v>25.3</v>
      </c>
      <c r="M374">
        <v>8.5</v>
      </c>
      <c r="N374">
        <v>8.5363986230837005E-2</v>
      </c>
      <c r="O374">
        <v>9.0094995813730899E-2</v>
      </c>
      <c r="P374" t="str">
        <f t="shared" si="10"/>
        <v>T</v>
      </c>
      <c r="Q374" t="str">
        <f t="shared" si="11"/>
        <v>F</v>
      </c>
    </row>
    <row r="375" spans="1:17" hidden="1" x14ac:dyDescent="0.3">
      <c r="A375">
        <v>9128</v>
      </c>
      <c r="B375">
        <v>683</v>
      </c>
      <c r="C375">
        <v>387</v>
      </c>
      <c r="D375" t="s">
        <v>19</v>
      </c>
      <c r="E375" t="s">
        <v>16</v>
      </c>
      <c r="F375" t="s">
        <v>17</v>
      </c>
      <c r="G375" t="s">
        <v>26</v>
      </c>
      <c r="H375">
        <v>275.2</v>
      </c>
      <c r="I375">
        <v>249.5</v>
      </c>
      <c r="J375">
        <v>96.8</v>
      </c>
      <c r="K375">
        <v>66</v>
      </c>
      <c r="L375">
        <v>25.3</v>
      </c>
      <c r="M375">
        <v>8.5</v>
      </c>
      <c r="N375">
        <v>9.5710959360498102E-2</v>
      </c>
      <c r="O375">
        <v>6.8584811872169499E-2</v>
      </c>
      <c r="P375" t="str">
        <f t="shared" si="10"/>
        <v>T</v>
      </c>
      <c r="Q375" t="str">
        <f t="shared" si="11"/>
        <v>F</v>
      </c>
    </row>
    <row r="376" spans="1:17" hidden="1" x14ac:dyDescent="0.3">
      <c r="A376">
        <v>9129</v>
      </c>
      <c r="B376">
        <v>683</v>
      </c>
      <c r="C376">
        <v>387</v>
      </c>
      <c r="D376" t="s">
        <v>19</v>
      </c>
      <c r="E376" t="s">
        <v>16</v>
      </c>
      <c r="F376" t="s">
        <v>17</v>
      </c>
      <c r="G376" t="s">
        <v>26</v>
      </c>
      <c r="H376">
        <v>275.2</v>
      </c>
      <c r="I376">
        <v>249.5</v>
      </c>
      <c r="J376">
        <v>96.8</v>
      </c>
      <c r="K376">
        <v>66</v>
      </c>
      <c r="L376">
        <v>25.3</v>
      </c>
      <c r="M376">
        <v>8.5</v>
      </c>
      <c r="N376">
        <v>8.8666927183242095E-2</v>
      </c>
      <c r="O376">
        <v>8.3542954953034695E-2</v>
      </c>
      <c r="P376" t="str">
        <f t="shared" si="10"/>
        <v>T</v>
      </c>
      <c r="Q376" t="str">
        <f t="shared" si="11"/>
        <v>F</v>
      </c>
    </row>
    <row r="377" spans="1:17" hidden="1" x14ac:dyDescent="0.3">
      <c r="A377">
        <v>9130</v>
      </c>
      <c r="B377">
        <v>683</v>
      </c>
      <c r="C377">
        <v>387</v>
      </c>
      <c r="D377" t="s">
        <v>19</v>
      </c>
      <c r="E377" t="s">
        <v>16</v>
      </c>
      <c r="F377" t="s">
        <v>17</v>
      </c>
      <c r="G377" t="s">
        <v>26</v>
      </c>
      <c r="H377">
        <v>275.2</v>
      </c>
      <c r="I377">
        <v>249.5</v>
      </c>
      <c r="J377">
        <v>96.8</v>
      </c>
      <c r="K377">
        <v>66</v>
      </c>
      <c r="L377">
        <v>25.3</v>
      </c>
      <c r="M377">
        <v>8.5</v>
      </c>
      <c r="N377">
        <v>8.7942541486515896E-2</v>
      </c>
      <c r="O377">
        <v>6.5104589118452405E-2</v>
      </c>
      <c r="P377" t="str">
        <f t="shared" si="10"/>
        <v>T</v>
      </c>
      <c r="Q377" t="str">
        <f t="shared" si="11"/>
        <v>F</v>
      </c>
    </row>
    <row r="378" spans="1:17" x14ac:dyDescent="0.3">
      <c r="A378" s="1">
        <v>9131</v>
      </c>
      <c r="B378" s="1">
        <v>683</v>
      </c>
      <c r="C378" s="1">
        <v>387</v>
      </c>
      <c r="D378" s="1" t="s">
        <v>19</v>
      </c>
      <c r="E378" s="1" t="s">
        <v>16</v>
      </c>
      <c r="F378" s="1" t="s">
        <v>17</v>
      </c>
      <c r="G378" s="1" t="s">
        <v>26</v>
      </c>
      <c r="H378" s="1">
        <v>275.2</v>
      </c>
      <c r="I378" s="1">
        <v>249.5</v>
      </c>
      <c r="J378" s="1">
        <v>96.8</v>
      </c>
      <c r="K378" s="1">
        <v>66</v>
      </c>
      <c r="L378" s="1">
        <v>25.3</v>
      </c>
      <c r="M378" s="1">
        <v>8.5</v>
      </c>
      <c r="N378" s="1">
        <v>6.6567439933806996E-2</v>
      </c>
      <c r="O378" s="1">
        <v>5.4954007057110399E-2</v>
      </c>
      <c r="P378" s="1" t="str">
        <f t="shared" si="10"/>
        <v>T</v>
      </c>
      <c r="Q378" s="1" t="str">
        <f t="shared" si="11"/>
        <v>T</v>
      </c>
    </row>
    <row r="379" spans="1:17" hidden="1" x14ac:dyDescent="0.3">
      <c r="A379">
        <v>9132</v>
      </c>
      <c r="B379">
        <v>683</v>
      </c>
      <c r="C379">
        <v>387</v>
      </c>
      <c r="D379" t="s">
        <v>19</v>
      </c>
      <c r="E379" t="s">
        <v>16</v>
      </c>
      <c r="F379" t="s">
        <v>17</v>
      </c>
      <c r="G379" t="s">
        <v>26</v>
      </c>
      <c r="H379">
        <v>275.2</v>
      </c>
      <c r="I379">
        <v>249.5</v>
      </c>
      <c r="J379">
        <v>96.8</v>
      </c>
      <c r="K379">
        <v>66</v>
      </c>
      <c r="L379">
        <v>25.3</v>
      </c>
      <c r="M379">
        <v>8.5</v>
      </c>
      <c r="N379">
        <v>8.3717969387375996E-2</v>
      </c>
      <c r="O379">
        <v>8.2614986695718901E-2</v>
      </c>
      <c r="P379" t="str">
        <f t="shared" si="10"/>
        <v>T</v>
      </c>
      <c r="Q379" t="str">
        <f t="shared" si="11"/>
        <v>F</v>
      </c>
    </row>
    <row r="380" spans="1:17" hidden="1" x14ac:dyDescent="0.3">
      <c r="A380">
        <v>9200</v>
      </c>
      <c r="B380">
        <v>708</v>
      </c>
      <c r="C380">
        <v>12</v>
      </c>
      <c r="D380" t="s">
        <v>19</v>
      </c>
      <c r="E380" t="s">
        <v>16</v>
      </c>
      <c r="F380" t="s">
        <v>21</v>
      </c>
      <c r="G380" t="s">
        <v>25</v>
      </c>
      <c r="H380">
        <v>280.39999999999998</v>
      </c>
      <c r="I380">
        <v>260</v>
      </c>
      <c r="J380">
        <v>102.4</v>
      </c>
      <c r="K380">
        <v>69.5</v>
      </c>
      <c r="L380">
        <v>28.2</v>
      </c>
      <c r="M380">
        <v>9</v>
      </c>
      <c r="N380">
        <v>0.13916808573616299</v>
      </c>
      <c r="O380">
        <v>0.13186181179002199</v>
      </c>
      <c r="P380" t="str">
        <f t="shared" si="10"/>
        <v>F</v>
      </c>
      <c r="Q380" t="str">
        <f t="shared" si="11"/>
        <v>F</v>
      </c>
    </row>
    <row r="381" spans="1:17" hidden="1" x14ac:dyDescent="0.3">
      <c r="A381">
        <v>9242</v>
      </c>
      <c r="B381">
        <v>722</v>
      </c>
      <c r="C381">
        <v>368</v>
      </c>
      <c r="D381" t="s">
        <v>19</v>
      </c>
      <c r="E381" t="s">
        <v>16</v>
      </c>
      <c r="F381" t="s">
        <v>21</v>
      </c>
      <c r="G381" t="s">
        <v>18</v>
      </c>
      <c r="H381">
        <v>273.3</v>
      </c>
      <c r="I381">
        <v>249</v>
      </c>
      <c r="J381">
        <v>98.9</v>
      </c>
      <c r="K381">
        <v>68.5</v>
      </c>
      <c r="L381">
        <v>23.8</v>
      </c>
      <c r="M381">
        <v>9</v>
      </c>
      <c r="N381">
        <v>0.131263469730834</v>
      </c>
      <c r="O381">
        <v>3.4435803290267103E-2</v>
      </c>
      <c r="P381" t="str">
        <f t="shared" si="10"/>
        <v>F</v>
      </c>
      <c r="Q381" t="str">
        <f t="shared" si="11"/>
        <v>T</v>
      </c>
    </row>
    <row r="382" spans="1:17" hidden="1" x14ac:dyDescent="0.3">
      <c r="A382">
        <v>9243</v>
      </c>
      <c r="B382">
        <v>722</v>
      </c>
      <c r="C382">
        <v>368</v>
      </c>
      <c r="D382" t="s">
        <v>19</v>
      </c>
      <c r="E382" t="s">
        <v>16</v>
      </c>
      <c r="F382" t="s">
        <v>21</v>
      </c>
      <c r="G382" t="s">
        <v>18</v>
      </c>
      <c r="H382">
        <v>273.3</v>
      </c>
      <c r="I382">
        <v>249</v>
      </c>
      <c r="J382">
        <v>98.9</v>
      </c>
      <c r="K382">
        <v>68.5</v>
      </c>
      <c r="L382">
        <v>23.8</v>
      </c>
      <c r="M382">
        <v>9</v>
      </c>
      <c r="N382">
        <v>0.151261643644795</v>
      </c>
      <c r="O382">
        <v>3.0544567114174501E-2</v>
      </c>
      <c r="P382" t="str">
        <f t="shared" si="10"/>
        <v>F</v>
      </c>
      <c r="Q382" t="str">
        <f t="shared" si="11"/>
        <v>T</v>
      </c>
    </row>
    <row r="383" spans="1:17" hidden="1" x14ac:dyDescent="0.3">
      <c r="A383">
        <v>9244</v>
      </c>
      <c r="B383">
        <v>722</v>
      </c>
      <c r="C383">
        <v>368</v>
      </c>
      <c r="D383" t="s">
        <v>19</v>
      </c>
      <c r="E383" t="s">
        <v>16</v>
      </c>
      <c r="F383" t="s">
        <v>21</v>
      </c>
      <c r="G383" t="s">
        <v>18</v>
      </c>
      <c r="H383">
        <v>273.3</v>
      </c>
      <c r="I383">
        <v>249</v>
      </c>
      <c r="J383">
        <v>98.9</v>
      </c>
      <c r="K383">
        <v>68.5</v>
      </c>
      <c r="L383">
        <v>23.8</v>
      </c>
      <c r="M383">
        <v>9</v>
      </c>
      <c r="N383">
        <v>0.15798501801682899</v>
      </c>
      <c r="O383">
        <v>3.6143076882591697E-2</v>
      </c>
      <c r="P383" t="str">
        <f t="shared" si="10"/>
        <v>F</v>
      </c>
      <c r="Q383" t="str">
        <f t="shared" si="11"/>
        <v>T</v>
      </c>
    </row>
    <row r="384" spans="1:17" hidden="1" x14ac:dyDescent="0.3">
      <c r="A384">
        <v>9268</v>
      </c>
      <c r="B384">
        <v>733</v>
      </c>
      <c r="C384">
        <v>114</v>
      </c>
      <c r="D384" t="s">
        <v>19</v>
      </c>
      <c r="E384" t="s">
        <v>16</v>
      </c>
      <c r="F384" t="s">
        <v>17</v>
      </c>
      <c r="G384" t="s">
        <v>24</v>
      </c>
      <c r="H384">
        <v>275.89999999999998</v>
      </c>
      <c r="I384">
        <v>254</v>
      </c>
      <c r="J384">
        <v>97.2</v>
      </c>
      <c r="K384">
        <v>66.5</v>
      </c>
      <c r="L384">
        <v>28.5</v>
      </c>
      <c r="M384">
        <v>5.5</v>
      </c>
      <c r="N384">
        <v>0.116011671552645</v>
      </c>
      <c r="O384">
        <v>0.19777577289276599</v>
      </c>
      <c r="P384" t="str">
        <f t="shared" si="10"/>
        <v>F</v>
      </c>
      <c r="Q384" t="str">
        <f t="shared" si="11"/>
        <v>F</v>
      </c>
    </row>
    <row r="385" spans="1:17" hidden="1" x14ac:dyDescent="0.3">
      <c r="A385">
        <v>9326</v>
      </c>
      <c r="B385">
        <v>753</v>
      </c>
      <c r="C385">
        <v>417</v>
      </c>
      <c r="D385" t="s">
        <v>19</v>
      </c>
      <c r="E385" t="s">
        <v>16</v>
      </c>
      <c r="F385" t="s">
        <v>21</v>
      </c>
      <c r="G385" t="s">
        <v>22</v>
      </c>
      <c r="H385">
        <v>268.60000000000002</v>
      </c>
      <c r="I385">
        <v>234.5</v>
      </c>
      <c r="J385">
        <v>92.8</v>
      </c>
      <c r="K385">
        <v>64</v>
      </c>
      <c r="L385">
        <v>24.3</v>
      </c>
      <c r="M385">
        <v>5</v>
      </c>
      <c r="N385">
        <v>0.20681306961481499</v>
      </c>
      <c r="O385">
        <v>0.178338555924582</v>
      </c>
      <c r="P385" t="str">
        <f t="shared" si="10"/>
        <v>F</v>
      </c>
      <c r="Q385" t="str">
        <f t="shared" si="11"/>
        <v>F</v>
      </c>
    </row>
    <row r="386" spans="1:17" hidden="1" x14ac:dyDescent="0.3">
      <c r="A386">
        <v>9327</v>
      </c>
      <c r="B386">
        <v>753</v>
      </c>
      <c r="C386">
        <v>417</v>
      </c>
      <c r="D386" t="s">
        <v>19</v>
      </c>
      <c r="E386" t="s">
        <v>16</v>
      </c>
      <c r="F386" t="s">
        <v>21</v>
      </c>
      <c r="G386" t="s">
        <v>22</v>
      </c>
      <c r="H386">
        <v>268.60000000000002</v>
      </c>
      <c r="I386">
        <v>234.5</v>
      </c>
      <c r="J386">
        <v>92.8</v>
      </c>
      <c r="K386">
        <v>64</v>
      </c>
      <c r="L386">
        <v>24.3</v>
      </c>
      <c r="M386">
        <v>5</v>
      </c>
      <c r="N386">
        <v>0.22258974540255999</v>
      </c>
      <c r="O386">
        <v>0.151958344736807</v>
      </c>
      <c r="P386" t="str">
        <f t="shared" si="10"/>
        <v>F</v>
      </c>
      <c r="Q386" t="str">
        <f t="shared" si="11"/>
        <v>F</v>
      </c>
    </row>
    <row r="387" spans="1:17" hidden="1" x14ac:dyDescent="0.3">
      <c r="A387">
        <v>9328</v>
      </c>
      <c r="B387">
        <v>753</v>
      </c>
      <c r="C387">
        <v>417</v>
      </c>
      <c r="D387" t="s">
        <v>19</v>
      </c>
      <c r="E387" t="s">
        <v>16</v>
      </c>
      <c r="F387" t="s">
        <v>21</v>
      </c>
      <c r="G387" t="s">
        <v>22</v>
      </c>
      <c r="H387">
        <v>268.60000000000002</v>
      </c>
      <c r="I387">
        <v>234.5</v>
      </c>
      <c r="J387">
        <v>92.8</v>
      </c>
      <c r="K387">
        <v>64</v>
      </c>
      <c r="L387">
        <v>24.3</v>
      </c>
      <c r="M387">
        <v>5</v>
      </c>
      <c r="N387">
        <v>0.23357856324192999</v>
      </c>
      <c r="O387">
        <v>0.15056085190116</v>
      </c>
      <c r="P387" t="str">
        <f t="shared" ref="P387:P428" si="12">IF(N387&lt;0.095876, "T", "F")</f>
        <v>F</v>
      </c>
      <c r="Q387" t="str">
        <f t="shared" ref="Q387:Q428" si="13">IF(O387&lt; 0.064417, "T", "F")</f>
        <v>F</v>
      </c>
    </row>
    <row r="388" spans="1:17" hidden="1" x14ac:dyDescent="0.3">
      <c r="A388">
        <v>9330</v>
      </c>
      <c r="B388">
        <v>755</v>
      </c>
      <c r="C388">
        <v>228</v>
      </c>
      <c r="D388" t="s">
        <v>19</v>
      </c>
      <c r="E388" t="s">
        <v>16</v>
      </c>
      <c r="F388" t="s">
        <v>21</v>
      </c>
      <c r="G388" t="s">
        <v>25</v>
      </c>
      <c r="H388">
        <v>275.39999999999998</v>
      </c>
      <c r="I388">
        <v>249.5</v>
      </c>
      <c r="J388">
        <v>93.4</v>
      </c>
      <c r="K388">
        <v>64</v>
      </c>
      <c r="L388">
        <v>28.4</v>
      </c>
      <c r="M388">
        <v>13</v>
      </c>
      <c r="N388">
        <v>9.8879287891588397E-2</v>
      </c>
      <c r="O388">
        <v>0.15306307631608601</v>
      </c>
      <c r="P388" t="str">
        <f t="shared" si="12"/>
        <v>F</v>
      </c>
      <c r="Q388" t="str">
        <f t="shared" si="13"/>
        <v>F</v>
      </c>
    </row>
    <row r="389" spans="1:17" hidden="1" x14ac:dyDescent="0.3">
      <c r="A389">
        <v>9331</v>
      </c>
      <c r="B389">
        <v>755</v>
      </c>
      <c r="C389">
        <v>228</v>
      </c>
      <c r="D389" t="s">
        <v>19</v>
      </c>
      <c r="E389" t="s">
        <v>16</v>
      </c>
      <c r="F389" t="s">
        <v>21</v>
      </c>
      <c r="G389" t="s">
        <v>25</v>
      </c>
      <c r="H389">
        <v>275.39999999999998</v>
      </c>
      <c r="I389">
        <v>249.5</v>
      </c>
      <c r="J389">
        <v>93.4</v>
      </c>
      <c r="K389">
        <v>64</v>
      </c>
      <c r="L389">
        <v>28.4</v>
      </c>
      <c r="M389">
        <v>13</v>
      </c>
      <c r="N389">
        <v>8.4334995672374694E-2</v>
      </c>
      <c r="O389">
        <v>0.142301150923968</v>
      </c>
      <c r="P389" t="str">
        <f t="shared" si="12"/>
        <v>T</v>
      </c>
      <c r="Q389" t="str">
        <f t="shared" si="13"/>
        <v>F</v>
      </c>
    </row>
    <row r="390" spans="1:17" hidden="1" x14ac:dyDescent="0.3">
      <c r="A390">
        <v>9332</v>
      </c>
      <c r="B390">
        <v>755</v>
      </c>
      <c r="C390">
        <v>228</v>
      </c>
      <c r="D390" t="s">
        <v>19</v>
      </c>
      <c r="E390" t="s">
        <v>16</v>
      </c>
      <c r="F390" t="s">
        <v>21</v>
      </c>
      <c r="G390" t="s">
        <v>25</v>
      </c>
      <c r="H390">
        <v>275.39999999999998</v>
      </c>
      <c r="I390">
        <v>249.5</v>
      </c>
      <c r="J390">
        <v>93.4</v>
      </c>
      <c r="K390">
        <v>64</v>
      </c>
      <c r="L390">
        <v>28.4</v>
      </c>
      <c r="M390">
        <v>13</v>
      </c>
      <c r="N390">
        <v>7.7168909860924506E-2</v>
      </c>
      <c r="O390">
        <v>0.14816349330697401</v>
      </c>
      <c r="P390" t="str">
        <f t="shared" si="12"/>
        <v>T</v>
      </c>
      <c r="Q390" t="str">
        <f t="shared" si="13"/>
        <v>F</v>
      </c>
    </row>
    <row r="391" spans="1:17" hidden="1" x14ac:dyDescent="0.3">
      <c r="A391">
        <v>9333</v>
      </c>
      <c r="B391">
        <v>755</v>
      </c>
      <c r="C391">
        <v>228</v>
      </c>
      <c r="D391" t="s">
        <v>19</v>
      </c>
      <c r="E391" t="s">
        <v>16</v>
      </c>
      <c r="F391" t="s">
        <v>21</v>
      </c>
      <c r="G391" t="s">
        <v>25</v>
      </c>
      <c r="H391">
        <v>275.39999999999998</v>
      </c>
      <c r="I391">
        <v>249.5</v>
      </c>
      <c r="J391">
        <v>93.4</v>
      </c>
      <c r="K391">
        <v>64</v>
      </c>
      <c r="L391">
        <v>28.4</v>
      </c>
      <c r="M391">
        <v>13</v>
      </c>
      <c r="N391">
        <v>9.9267360968703103E-2</v>
      </c>
      <c r="O391">
        <v>0.123193954947813</v>
      </c>
      <c r="P391" t="str">
        <f t="shared" si="12"/>
        <v>F</v>
      </c>
      <c r="Q391" t="str">
        <f t="shared" si="13"/>
        <v>F</v>
      </c>
    </row>
    <row r="392" spans="1:17" hidden="1" x14ac:dyDescent="0.3">
      <c r="A392">
        <v>9334</v>
      </c>
      <c r="B392">
        <v>755</v>
      </c>
      <c r="C392">
        <v>228</v>
      </c>
      <c r="D392" t="s">
        <v>19</v>
      </c>
      <c r="E392" t="s">
        <v>16</v>
      </c>
      <c r="F392" t="s">
        <v>21</v>
      </c>
      <c r="G392" t="s">
        <v>25</v>
      </c>
      <c r="H392">
        <v>275.39999999999998</v>
      </c>
      <c r="I392">
        <v>249.5</v>
      </c>
      <c r="J392">
        <v>93.4</v>
      </c>
      <c r="K392">
        <v>64</v>
      </c>
      <c r="L392">
        <v>28.4</v>
      </c>
      <c r="M392">
        <v>13</v>
      </c>
      <c r="N392">
        <v>9.33752856412087E-2</v>
      </c>
      <c r="O392">
        <v>0.13573007749607299</v>
      </c>
      <c r="P392" t="str">
        <f t="shared" si="12"/>
        <v>T</v>
      </c>
      <c r="Q392" t="str">
        <f t="shared" si="13"/>
        <v>F</v>
      </c>
    </row>
    <row r="393" spans="1:17" hidden="1" x14ac:dyDescent="0.3">
      <c r="A393">
        <v>9335</v>
      </c>
      <c r="B393">
        <v>755</v>
      </c>
      <c r="C393">
        <v>228</v>
      </c>
      <c r="D393" t="s">
        <v>19</v>
      </c>
      <c r="E393" t="s">
        <v>16</v>
      </c>
      <c r="F393" t="s">
        <v>21</v>
      </c>
      <c r="G393" t="s">
        <v>25</v>
      </c>
      <c r="H393">
        <v>275.39999999999998</v>
      </c>
      <c r="I393">
        <v>249.5</v>
      </c>
      <c r="J393">
        <v>93.4</v>
      </c>
      <c r="K393">
        <v>64</v>
      </c>
      <c r="L393">
        <v>28.4</v>
      </c>
      <c r="M393">
        <v>13</v>
      </c>
      <c r="N393">
        <v>0.11011007662766099</v>
      </c>
      <c r="O393">
        <v>0.12951357842927999</v>
      </c>
      <c r="P393" t="str">
        <f t="shared" si="12"/>
        <v>F</v>
      </c>
      <c r="Q393" t="str">
        <f t="shared" si="13"/>
        <v>F</v>
      </c>
    </row>
    <row r="394" spans="1:17" hidden="1" x14ac:dyDescent="0.3">
      <c r="A394">
        <v>9350</v>
      </c>
      <c r="B394">
        <v>763</v>
      </c>
      <c r="C394">
        <v>12</v>
      </c>
      <c r="D394" t="s">
        <v>19</v>
      </c>
      <c r="E394" t="s">
        <v>16</v>
      </c>
      <c r="F394" t="s">
        <v>21</v>
      </c>
      <c r="G394" t="s">
        <v>24</v>
      </c>
      <c r="H394">
        <v>280.39999999999998</v>
      </c>
      <c r="I394">
        <v>260</v>
      </c>
      <c r="J394">
        <v>102.4</v>
      </c>
      <c r="K394">
        <v>69.5</v>
      </c>
      <c r="L394">
        <v>28.2</v>
      </c>
      <c r="M394">
        <v>9</v>
      </c>
      <c r="N394">
        <v>0.14950727059801999</v>
      </c>
      <c r="O394">
        <v>0.105071822583165</v>
      </c>
      <c r="P394" t="str">
        <f t="shared" si="12"/>
        <v>F</v>
      </c>
      <c r="Q394" t="str">
        <f t="shared" si="13"/>
        <v>F</v>
      </c>
    </row>
    <row r="395" spans="1:17" hidden="1" x14ac:dyDescent="0.3">
      <c r="A395">
        <v>9351</v>
      </c>
      <c r="B395">
        <v>763</v>
      </c>
      <c r="C395">
        <v>12</v>
      </c>
      <c r="D395" t="s">
        <v>19</v>
      </c>
      <c r="E395" t="s">
        <v>16</v>
      </c>
      <c r="F395" t="s">
        <v>21</v>
      </c>
      <c r="G395" t="s">
        <v>24</v>
      </c>
      <c r="H395">
        <v>280.39999999999998</v>
      </c>
      <c r="I395">
        <v>260</v>
      </c>
      <c r="J395">
        <v>102.4</v>
      </c>
      <c r="K395">
        <v>69.5</v>
      </c>
      <c r="L395">
        <v>28.2</v>
      </c>
      <c r="M395">
        <v>9</v>
      </c>
      <c r="N395">
        <v>0.137065793175592</v>
      </c>
      <c r="O395">
        <v>0.13801844925964599</v>
      </c>
      <c r="P395" t="str">
        <f t="shared" si="12"/>
        <v>F</v>
      </c>
      <c r="Q395" t="str">
        <f t="shared" si="13"/>
        <v>F</v>
      </c>
    </row>
    <row r="396" spans="1:17" hidden="1" x14ac:dyDescent="0.3">
      <c r="A396">
        <v>9352</v>
      </c>
      <c r="B396">
        <v>763</v>
      </c>
      <c r="C396">
        <v>12</v>
      </c>
      <c r="D396" t="s">
        <v>19</v>
      </c>
      <c r="E396" t="s">
        <v>16</v>
      </c>
      <c r="F396" t="s">
        <v>21</v>
      </c>
      <c r="G396" t="s">
        <v>24</v>
      </c>
      <c r="H396">
        <v>280.39999999999998</v>
      </c>
      <c r="I396">
        <v>260</v>
      </c>
      <c r="J396">
        <v>102.4</v>
      </c>
      <c r="K396">
        <v>69.5</v>
      </c>
      <c r="L396">
        <v>28.2</v>
      </c>
      <c r="M396">
        <v>9</v>
      </c>
      <c r="N396">
        <v>0.14759306459551699</v>
      </c>
      <c r="O396">
        <v>0.115947975537857</v>
      </c>
      <c r="P396" t="str">
        <f t="shared" si="12"/>
        <v>F</v>
      </c>
      <c r="Q396" t="str">
        <f t="shared" si="13"/>
        <v>F</v>
      </c>
    </row>
    <row r="397" spans="1:17" hidden="1" x14ac:dyDescent="0.3">
      <c r="A397">
        <v>9353</v>
      </c>
      <c r="B397">
        <v>763</v>
      </c>
      <c r="C397">
        <v>12</v>
      </c>
      <c r="D397" t="s">
        <v>19</v>
      </c>
      <c r="E397" t="s">
        <v>16</v>
      </c>
      <c r="F397" t="s">
        <v>21</v>
      </c>
      <c r="G397" t="s">
        <v>24</v>
      </c>
      <c r="H397">
        <v>280.39999999999998</v>
      </c>
      <c r="I397">
        <v>260</v>
      </c>
      <c r="J397">
        <v>102.4</v>
      </c>
      <c r="K397">
        <v>69.5</v>
      </c>
      <c r="L397">
        <v>28.2</v>
      </c>
      <c r="M397">
        <v>9</v>
      </c>
      <c r="N397">
        <v>0.166061426970841</v>
      </c>
      <c r="O397">
        <v>0.115854246775317</v>
      </c>
      <c r="P397" t="str">
        <f t="shared" si="12"/>
        <v>F</v>
      </c>
      <c r="Q397" t="str">
        <f t="shared" si="13"/>
        <v>F</v>
      </c>
    </row>
    <row r="398" spans="1:17" hidden="1" x14ac:dyDescent="0.3">
      <c r="A398">
        <v>9354</v>
      </c>
      <c r="B398">
        <v>763</v>
      </c>
      <c r="C398">
        <v>12</v>
      </c>
      <c r="D398" t="s">
        <v>19</v>
      </c>
      <c r="E398" t="s">
        <v>16</v>
      </c>
      <c r="F398" t="s">
        <v>21</v>
      </c>
      <c r="G398" t="s">
        <v>24</v>
      </c>
      <c r="H398">
        <v>280.39999999999998</v>
      </c>
      <c r="I398">
        <v>260</v>
      </c>
      <c r="J398">
        <v>102.4</v>
      </c>
      <c r="K398">
        <v>69.5</v>
      </c>
      <c r="L398">
        <v>28.2</v>
      </c>
      <c r="M398">
        <v>9</v>
      </c>
      <c r="N398">
        <v>0.15019244788553501</v>
      </c>
      <c r="O398">
        <v>0.122407104318528</v>
      </c>
      <c r="P398" t="str">
        <f t="shared" si="12"/>
        <v>F</v>
      </c>
      <c r="Q398" t="str">
        <f t="shared" si="13"/>
        <v>F</v>
      </c>
    </row>
    <row r="399" spans="1:17" x14ac:dyDescent="0.3">
      <c r="A399" s="1">
        <v>9434</v>
      </c>
      <c r="B399" s="1">
        <v>792</v>
      </c>
      <c r="C399" s="1">
        <v>387</v>
      </c>
      <c r="D399" s="1" t="s">
        <v>19</v>
      </c>
      <c r="E399" s="1" t="s">
        <v>16</v>
      </c>
      <c r="F399" s="1" t="s">
        <v>17</v>
      </c>
      <c r="G399" s="1" t="s">
        <v>18</v>
      </c>
      <c r="H399" s="1">
        <v>275.2</v>
      </c>
      <c r="I399" s="1">
        <v>249.5</v>
      </c>
      <c r="J399" s="1">
        <v>96.8</v>
      </c>
      <c r="K399" s="1">
        <v>66</v>
      </c>
      <c r="L399" s="1">
        <v>25.3</v>
      </c>
      <c r="M399" s="1">
        <v>8.5</v>
      </c>
      <c r="N399" s="1">
        <v>9.2608319309032905E-2</v>
      </c>
      <c r="O399" s="1">
        <v>5.8374503471407303E-2</v>
      </c>
      <c r="P399" s="1" t="str">
        <f t="shared" si="12"/>
        <v>T</v>
      </c>
      <c r="Q399" s="1" t="str">
        <f t="shared" si="13"/>
        <v>T</v>
      </c>
    </row>
    <row r="400" spans="1:17" x14ac:dyDescent="0.3">
      <c r="A400" s="1">
        <v>9435</v>
      </c>
      <c r="B400" s="1">
        <v>792</v>
      </c>
      <c r="C400" s="1">
        <v>387</v>
      </c>
      <c r="D400" s="1" t="s">
        <v>19</v>
      </c>
      <c r="E400" s="1" t="s">
        <v>16</v>
      </c>
      <c r="F400" s="1" t="s">
        <v>17</v>
      </c>
      <c r="G400" s="1" t="s">
        <v>18</v>
      </c>
      <c r="H400" s="1">
        <v>275.2</v>
      </c>
      <c r="I400" s="1">
        <v>249.5</v>
      </c>
      <c r="J400" s="1">
        <v>96.8</v>
      </c>
      <c r="K400" s="1">
        <v>66</v>
      </c>
      <c r="L400" s="1">
        <v>25.3</v>
      </c>
      <c r="M400" s="1">
        <v>8.5</v>
      </c>
      <c r="N400" s="1">
        <v>6.6822952749932801E-2</v>
      </c>
      <c r="O400" s="1">
        <v>6.3781341343724901E-2</v>
      </c>
      <c r="P400" s="1" t="str">
        <f t="shared" si="12"/>
        <v>T</v>
      </c>
      <c r="Q400" s="1" t="str">
        <f t="shared" si="13"/>
        <v>T</v>
      </c>
    </row>
    <row r="401" spans="1:17" hidden="1" x14ac:dyDescent="0.3">
      <c r="A401">
        <v>9436</v>
      </c>
      <c r="B401">
        <v>792</v>
      </c>
      <c r="C401">
        <v>387</v>
      </c>
      <c r="D401" t="s">
        <v>19</v>
      </c>
      <c r="E401" t="s">
        <v>16</v>
      </c>
      <c r="F401" t="s">
        <v>17</v>
      </c>
      <c r="G401" t="s">
        <v>18</v>
      </c>
      <c r="H401">
        <v>275.2</v>
      </c>
      <c r="I401">
        <v>249.5</v>
      </c>
      <c r="J401">
        <v>96.8</v>
      </c>
      <c r="K401">
        <v>66</v>
      </c>
      <c r="L401">
        <v>25.3</v>
      </c>
      <c r="M401">
        <v>8.5</v>
      </c>
      <c r="N401">
        <v>8.8778046892536502E-2</v>
      </c>
      <c r="O401">
        <v>7.0859353683827495E-2</v>
      </c>
      <c r="P401" t="str">
        <f t="shared" si="12"/>
        <v>T</v>
      </c>
      <c r="Q401" t="str">
        <f t="shared" si="13"/>
        <v>F</v>
      </c>
    </row>
    <row r="402" spans="1:17" x14ac:dyDescent="0.3">
      <c r="A402" s="1">
        <v>9437</v>
      </c>
      <c r="B402" s="1">
        <v>792</v>
      </c>
      <c r="C402" s="1">
        <v>387</v>
      </c>
      <c r="D402" s="1" t="s">
        <v>19</v>
      </c>
      <c r="E402" s="1" t="s">
        <v>16</v>
      </c>
      <c r="F402" s="1" t="s">
        <v>17</v>
      </c>
      <c r="G402" s="1" t="s">
        <v>18</v>
      </c>
      <c r="H402" s="1">
        <v>275.2</v>
      </c>
      <c r="I402" s="1">
        <v>249.5</v>
      </c>
      <c r="J402" s="1">
        <v>96.8</v>
      </c>
      <c r="K402" s="1">
        <v>66</v>
      </c>
      <c r="L402" s="1">
        <v>25.3</v>
      </c>
      <c r="M402" s="1">
        <v>8.5</v>
      </c>
      <c r="N402" s="1">
        <v>8.0840786556410194E-2</v>
      </c>
      <c r="O402" s="1">
        <v>5.6232275876221503E-2</v>
      </c>
      <c r="P402" s="1" t="str">
        <f t="shared" si="12"/>
        <v>T</v>
      </c>
      <c r="Q402" s="1" t="str">
        <f t="shared" si="13"/>
        <v>T</v>
      </c>
    </row>
    <row r="403" spans="1:17" hidden="1" x14ac:dyDescent="0.3">
      <c r="A403">
        <v>9438</v>
      </c>
      <c r="B403">
        <v>792</v>
      </c>
      <c r="C403">
        <v>387</v>
      </c>
      <c r="D403" t="s">
        <v>19</v>
      </c>
      <c r="E403" t="s">
        <v>16</v>
      </c>
      <c r="F403" t="s">
        <v>17</v>
      </c>
      <c r="G403" t="s">
        <v>18</v>
      </c>
      <c r="H403">
        <v>275.2</v>
      </c>
      <c r="I403">
        <v>249.5</v>
      </c>
      <c r="J403">
        <v>96.8</v>
      </c>
      <c r="K403">
        <v>66</v>
      </c>
      <c r="L403">
        <v>25.3</v>
      </c>
      <c r="M403">
        <v>8.5</v>
      </c>
      <c r="N403">
        <v>7.58588196525007E-2</v>
      </c>
      <c r="O403">
        <v>8.5993125510640894E-2</v>
      </c>
      <c r="P403" t="str">
        <f t="shared" si="12"/>
        <v>T</v>
      </c>
      <c r="Q403" t="str">
        <f t="shared" si="13"/>
        <v>F</v>
      </c>
    </row>
    <row r="404" spans="1:17" hidden="1" x14ac:dyDescent="0.3">
      <c r="A404">
        <v>9545</v>
      </c>
      <c r="B404">
        <v>835</v>
      </c>
      <c r="C404">
        <v>114</v>
      </c>
      <c r="D404" t="s">
        <v>19</v>
      </c>
      <c r="E404" t="s">
        <v>16</v>
      </c>
      <c r="F404" t="s">
        <v>17</v>
      </c>
      <c r="G404" t="s">
        <v>24</v>
      </c>
      <c r="H404">
        <v>275.89999999999998</v>
      </c>
      <c r="I404">
        <v>254</v>
      </c>
      <c r="J404">
        <v>97.2</v>
      </c>
      <c r="K404">
        <v>66.5</v>
      </c>
      <c r="L404">
        <v>28.5</v>
      </c>
      <c r="M404">
        <v>5.5</v>
      </c>
      <c r="N404">
        <v>0.10656199428423099</v>
      </c>
      <c r="O404">
        <v>0.196465912563171</v>
      </c>
      <c r="P404" t="str">
        <f t="shared" si="12"/>
        <v>F</v>
      </c>
      <c r="Q404" t="str">
        <f t="shared" si="13"/>
        <v>F</v>
      </c>
    </row>
    <row r="405" spans="1:17" hidden="1" x14ac:dyDescent="0.3">
      <c r="A405">
        <v>9546</v>
      </c>
      <c r="B405">
        <v>835</v>
      </c>
      <c r="C405">
        <v>114</v>
      </c>
      <c r="D405" t="s">
        <v>19</v>
      </c>
      <c r="E405" t="s">
        <v>16</v>
      </c>
      <c r="F405" t="s">
        <v>17</v>
      </c>
      <c r="G405" t="s">
        <v>24</v>
      </c>
      <c r="H405">
        <v>275.89999999999998</v>
      </c>
      <c r="I405">
        <v>254</v>
      </c>
      <c r="J405">
        <v>97.2</v>
      </c>
      <c r="K405">
        <v>66.5</v>
      </c>
      <c r="L405">
        <v>28.5</v>
      </c>
      <c r="M405">
        <v>5.5</v>
      </c>
      <c r="N405">
        <v>0.116376621577454</v>
      </c>
      <c r="O405">
        <v>0.200389856324032</v>
      </c>
      <c r="P405" t="str">
        <f t="shared" si="12"/>
        <v>F</v>
      </c>
      <c r="Q405" t="str">
        <f t="shared" si="13"/>
        <v>F</v>
      </c>
    </row>
    <row r="406" spans="1:17" hidden="1" x14ac:dyDescent="0.3">
      <c r="A406">
        <v>9650</v>
      </c>
      <c r="B406">
        <v>877</v>
      </c>
      <c r="C406">
        <v>387</v>
      </c>
      <c r="D406" t="s">
        <v>19</v>
      </c>
      <c r="E406" t="s">
        <v>16</v>
      </c>
      <c r="F406" t="s">
        <v>17</v>
      </c>
      <c r="G406" t="s">
        <v>25</v>
      </c>
      <c r="H406">
        <v>275.2</v>
      </c>
      <c r="I406">
        <v>249.5</v>
      </c>
      <c r="J406">
        <v>96.8</v>
      </c>
      <c r="K406">
        <v>66</v>
      </c>
      <c r="L406">
        <v>25.3</v>
      </c>
      <c r="M406">
        <v>8.5</v>
      </c>
      <c r="N406">
        <v>8.6845643487121205E-2</v>
      </c>
      <c r="O406">
        <v>6.9430900562100106E-2</v>
      </c>
      <c r="P406" t="str">
        <f t="shared" si="12"/>
        <v>T</v>
      </c>
      <c r="Q406" t="str">
        <f t="shared" si="13"/>
        <v>F</v>
      </c>
    </row>
    <row r="407" spans="1:17" hidden="1" x14ac:dyDescent="0.3">
      <c r="A407">
        <v>9651</v>
      </c>
      <c r="B407">
        <v>877</v>
      </c>
      <c r="C407">
        <v>387</v>
      </c>
      <c r="D407" t="s">
        <v>19</v>
      </c>
      <c r="E407" t="s">
        <v>16</v>
      </c>
      <c r="F407" t="s">
        <v>17</v>
      </c>
      <c r="G407" t="s">
        <v>25</v>
      </c>
      <c r="H407">
        <v>275.2</v>
      </c>
      <c r="I407">
        <v>249.5</v>
      </c>
      <c r="J407">
        <v>96.8</v>
      </c>
      <c r="K407">
        <v>66</v>
      </c>
      <c r="L407">
        <v>25.3</v>
      </c>
      <c r="M407">
        <v>8.5</v>
      </c>
      <c r="N407">
        <v>7.2465956197353298E-2</v>
      </c>
      <c r="O407">
        <v>7.00527209811979E-2</v>
      </c>
      <c r="P407" t="str">
        <f t="shared" si="12"/>
        <v>T</v>
      </c>
      <c r="Q407" t="str">
        <f t="shared" si="13"/>
        <v>F</v>
      </c>
    </row>
    <row r="408" spans="1:17" hidden="1" x14ac:dyDescent="0.3">
      <c r="A408">
        <v>9652</v>
      </c>
      <c r="B408">
        <v>877</v>
      </c>
      <c r="C408">
        <v>387</v>
      </c>
      <c r="D408" t="s">
        <v>19</v>
      </c>
      <c r="E408" t="s">
        <v>16</v>
      </c>
      <c r="F408" t="s">
        <v>17</v>
      </c>
      <c r="G408" t="s">
        <v>25</v>
      </c>
      <c r="H408">
        <v>275.2</v>
      </c>
      <c r="I408">
        <v>249.5</v>
      </c>
      <c r="J408">
        <v>96.8</v>
      </c>
      <c r="K408">
        <v>66</v>
      </c>
      <c r="L408">
        <v>25.3</v>
      </c>
      <c r="M408">
        <v>8.5</v>
      </c>
      <c r="N408">
        <v>7.3044517188718405E-2</v>
      </c>
      <c r="O408">
        <v>7.1408344942274798E-2</v>
      </c>
      <c r="P408" t="str">
        <f t="shared" si="12"/>
        <v>T</v>
      </c>
      <c r="Q408" t="str">
        <f t="shared" si="13"/>
        <v>F</v>
      </c>
    </row>
    <row r="409" spans="1:17" hidden="1" x14ac:dyDescent="0.3">
      <c r="A409">
        <v>9653</v>
      </c>
      <c r="B409">
        <v>877</v>
      </c>
      <c r="C409">
        <v>387</v>
      </c>
      <c r="D409" t="s">
        <v>19</v>
      </c>
      <c r="E409" t="s">
        <v>16</v>
      </c>
      <c r="F409" t="s">
        <v>17</v>
      </c>
      <c r="G409" t="s">
        <v>25</v>
      </c>
      <c r="H409">
        <v>275.2</v>
      </c>
      <c r="I409">
        <v>249.5</v>
      </c>
      <c r="J409">
        <v>96.8</v>
      </c>
      <c r="K409">
        <v>66</v>
      </c>
      <c r="L409">
        <v>25.3</v>
      </c>
      <c r="M409">
        <v>8.5</v>
      </c>
      <c r="N409">
        <v>9.8477015367368595E-2</v>
      </c>
      <c r="O409">
        <v>9.0620186788868795E-2</v>
      </c>
      <c r="P409" t="str">
        <f t="shared" si="12"/>
        <v>F</v>
      </c>
      <c r="Q409" t="str">
        <f t="shared" si="13"/>
        <v>F</v>
      </c>
    </row>
    <row r="410" spans="1:17" hidden="1" x14ac:dyDescent="0.3">
      <c r="A410">
        <v>9735</v>
      </c>
      <c r="B410">
        <v>905</v>
      </c>
      <c r="C410">
        <v>238</v>
      </c>
      <c r="D410" t="s">
        <v>19</v>
      </c>
      <c r="E410" t="s">
        <v>16</v>
      </c>
      <c r="F410" t="s">
        <v>21</v>
      </c>
      <c r="G410" t="s">
        <v>24</v>
      </c>
      <c r="H410">
        <v>273.3</v>
      </c>
      <c r="I410">
        <v>246</v>
      </c>
      <c r="J410">
        <v>92.6</v>
      </c>
      <c r="K410">
        <v>63.5</v>
      </c>
      <c r="L410">
        <v>25.5</v>
      </c>
      <c r="M410">
        <v>9.5</v>
      </c>
      <c r="N410">
        <v>0.116793723883173</v>
      </c>
      <c r="O410">
        <v>0.173586141699899</v>
      </c>
      <c r="P410" t="str">
        <f t="shared" si="12"/>
        <v>F</v>
      </c>
      <c r="Q410" t="str">
        <f t="shared" si="13"/>
        <v>F</v>
      </c>
    </row>
    <row r="411" spans="1:17" hidden="1" x14ac:dyDescent="0.3">
      <c r="A411">
        <v>9736</v>
      </c>
      <c r="B411">
        <v>905</v>
      </c>
      <c r="C411">
        <v>238</v>
      </c>
      <c r="D411" t="s">
        <v>19</v>
      </c>
      <c r="E411" t="s">
        <v>16</v>
      </c>
      <c r="F411" t="s">
        <v>21</v>
      </c>
      <c r="G411" t="s">
        <v>24</v>
      </c>
      <c r="H411">
        <v>273.3</v>
      </c>
      <c r="I411">
        <v>246</v>
      </c>
      <c r="J411">
        <v>92.6</v>
      </c>
      <c r="K411">
        <v>63.5</v>
      </c>
      <c r="L411">
        <v>25.5</v>
      </c>
      <c r="M411">
        <v>9.5</v>
      </c>
      <c r="N411">
        <v>0.12927699950081001</v>
      </c>
      <c r="O411">
        <v>0.15791636965348699</v>
      </c>
      <c r="P411" t="str">
        <f t="shared" si="12"/>
        <v>F</v>
      </c>
      <c r="Q411" t="str">
        <f t="shared" si="13"/>
        <v>F</v>
      </c>
    </row>
    <row r="412" spans="1:17" hidden="1" x14ac:dyDescent="0.3">
      <c r="A412">
        <v>9737</v>
      </c>
      <c r="B412">
        <v>905</v>
      </c>
      <c r="C412">
        <v>238</v>
      </c>
      <c r="D412" t="s">
        <v>19</v>
      </c>
      <c r="E412" t="s">
        <v>16</v>
      </c>
      <c r="F412" t="s">
        <v>21</v>
      </c>
      <c r="G412" t="s">
        <v>24</v>
      </c>
      <c r="H412">
        <v>273.3</v>
      </c>
      <c r="I412">
        <v>246</v>
      </c>
      <c r="J412">
        <v>92.6</v>
      </c>
      <c r="K412">
        <v>63.5</v>
      </c>
      <c r="L412">
        <v>25.5</v>
      </c>
      <c r="M412">
        <v>9.5</v>
      </c>
      <c r="N412">
        <v>0.12619601761062599</v>
      </c>
      <c r="O412">
        <v>0.17288205126837</v>
      </c>
      <c r="P412" t="str">
        <f t="shared" si="12"/>
        <v>F</v>
      </c>
      <c r="Q412" t="str">
        <f t="shared" si="13"/>
        <v>F</v>
      </c>
    </row>
    <row r="413" spans="1:17" hidden="1" x14ac:dyDescent="0.3">
      <c r="A413">
        <v>9844</v>
      </c>
      <c r="B413">
        <v>95</v>
      </c>
      <c r="C413">
        <v>249</v>
      </c>
      <c r="D413" t="s">
        <v>19</v>
      </c>
      <c r="E413" t="s">
        <v>16</v>
      </c>
      <c r="F413" t="s">
        <v>17</v>
      </c>
      <c r="G413" t="s">
        <v>18</v>
      </c>
      <c r="H413">
        <v>275.7</v>
      </c>
      <c r="I413">
        <v>254.5</v>
      </c>
      <c r="J413">
        <v>97.9</v>
      </c>
      <c r="K413">
        <v>66</v>
      </c>
      <c r="L413">
        <v>26.3</v>
      </c>
      <c r="M413">
        <v>9</v>
      </c>
      <c r="N413">
        <v>0.23440166934221601</v>
      </c>
      <c r="O413">
        <v>3.8946616332782999E-2</v>
      </c>
      <c r="P413" t="str">
        <f t="shared" si="12"/>
        <v>F</v>
      </c>
      <c r="Q413" t="str">
        <f t="shared" si="13"/>
        <v>T</v>
      </c>
    </row>
    <row r="414" spans="1:17" hidden="1" x14ac:dyDescent="0.3">
      <c r="A414">
        <v>9845</v>
      </c>
      <c r="B414">
        <v>95</v>
      </c>
      <c r="C414">
        <v>249</v>
      </c>
      <c r="D414" t="s">
        <v>19</v>
      </c>
      <c r="E414" t="s">
        <v>16</v>
      </c>
      <c r="F414" t="s">
        <v>17</v>
      </c>
      <c r="G414" t="s">
        <v>18</v>
      </c>
      <c r="H414">
        <v>275.7</v>
      </c>
      <c r="I414">
        <v>254.5</v>
      </c>
      <c r="J414">
        <v>97.9</v>
      </c>
      <c r="K414">
        <v>66</v>
      </c>
      <c r="L414">
        <v>26.3</v>
      </c>
      <c r="M414">
        <v>9</v>
      </c>
      <c r="N414">
        <v>0.240273906278655</v>
      </c>
      <c r="O414">
        <v>3.7332840987158902E-2</v>
      </c>
      <c r="P414" t="str">
        <f t="shared" si="12"/>
        <v>F</v>
      </c>
      <c r="Q414" t="str">
        <f t="shared" si="13"/>
        <v>T</v>
      </c>
    </row>
    <row r="415" spans="1:17" hidden="1" x14ac:dyDescent="0.3">
      <c r="A415">
        <v>9846</v>
      </c>
      <c r="B415">
        <v>95</v>
      </c>
      <c r="C415">
        <v>249</v>
      </c>
      <c r="D415" t="s">
        <v>19</v>
      </c>
      <c r="E415" t="s">
        <v>16</v>
      </c>
      <c r="F415" t="s">
        <v>17</v>
      </c>
      <c r="G415" t="s">
        <v>18</v>
      </c>
      <c r="H415">
        <v>275.7</v>
      </c>
      <c r="I415">
        <v>254.5</v>
      </c>
      <c r="J415">
        <v>97.9</v>
      </c>
      <c r="K415">
        <v>66</v>
      </c>
      <c r="L415">
        <v>26.3</v>
      </c>
      <c r="M415">
        <v>9</v>
      </c>
      <c r="N415">
        <v>0.243849878785073</v>
      </c>
      <c r="O415">
        <v>4.0997467501392097E-2</v>
      </c>
      <c r="P415" t="str">
        <f t="shared" si="12"/>
        <v>F</v>
      </c>
      <c r="Q415" t="str">
        <f t="shared" si="13"/>
        <v>T</v>
      </c>
    </row>
    <row r="416" spans="1:17" hidden="1" x14ac:dyDescent="0.3">
      <c r="A416">
        <v>9899</v>
      </c>
      <c r="B416">
        <v>967</v>
      </c>
      <c r="C416">
        <v>388</v>
      </c>
      <c r="D416" t="s">
        <v>19</v>
      </c>
      <c r="E416" t="s">
        <v>16</v>
      </c>
      <c r="F416" t="s">
        <v>21</v>
      </c>
      <c r="G416" t="s">
        <v>25</v>
      </c>
      <c r="H416">
        <v>277.10000000000002</v>
      </c>
      <c r="I416">
        <v>244.5</v>
      </c>
      <c r="J416">
        <v>91.9</v>
      </c>
      <c r="K416">
        <v>62.5</v>
      </c>
      <c r="L416">
        <v>25.9</v>
      </c>
      <c r="M416">
        <v>7</v>
      </c>
      <c r="N416">
        <v>0.115322375616314</v>
      </c>
      <c r="O416">
        <v>6.4365923788294796E-2</v>
      </c>
      <c r="P416" t="str">
        <f t="shared" si="12"/>
        <v>F</v>
      </c>
      <c r="Q416" t="str">
        <f t="shared" si="13"/>
        <v>T</v>
      </c>
    </row>
    <row r="417" spans="1:17" hidden="1" x14ac:dyDescent="0.3">
      <c r="A417">
        <v>9900</v>
      </c>
      <c r="B417">
        <v>967</v>
      </c>
      <c r="C417">
        <v>388</v>
      </c>
      <c r="D417" t="s">
        <v>19</v>
      </c>
      <c r="E417" t="s">
        <v>16</v>
      </c>
      <c r="F417" t="s">
        <v>21</v>
      </c>
      <c r="G417" t="s">
        <v>25</v>
      </c>
      <c r="H417">
        <v>277.10000000000002</v>
      </c>
      <c r="I417">
        <v>244.5</v>
      </c>
      <c r="J417">
        <v>91.9</v>
      </c>
      <c r="K417">
        <v>62.5</v>
      </c>
      <c r="L417">
        <v>25.9</v>
      </c>
      <c r="M417">
        <v>7</v>
      </c>
      <c r="N417">
        <v>9.3216880623767401E-2</v>
      </c>
      <c r="O417">
        <v>8.4748823561179396E-2</v>
      </c>
      <c r="P417" t="str">
        <f t="shared" si="12"/>
        <v>T</v>
      </c>
      <c r="Q417" t="str">
        <f t="shared" si="13"/>
        <v>F</v>
      </c>
    </row>
    <row r="418" spans="1:17" hidden="1" x14ac:dyDescent="0.3">
      <c r="A418">
        <v>9901</v>
      </c>
      <c r="B418">
        <v>967</v>
      </c>
      <c r="C418">
        <v>388</v>
      </c>
      <c r="D418" t="s">
        <v>19</v>
      </c>
      <c r="E418" t="s">
        <v>16</v>
      </c>
      <c r="F418" t="s">
        <v>21</v>
      </c>
      <c r="G418" t="s">
        <v>25</v>
      </c>
      <c r="H418">
        <v>277.10000000000002</v>
      </c>
      <c r="I418">
        <v>244.5</v>
      </c>
      <c r="J418">
        <v>91.9</v>
      </c>
      <c r="K418">
        <v>62.5</v>
      </c>
      <c r="L418">
        <v>25.9</v>
      </c>
      <c r="M418">
        <v>7</v>
      </c>
      <c r="N418">
        <v>9.5677788638582506E-2</v>
      </c>
      <c r="O418">
        <v>8.6269024534288502E-2</v>
      </c>
      <c r="P418" t="str">
        <f t="shared" si="12"/>
        <v>T</v>
      </c>
      <c r="Q418" t="str">
        <f t="shared" si="13"/>
        <v>F</v>
      </c>
    </row>
    <row r="419" spans="1:17" hidden="1" x14ac:dyDescent="0.3">
      <c r="A419">
        <v>9902</v>
      </c>
      <c r="B419">
        <v>967</v>
      </c>
      <c r="C419">
        <v>388</v>
      </c>
      <c r="D419" t="s">
        <v>19</v>
      </c>
      <c r="E419" t="s">
        <v>16</v>
      </c>
      <c r="F419" t="s">
        <v>21</v>
      </c>
      <c r="G419" t="s">
        <v>25</v>
      </c>
      <c r="H419">
        <v>277.10000000000002</v>
      </c>
      <c r="I419">
        <v>244.5</v>
      </c>
      <c r="J419">
        <v>91.9</v>
      </c>
      <c r="K419">
        <v>62.5</v>
      </c>
      <c r="L419">
        <v>25.9</v>
      </c>
      <c r="M419">
        <v>7</v>
      </c>
      <c r="N419">
        <v>0.11123898929043199</v>
      </c>
      <c r="O419">
        <v>8.5312331002053293E-2</v>
      </c>
      <c r="P419" t="str">
        <f t="shared" si="12"/>
        <v>F</v>
      </c>
      <c r="Q419" t="str">
        <f t="shared" si="13"/>
        <v>F</v>
      </c>
    </row>
    <row r="420" spans="1:17" hidden="1" x14ac:dyDescent="0.3">
      <c r="A420">
        <v>9903</v>
      </c>
      <c r="B420">
        <v>967</v>
      </c>
      <c r="C420">
        <v>388</v>
      </c>
      <c r="D420" t="s">
        <v>19</v>
      </c>
      <c r="E420" t="s">
        <v>16</v>
      </c>
      <c r="F420" t="s">
        <v>21</v>
      </c>
      <c r="G420" t="s">
        <v>25</v>
      </c>
      <c r="H420">
        <v>277.10000000000002</v>
      </c>
      <c r="I420">
        <v>244.5</v>
      </c>
      <c r="J420">
        <v>91.9</v>
      </c>
      <c r="K420">
        <v>62.5</v>
      </c>
      <c r="L420">
        <v>25.9</v>
      </c>
      <c r="M420">
        <v>7</v>
      </c>
      <c r="N420">
        <v>0.105285082367</v>
      </c>
      <c r="O420">
        <v>5.8970544559275098E-2</v>
      </c>
      <c r="P420" t="str">
        <f t="shared" si="12"/>
        <v>F</v>
      </c>
      <c r="Q420" t="str">
        <f t="shared" si="13"/>
        <v>T</v>
      </c>
    </row>
    <row r="421" spans="1:17" hidden="1" x14ac:dyDescent="0.3">
      <c r="A421">
        <v>9904</v>
      </c>
      <c r="B421">
        <v>967</v>
      </c>
      <c r="C421">
        <v>388</v>
      </c>
      <c r="D421" t="s">
        <v>19</v>
      </c>
      <c r="E421" t="s">
        <v>16</v>
      </c>
      <c r="F421" t="s">
        <v>21</v>
      </c>
      <c r="G421" t="s">
        <v>25</v>
      </c>
      <c r="H421">
        <v>277.10000000000002</v>
      </c>
      <c r="I421">
        <v>244.5</v>
      </c>
      <c r="J421">
        <v>91.9</v>
      </c>
      <c r="K421">
        <v>62.5</v>
      </c>
      <c r="L421">
        <v>25.9</v>
      </c>
      <c r="M421">
        <v>7</v>
      </c>
      <c r="N421">
        <v>0.116136592213633</v>
      </c>
      <c r="O421">
        <v>6.9522327629175804E-2</v>
      </c>
      <c r="P421" t="str">
        <f t="shared" si="12"/>
        <v>F</v>
      </c>
      <c r="Q421" t="str">
        <f t="shared" si="13"/>
        <v>F</v>
      </c>
    </row>
    <row r="422" spans="1:17" hidden="1" x14ac:dyDescent="0.3">
      <c r="A422">
        <v>9905</v>
      </c>
      <c r="B422">
        <v>967</v>
      </c>
      <c r="C422">
        <v>388</v>
      </c>
      <c r="D422" t="s">
        <v>19</v>
      </c>
      <c r="E422" t="s">
        <v>16</v>
      </c>
      <c r="F422" t="s">
        <v>21</v>
      </c>
      <c r="G422" t="s">
        <v>25</v>
      </c>
      <c r="H422">
        <v>277.10000000000002</v>
      </c>
      <c r="I422">
        <v>244.5</v>
      </c>
      <c r="J422">
        <v>91.9</v>
      </c>
      <c r="K422">
        <v>62.5</v>
      </c>
      <c r="L422">
        <v>25.9</v>
      </c>
      <c r="M422">
        <v>7</v>
      </c>
      <c r="N422">
        <v>0.117567107196403</v>
      </c>
      <c r="O422">
        <v>9.4772320667315696E-2</v>
      </c>
      <c r="P422" t="str">
        <f t="shared" si="12"/>
        <v>F</v>
      </c>
      <c r="Q422" t="str">
        <f t="shared" si="13"/>
        <v>F</v>
      </c>
    </row>
    <row r="423" spans="1:17" hidden="1" x14ac:dyDescent="0.3">
      <c r="A423">
        <v>9922</v>
      </c>
      <c r="B423">
        <v>972</v>
      </c>
      <c r="C423">
        <v>388</v>
      </c>
      <c r="D423" t="s">
        <v>19</v>
      </c>
      <c r="E423" t="s">
        <v>16</v>
      </c>
      <c r="F423" t="s">
        <v>17</v>
      </c>
      <c r="G423" t="s">
        <v>24</v>
      </c>
      <c r="H423">
        <v>277.10000000000002</v>
      </c>
      <c r="I423">
        <v>244.5</v>
      </c>
      <c r="J423">
        <v>91.9</v>
      </c>
      <c r="K423">
        <v>62.5</v>
      </c>
      <c r="L423">
        <v>25.9</v>
      </c>
      <c r="M423">
        <v>7</v>
      </c>
      <c r="N423">
        <v>0.114099421846456</v>
      </c>
      <c r="O423">
        <v>8.2045619462733296E-2</v>
      </c>
      <c r="P423" t="str">
        <f t="shared" si="12"/>
        <v>F</v>
      </c>
      <c r="Q423" t="str">
        <f t="shared" si="13"/>
        <v>F</v>
      </c>
    </row>
    <row r="424" spans="1:17" hidden="1" x14ac:dyDescent="0.3">
      <c r="A424">
        <v>9923</v>
      </c>
      <c r="B424">
        <v>972</v>
      </c>
      <c r="C424">
        <v>388</v>
      </c>
      <c r="D424" t="s">
        <v>19</v>
      </c>
      <c r="E424" t="s">
        <v>16</v>
      </c>
      <c r="F424" t="s">
        <v>17</v>
      </c>
      <c r="G424" t="s">
        <v>24</v>
      </c>
      <c r="H424">
        <v>277.10000000000002</v>
      </c>
      <c r="I424">
        <v>244.5</v>
      </c>
      <c r="J424">
        <v>91.9</v>
      </c>
      <c r="K424">
        <v>62.5</v>
      </c>
      <c r="L424">
        <v>25.9</v>
      </c>
      <c r="M424">
        <v>7</v>
      </c>
      <c r="N424">
        <v>9.5831521943990805E-2</v>
      </c>
      <c r="O424">
        <v>6.9681682594720407E-2</v>
      </c>
      <c r="P424" t="str">
        <f t="shared" si="12"/>
        <v>T</v>
      </c>
      <c r="Q424" t="str">
        <f t="shared" si="13"/>
        <v>F</v>
      </c>
    </row>
    <row r="425" spans="1:17" hidden="1" x14ac:dyDescent="0.3">
      <c r="A425">
        <v>9926</v>
      </c>
      <c r="B425">
        <v>974</v>
      </c>
      <c r="C425">
        <v>228</v>
      </c>
      <c r="D425" t="s">
        <v>19</v>
      </c>
      <c r="E425" t="s">
        <v>16</v>
      </c>
      <c r="F425" t="s">
        <v>17</v>
      </c>
      <c r="G425" t="s">
        <v>22</v>
      </c>
      <c r="H425">
        <v>275.39999999999998</v>
      </c>
      <c r="I425">
        <v>249.5</v>
      </c>
      <c r="J425">
        <v>93.4</v>
      </c>
      <c r="K425">
        <v>64</v>
      </c>
      <c r="L425">
        <v>28.4</v>
      </c>
      <c r="M425">
        <v>13</v>
      </c>
      <c r="N425">
        <v>9.9672017165364502E-2</v>
      </c>
      <c r="O425">
        <v>0.134562752291458</v>
      </c>
      <c r="P425" t="str">
        <f t="shared" si="12"/>
        <v>F</v>
      </c>
      <c r="Q425" t="str">
        <f t="shared" si="13"/>
        <v>F</v>
      </c>
    </row>
    <row r="426" spans="1:17" hidden="1" x14ac:dyDescent="0.3">
      <c r="A426">
        <v>9927</v>
      </c>
      <c r="B426">
        <v>974</v>
      </c>
      <c r="C426">
        <v>228</v>
      </c>
      <c r="D426" t="s">
        <v>19</v>
      </c>
      <c r="E426" t="s">
        <v>16</v>
      </c>
      <c r="F426" t="s">
        <v>17</v>
      </c>
      <c r="G426" t="s">
        <v>22</v>
      </c>
      <c r="H426">
        <v>275.39999999999998</v>
      </c>
      <c r="I426">
        <v>249.5</v>
      </c>
      <c r="J426">
        <v>93.4</v>
      </c>
      <c r="K426">
        <v>64</v>
      </c>
      <c r="L426">
        <v>28.4</v>
      </c>
      <c r="M426">
        <v>13</v>
      </c>
      <c r="N426">
        <v>8.2434761757443298E-2</v>
      </c>
      <c r="O426">
        <v>0.133816757165372</v>
      </c>
      <c r="P426" t="str">
        <f t="shared" si="12"/>
        <v>T</v>
      </c>
      <c r="Q426" t="str">
        <f t="shared" si="13"/>
        <v>F</v>
      </c>
    </row>
    <row r="427" spans="1:17" hidden="1" x14ac:dyDescent="0.3">
      <c r="A427">
        <v>9941</v>
      </c>
      <c r="B427">
        <v>978</v>
      </c>
      <c r="C427">
        <v>387</v>
      </c>
      <c r="D427" t="s">
        <v>19</v>
      </c>
      <c r="E427" t="s">
        <v>16</v>
      </c>
      <c r="F427" t="s">
        <v>21</v>
      </c>
      <c r="G427" t="s">
        <v>22</v>
      </c>
      <c r="H427">
        <v>275.2</v>
      </c>
      <c r="I427">
        <v>249.5</v>
      </c>
      <c r="J427">
        <v>96.8</v>
      </c>
      <c r="K427">
        <v>66</v>
      </c>
      <c r="L427">
        <v>25.3</v>
      </c>
      <c r="M427">
        <v>8.5</v>
      </c>
      <c r="N427">
        <v>0.105510499651069</v>
      </c>
      <c r="O427">
        <v>8.3133493554374299E-2</v>
      </c>
      <c r="P427" t="str">
        <f t="shared" si="12"/>
        <v>F</v>
      </c>
      <c r="Q427" t="str">
        <f t="shared" si="13"/>
        <v>F</v>
      </c>
    </row>
    <row r="428" spans="1:17" hidden="1" x14ac:dyDescent="0.3">
      <c r="A428">
        <v>9988</v>
      </c>
      <c r="B428">
        <v>995</v>
      </c>
      <c r="C428">
        <v>325</v>
      </c>
      <c r="D428" t="s">
        <v>19</v>
      </c>
      <c r="E428" t="s">
        <v>16</v>
      </c>
      <c r="F428" t="s">
        <v>17</v>
      </c>
      <c r="G428" t="s">
        <v>25</v>
      </c>
      <c r="H428">
        <v>274</v>
      </c>
      <c r="I428">
        <v>243.5</v>
      </c>
      <c r="J428">
        <v>94.8</v>
      </c>
      <c r="K428">
        <v>65.5</v>
      </c>
      <c r="L428">
        <v>26.1</v>
      </c>
      <c r="M428">
        <v>13</v>
      </c>
      <c r="N428">
        <v>0.226786717996842</v>
      </c>
      <c r="O428">
        <v>8.6842446162518697E-2</v>
      </c>
      <c r="P428" t="str">
        <f t="shared" si="12"/>
        <v>F</v>
      </c>
      <c r="Q428" t="str">
        <f t="shared" si="13"/>
        <v>F</v>
      </c>
    </row>
  </sheetData>
  <autoFilter ref="A1:Q428" xr:uid="{6E9B3732-B965-45B8-B254-E59D6B23B90A}">
    <filterColumn colId="15">
      <filters>
        <filter val="T"/>
      </filters>
    </filterColumn>
    <filterColumn colId="16">
      <filters>
        <filter val="T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F0C94-9087-43CF-AC1C-C9D366E3CB91}">
  <sheetPr filterMode="1"/>
  <dimension ref="A1:Q820"/>
  <sheetViews>
    <sheetView zoomScale="90" zoomScaleNormal="90" workbookViewId="0">
      <selection activeCell="L826" sqref="L826"/>
    </sheetView>
  </sheetViews>
  <sheetFormatPr defaultRowHeight="14.55" x14ac:dyDescent="0.3"/>
  <cols>
    <col min="1" max="1" width="9.44140625" bestFit="1" customWidth="1"/>
    <col min="2" max="2" width="9.109375" bestFit="1" customWidth="1"/>
    <col min="3" max="3" width="7.109375" bestFit="1" customWidth="1"/>
    <col min="4" max="4" width="16.77734375" bestFit="1" customWidth="1"/>
    <col min="5" max="5" width="11.21875" bestFit="1" customWidth="1"/>
    <col min="6" max="6" width="10.21875" bestFit="1" customWidth="1"/>
    <col min="7" max="7" width="14.21875" bestFit="1" customWidth="1"/>
    <col min="8" max="8" width="12.77734375" bestFit="1" customWidth="1"/>
    <col min="9" max="9" width="9.6640625" bestFit="1" customWidth="1"/>
    <col min="10" max="10" width="10.44140625" bestFit="1" customWidth="1"/>
    <col min="11" max="11" width="10.5546875" bestFit="1" customWidth="1"/>
    <col min="12" max="12" width="10.109375" bestFit="1" customWidth="1"/>
    <col min="13" max="13" width="11.21875" bestFit="1" customWidth="1"/>
    <col min="14" max="15" width="13.33203125" bestFit="1" customWidth="1"/>
    <col min="16" max="16" width="15.5546875" bestFit="1" customWidth="1"/>
    <col min="17" max="17" width="1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</v>
      </c>
      <c r="Q1" t="s">
        <v>28</v>
      </c>
    </row>
    <row r="2" spans="1:17" hidden="1" x14ac:dyDescent="0.3">
      <c r="A2">
        <v>9</v>
      </c>
      <c r="B2">
        <v>100</v>
      </c>
      <c r="C2">
        <v>346</v>
      </c>
      <c r="D2" t="s">
        <v>19</v>
      </c>
      <c r="E2" t="s">
        <v>20</v>
      </c>
      <c r="F2" t="s">
        <v>21</v>
      </c>
      <c r="G2" t="s">
        <v>22</v>
      </c>
      <c r="H2">
        <v>271.60000000000002</v>
      </c>
      <c r="I2">
        <v>238</v>
      </c>
      <c r="J2">
        <v>91.3</v>
      </c>
      <c r="K2">
        <v>63</v>
      </c>
      <c r="L2">
        <v>24.7</v>
      </c>
      <c r="M2">
        <v>8</v>
      </c>
      <c r="N2">
        <v>0.16562173362764501</v>
      </c>
      <c r="O2">
        <v>2.39054044518975E-2</v>
      </c>
      <c r="P2" t="str">
        <f>IF(N2&lt;0.06641, "T", "F")</f>
        <v>F</v>
      </c>
      <c r="Q2" t="str">
        <f>IF(O2&lt;0.027899, "T", "F")</f>
        <v>T</v>
      </c>
    </row>
    <row r="3" spans="1:17" hidden="1" x14ac:dyDescent="0.3">
      <c r="A3">
        <v>10</v>
      </c>
      <c r="B3">
        <v>100</v>
      </c>
      <c r="C3">
        <v>346</v>
      </c>
      <c r="D3" t="s">
        <v>19</v>
      </c>
      <c r="E3" t="s">
        <v>20</v>
      </c>
      <c r="F3" t="s">
        <v>21</v>
      </c>
      <c r="G3" t="s">
        <v>22</v>
      </c>
      <c r="H3">
        <v>271.60000000000002</v>
      </c>
      <c r="I3">
        <v>238</v>
      </c>
      <c r="J3">
        <v>91.3</v>
      </c>
      <c r="K3">
        <v>63</v>
      </c>
      <c r="L3">
        <v>24.7</v>
      </c>
      <c r="M3">
        <v>8</v>
      </c>
      <c r="N3">
        <v>0.20164479479883199</v>
      </c>
      <c r="O3">
        <v>2.5694341519430001E-2</v>
      </c>
      <c r="P3" t="str">
        <f t="shared" ref="P3:P66" si="0">IF(N3&lt;0.06641, "T", "F")</f>
        <v>F</v>
      </c>
      <c r="Q3" t="str">
        <f t="shared" ref="Q3:Q66" si="1">IF(O3&lt;0.027899, "T", "F")</f>
        <v>T</v>
      </c>
    </row>
    <row r="4" spans="1:17" hidden="1" x14ac:dyDescent="0.3">
      <c r="A4">
        <v>110</v>
      </c>
      <c r="B4">
        <v>1038</v>
      </c>
      <c r="C4">
        <v>193</v>
      </c>
      <c r="D4" t="s">
        <v>19</v>
      </c>
      <c r="E4" t="s">
        <v>20</v>
      </c>
      <c r="F4" t="s">
        <v>21</v>
      </c>
      <c r="G4" t="s">
        <v>25</v>
      </c>
      <c r="H4">
        <v>279.60000000000002</v>
      </c>
      <c r="I4">
        <v>259.5</v>
      </c>
      <c r="J4">
        <v>97.1</v>
      </c>
      <c r="K4">
        <v>67.5</v>
      </c>
      <c r="L4">
        <v>25.4</v>
      </c>
      <c r="M4">
        <v>7.5</v>
      </c>
      <c r="N4">
        <v>0.109300072995915</v>
      </c>
      <c r="O4">
        <v>2.5783607728589401E-2</v>
      </c>
      <c r="P4" t="str">
        <f t="shared" si="0"/>
        <v>F</v>
      </c>
      <c r="Q4" t="str">
        <f t="shared" si="1"/>
        <v>T</v>
      </c>
    </row>
    <row r="5" spans="1:17" hidden="1" x14ac:dyDescent="0.3">
      <c r="A5">
        <v>111</v>
      </c>
      <c r="B5">
        <v>1038</v>
      </c>
      <c r="C5">
        <v>193</v>
      </c>
      <c r="D5" t="s">
        <v>19</v>
      </c>
      <c r="E5" t="s">
        <v>20</v>
      </c>
      <c r="F5" t="s">
        <v>21</v>
      </c>
      <c r="G5" t="s">
        <v>25</v>
      </c>
      <c r="H5">
        <v>279.60000000000002</v>
      </c>
      <c r="I5">
        <v>259.5</v>
      </c>
      <c r="J5">
        <v>97.1</v>
      </c>
      <c r="K5">
        <v>67.5</v>
      </c>
      <c r="L5">
        <v>25.4</v>
      </c>
      <c r="M5">
        <v>7.5</v>
      </c>
      <c r="N5">
        <v>0.123463986090869</v>
      </c>
      <c r="O5">
        <v>1.7398660232215101E-2</v>
      </c>
      <c r="P5" t="str">
        <f t="shared" si="0"/>
        <v>F</v>
      </c>
      <c r="Q5" t="str">
        <f t="shared" si="1"/>
        <v>T</v>
      </c>
    </row>
    <row r="6" spans="1:17" hidden="1" x14ac:dyDescent="0.3">
      <c r="A6">
        <v>125</v>
      </c>
      <c r="B6">
        <v>1043</v>
      </c>
      <c r="C6">
        <v>197</v>
      </c>
      <c r="D6" t="s">
        <v>19</v>
      </c>
      <c r="E6" t="s">
        <v>20</v>
      </c>
      <c r="F6" t="s">
        <v>17</v>
      </c>
      <c r="G6" t="s">
        <v>25</v>
      </c>
      <c r="H6">
        <v>280.10000000000002</v>
      </c>
      <c r="I6">
        <v>249.5</v>
      </c>
      <c r="J6">
        <v>95.8</v>
      </c>
      <c r="K6">
        <v>69.5</v>
      </c>
      <c r="L6">
        <v>26.6</v>
      </c>
      <c r="M6">
        <v>6.5</v>
      </c>
      <c r="N6">
        <v>0.195401583263071</v>
      </c>
      <c r="O6">
        <v>2.1683591212189299E-2</v>
      </c>
      <c r="P6" t="str">
        <f t="shared" si="0"/>
        <v>F</v>
      </c>
      <c r="Q6" t="str">
        <f t="shared" si="1"/>
        <v>T</v>
      </c>
    </row>
    <row r="7" spans="1:17" hidden="1" x14ac:dyDescent="0.3">
      <c r="A7">
        <v>131</v>
      </c>
      <c r="B7">
        <v>1045</v>
      </c>
      <c r="C7">
        <v>28</v>
      </c>
      <c r="D7" t="s">
        <v>19</v>
      </c>
      <c r="E7" t="s">
        <v>20</v>
      </c>
      <c r="F7" t="s">
        <v>17</v>
      </c>
      <c r="G7" t="s">
        <v>26</v>
      </c>
      <c r="H7">
        <v>274.39999999999998</v>
      </c>
      <c r="I7">
        <v>243.5</v>
      </c>
      <c r="J7">
        <v>94.3</v>
      </c>
      <c r="K7">
        <v>65.5</v>
      </c>
      <c r="L7">
        <v>28</v>
      </c>
      <c r="M7">
        <v>5.5</v>
      </c>
      <c r="N7">
        <v>0.29575086808558998</v>
      </c>
      <c r="O7">
        <v>6.5607287926228497E-2</v>
      </c>
      <c r="P7" t="str">
        <f t="shared" si="0"/>
        <v>F</v>
      </c>
      <c r="Q7" t="str">
        <f t="shared" si="1"/>
        <v>F</v>
      </c>
    </row>
    <row r="8" spans="1:17" hidden="1" x14ac:dyDescent="0.3">
      <c r="A8">
        <v>175</v>
      </c>
      <c r="B8">
        <v>1060</v>
      </c>
      <c r="C8">
        <v>346</v>
      </c>
      <c r="D8" t="s">
        <v>19</v>
      </c>
      <c r="E8" t="s">
        <v>20</v>
      </c>
      <c r="F8" t="s">
        <v>21</v>
      </c>
      <c r="G8" t="s">
        <v>22</v>
      </c>
      <c r="H8">
        <v>271.60000000000002</v>
      </c>
      <c r="I8">
        <v>238</v>
      </c>
      <c r="J8">
        <v>91.3</v>
      </c>
      <c r="K8">
        <v>63</v>
      </c>
      <c r="L8">
        <v>24.7</v>
      </c>
      <c r="M8">
        <v>8</v>
      </c>
      <c r="N8">
        <v>0.17676499895872799</v>
      </c>
      <c r="O8">
        <v>1.4281872550138099E-2</v>
      </c>
      <c r="P8" t="str">
        <f t="shared" si="0"/>
        <v>F</v>
      </c>
      <c r="Q8" t="str">
        <f t="shared" si="1"/>
        <v>T</v>
      </c>
    </row>
    <row r="9" spans="1:17" hidden="1" x14ac:dyDescent="0.3">
      <c r="A9">
        <v>176</v>
      </c>
      <c r="B9">
        <v>1060</v>
      </c>
      <c r="C9">
        <v>346</v>
      </c>
      <c r="D9" t="s">
        <v>19</v>
      </c>
      <c r="E9" t="s">
        <v>20</v>
      </c>
      <c r="F9" t="s">
        <v>21</v>
      </c>
      <c r="G9" t="s">
        <v>22</v>
      </c>
      <c r="H9">
        <v>271.60000000000002</v>
      </c>
      <c r="I9">
        <v>238</v>
      </c>
      <c r="J9">
        <v>91.3</v>
      </c>
      <c r="K9">
        <v>63</v>
      </c>
      <c r="L9">
        <v>24.7</v>
      </c>
      <c r="M9">
        <v>8</v>
      </c>
      <c r="N9">
        <v>0.188262857851553</v>
      </c>
      <c r="O9">
        <v>6.30940717293682E-4</v>
      </c>
      <c r="P9" t="str">
        <f t="shared" si="0"/>
        <v>F</v>
      </c>
      <c r="Q9" t="str">
        <f t="shared" si="1"/>
        <v>T</v>
      </c>
    </row>
    <row r="10" spans="1:17" hidden="1" x14ac:dyDescent="0.3">
      <c r="A10">
        <v>229</v>
      </c>
      <c r="B10">
        <v>1081</v>
      </c>
      <c r="C10">
        <v>468</v>
      </c>
      <c r="D10" t="s">
        <v>19</v>
      </c>
      <c r="E10" t="s">
        <v>20</v>
      </c>
      <c r="F10" t="s">
        <v>17</v>
      </c>
      <c r="G10" t="s">
        <v>26</v>
      </c>
      <c r="H10">
        <v>273.39999999999998</v>
      </c>
      <c r="I10">
        <v>243.5</v>
      </c>
      <c r="J10">
        <v>92.9</v>
      </c>
      <c r="K10">
        <v>63.5</v>
      </c>
      <c r="L10">
        <v>24.1</v>
      </c>
      <c r="M10">
        <v>7.5</v>
      </c>
      <c r="N10">
        <v>0.17611552273912001</v>
      </c>
      <c r="O10">
        <v>8.9121182719147804E-2</v>
      </c>
      <c r="P10" t="str">
        <f t="shared" si="0"/>
        <v>F</v>
      </c>
      <c r="Q10" t="str">
        <f t="shared" si="1"/>
        <v>F</v>
      </c>
    </row>
    <row r="11" spans="1:17" hidden="1" x14ac:dyDescent="0.3">
      <c r="A11">
        <v>230</v>
      </c>
      <c r="B11">
        <v>1081</v>
      </c>
      <c r="C11">
        <v>468</v>
      </c>
      <c r="D11" t="s">
        <v>19</v>
      </c>
      <c r="E11" t="s">
        <v>20</v>
      </c>
      <c r="F11" t="s">
        <v>17</v>
      </c>
      <c r="G11" t="s">
        <v>26</v>
      </c>
      <c r="H11">
        <v>273.39999999999998</v>
      </c>
      <c r="I11">
        <v>243.5</v>
      </c>
      <c r="J11">
        <v>92.9</v>
      </c>
      <c r="K11">
        <v>63.5</v>
      </c>
      <c r="L11">
        <v>24.1</v>
      </c>
      <c r="M11">
        <v>7.5</v>
      </c>
      <c r="N11">
        <v>0.16629758904927999</v>
      </c>
      <c r="O11">
        <v>9.7748593397842004E-2</v>
      </c>
      <c r="P11" t="str">
        <f t="shared" si="0"/>
        <v>F</v>
      </c>
      <c r="Q11" t="str">
        <f t="shared" si="1"/>
        <v>F</v>
      </c>
    </row>
    <row r="12" spans="1:17" hidden="1" x14ac:dyDescent="0.3">
      <c r="A12">
        <v>231</v>
      </c>
      <c r="B12">
        <v>1081</v>
      </c>
      <c r="C12">
        <v>468</v>
      </c>
      <c r="D12" t="s">
        <v>19</v>
      </c>
      <c r="E12" t="s">
        <v>20</v>
      </c>
      <c r="F12" t="s">
        <v>17</v>
      </c>
      <c r="G12" t="s">
        <v>26</v>
      </c>
      <c r="H12">
        <v>273.39999999999998</v>
      </c>
      <c r="I12">
        <v>243.5</v>
      </c>
      <c r="J12">
        <v>92.9</v>
      </c>
      <c r="K12">
        <v>63.5</v>
      </c>
      <c r="L12">
        <v>24.1</v>
      </c>
      <c r="M12">
        <v>7.5</v>
      </c>
      <c r="N12">
        <v>0.172344217323918</v>
      </c>
      <c r="O12">
        <v>9.5452536590678094E-2</v>
      </c>
      <c r="P12" t="str">
        <f t="shared" si="0"/>
        <v>F</v>
      </c>
      <c r="Q12" t="str">
        <f t="shared" si="1"/>
        <v>F</v>
      </c>
    </row>
    <row r="13" spans="1:17" hidden="1" x14ac:dyDescent="0.3">
      <c r="A13">
        <v>232</v>
      </c>
      <c r="B13">
        <v>1081</v>
      </c>
      <c r="C13">
        <v>468</v>
      </c>
      <c r="D13" t="s">
        <v>19</v>
      </c>
      <c r="E13" t="s">
        <v>20</v>
      </c>
      <c r="F13" t="s">
        <v>17</v>
      </c>
      <c r="G13" t="s">
        <v>26</v>
      </c>
      <c r="H13">
        <v>273.39999999999998</v>
      </c>
      <c r="I13">
        <v>243.5</v>
      </c>
      <c r="J13">
        <v>92.9</v>
      </c>
      <c r="K13">
        <v>63.5</v>
      </c>
      <c r="L13">
        <v>24.1</v>
      </c>
      <c r="M13">
        <v>7.5</v>
      </c>
      <c r="N13">
        <v>0.17323310543276399</v>
      </c>
      <c r="O13">
        <v>0.106042181579853</v>
      </c>
      <c r="P13" t="str">
        <f t="shared" si="0"/>
        <v>F</v>
      </c>
      <c r="Q13" t="str">
        <f t="shared" si="1"/>
        <v>F</v>
      </c>
    </row>
    <row r="14" spans="1:17" hidden="1" x14ac:dyDescent="0.3">
      <c r="A14">
        <v>233</v>
      </c>
      <c r="B14">
        <v>1081</v>
      </c>
      <c r="C14">
        <v>468</v>
      </c>
      <c r="D14" t="s">
        <v>19</v>
      </c>
      <c r="E14" t="s">
        <v>20</v>
      </c>
      <c r="F14" t="s">
        <v>17</v>
      </c>
      <c r="G14" t="s">
        <v>26</v>
      </c>
      <c r="H14">
        <v>273.39999999999998</v>
      </c>
      <c r="I14">
        <v>243.5</v>
      </c>
      <c r="J14">
        <v>92.9</v>
      </c>
      <c r="K14">
        <v>63.5</v>
      </c>
      <c r="L14">
        <v>24.1</v>
      </c>
      <c r="M14">
        <v>7.5</v>
      </c>
      <c r="N14">
        <v>0.159479862317429</v>
      </c>
      <c r="O14">
        <v>8.6629580632943196E-2</v>
      </c>
      <c r="P14" t="str">
        <f t="shared" si="0"/>
        <v>F</v>
      </c>
      <c r="Q14" t="str">
        <f t="shared" si="1"/>
        <v>F</v>
      </c>
    </row>
    <row r="15" spans="1:17" hidden="1" x14ac:dyDescent="0.3">
      <c r="A15">
        <v>237</v>
      </c>
      <c r="B15">
        <v>1083</v>
      </c>
      <c r="C15">
        <v>89</v>
      </c>
      <c r="D15" t="s">
        <v>19</v>
      </c>
      <c r="E15" t="s">
        <v>20</v>
      </c>
      <c r="F15" t="s">
        <v>17</v>
      </c>
      <c r="G15" t="s">
        <v>26</v>
      </c>
      <c r="H15">
        <v>275.89999999999998</v>
      </c>
      <c r="I15">
        <v>245.5</v>
      </c>
      <c r="J15">
        <v>92.8</v>
      </c>
      <c r="K15">
        <v>66.5</v>
      </c>
      <c r="L15">
        <v>26.7</v>
      </c>
      <c r="M15">
        <v>12.5</v>
      </c>
      <c r="N15">
        <v>6.2650663329319095E-2</v>
      </c>
      <c r="O15">
        <v>0.121743031853447</v>
      </c>
      <c r="P15" t="str">
        <f t="shared" si="0"/>
        <v>T</v>
      </c>
      <c r="Q15" t="str">
        <f t="shared" si="1"/>
        <v>F</v>
      </c>
    </row>
    <row r="16" spans="1:17" hidden="1" x14ac:dyDescent="0.3">
      <c r="A16">
        <v>238</v>
      </c>
      <c r="B16">
        <v>1083</v>
      </c>
      <c r="C16">
        <v>89</v>
      </c>
      <c r="D16" t="s">
        <v>19</v>
      </c>
      <c r="E16" t="s">
        <v>20</v>
      </c>
      <c r="F16" t="s">
        <v>17</v>
      </c>
      <c r="G16" t="s">
        <v>26</v>
      </c>
      <c r="H16">
        <v>275.89999999999998</v>
      </c>
      <c r="I16">
        <v>245.5</v>
      </c>
      <c r="J16">
        <v>92.8</v>
      </c>
      <c r="K16">
        <v>66.5</v>
      </c>
      <c r="L16">
        <v>26.7</v>
      </c>
      <c r="M16">
        <v>12.5</v>
      </c>
      <c r="N16">
        <v>6.5961828891226607E-2</v>
      </c>
      <c r="O16">
        <v>0.107912962439738</v>
      </c>
      <c r="P16" t="str">
        <f t="shared" si="0"/>
        <v>T</v>
      </c>
      <c r="Q16" t="str">
        <f t="shared" si="1"/>
        <v>F</v>
      </c>
    </row>
    <row r="17" spans="1:17" hidden="1" x14ac:dyDescent="0.3">
      <c r="A17">
        <v>250</v>
      </c>
      <c r="B17">
        <v>1088</v>
      </c>
      <c r="C17">
        <v>366</v>
      </c>
      <c r="D17" t="s">
        <v>19</v>
      </c>
      <c r="E17" t="s">
        <v>20</v>
      </c>
      <c r="F17" t="s">
        <v>17</v>
      </c>
      <c r="G17" t="s">
        <v>26</v>
      </c>
      <c r="H17">
        <v>275.89999999999998</v>
      </c>
      <c r="I17">
        <v>255</v>
      </c>
      <c r="J17">
        <v>94.9</v>
      </c>
      <c r="K17">
        <v>64</v>
      </c>
      <c r="L17">
        <v>26.8</v>
      </c>
      <c r="M17">
        <v>17</v>
      </c>
      <c r="N17">
        <v>0.18096776998515299</v>
      </c>
      <c r="O17">
        <v>0.138473010186724</v>
      </c>
      <c r="P17" t="str">
        <f t="shared" si="0"/>
        <v>F</v>
      </c>
      <c r="Q17" t="str">
        <f t="shared" si="1"/>
        <v>F</v>
      </c>
    </row>
    <row r="18" spans="1:17" hidden="1" x14ac:dyDescent="0.3">
      <c r="A18">
        <v>251</v>
      </c>
      <c r="B18">
        <v>1088</v>
      </c>
      <c r="C18">
        <v>366</v>
      </c>
      <c r="D18" t="s">
        <v>19</v>
      </c>
      <c r="E18" t="s">
        <v>20</v>
      </c>
      <c r="F18" t="s">
        <v>17</v>
      </c>
      <c r="G18" t="s">
        <v>26</v>
      </c>
      <c r="H18">
        <v>275.89999999999998</v>
      </c>
      <c r="I18">
        <v>255</v>
      </c>
      <c r="J18">
        <v>94.9</v>
      </c>
      <c r="K18">
        <v>64</v>
      </c>
      <c r="L18">
        <v>26.8</v>
      </c>
      <c r="M18">
        <v>17</v>
      </c>
      <c r="N18">
        <v>0.165179651641784</v>
      </c>
      <c r="O18">
        <v>0.130114391660275</v>
      </c>
      <c r="P18" t="str">
        <f t="shared" si="0"/>
        <v>F</v>
      </c>
      <c r="Q18" t="str">
        <f t="shared" si="1"/>
        <v>F</v>
      </c>
    </row>
    <row r="19" spans="1:17" hidden="1" x14ac:dyDescent="0.3">
      <c r="A19">
        <v>377</v>
      </c>
      <c r="B19">
        <v>1130</v>
      </c>
      <c r="C19">
        <v>112</v>
      </c>
      <c r="D19" t="s">
        <v>19</v>
      </c>
      <c r="E19" t="s">
        <v>20</v>
      </c>
      <c r="F19" t="s">
        <v>21</v>
      </c>
      <c r="G19" t="s">
        <v>24</v>
      </c>
      <c r="H19">
        <v>277.2</v>
      </c>
      <c r="I19">
        <v>249</v>
      </c>
      <c r="J19">
        <v>95</v>
      </c>
      <c r="K19">
        <v>64</v>
      </c>
      <c r="L19">
        <v>29.1</v>
      </c>
      <c r="M19">
        <v>7</v>
      </c>
      <c r="N19">
        <v>0.17900143147404801</v>
      </c>
      <c r="O19">
        <v>0.12791456982861399</v>
      </c>
      <c r="P19" t="str">
        <f t="shared" si="0"/>
        <v>F</v>
      </c>
      <c r="Q19" t="str">
        <f t="shared" si="1"/>
        <v>F</v>
      </c>
    </row>
    <row r="20" spans="1:17" hidden="1" x14ac:dyDescent="0.3">
      <c r="A20">
        <v>378</v>
      </c>
      <c r="B20">
        <v>1130</v>
      </c>
      <c r="C20">
        <v>112</v>
      </c>
      <c r="D20" t="s">
        <v>19</v>
      </c>
      <c r="E20" t="s">
        <v>20</v>
      </c>
      <c r="F20" t="s">
        <v>21</v>
      </c>
      <c r="G20" t="s">
        <v>24</v>
      </c>
      <c r="H20">
        <v>277.2</v>
      </c>
      <c r="I20">
        <v>249</v>
      </c>
      <c r="J20">
        <v>95</v>
      </c>
      <c r="K20">
        <v>64</v>
      </c>
      <c r="L20">
        <v>29.1</v>
      </c>
      <c r="M20">
        <v>7</v>
      </c>
      <c r="N20">
        <v>0.17448543766529201</v>
      </c>
      <c r="O20">
        <v>9.9801357690649906E-2</v>
      </c>
      <c r="P20" t="str">
        <f t="shared" si="0"/>
        <v>F</v>
      </c>
      <c r="Q20" t="str">
        <f t="shared" si="1"/>
        <v>F</v>
      </c>
    </row>
    <row r="21" spans="1:17" hidden="1" x14ac:dyDescent="0.3">
      <c r="A21">
        <v>379</v>
      </c>
      <c r="B21">
        <v>1130</v>
      </c>
      <c r="C21">
        <v>112</v>
      </c>
      <c r="D21" t="s">
        <v>19</v>
      </c>
      <c r="E21" t="s">
        <v>20</v>
      </c>
      <c r="F21" t="s">
        <v>21</v>
      </c>
      <c r="G21" t="s">
        <v>24</v>
      </c>
      <c r="H21">
        <v>277.2</v>
      </c>
      <c r="I21">
        <v>249</v>
      </c>
      <c r="J21">
        <v>95</v>
      </c>
      <c r="K21">
        <v>64</v>
      </c>
      <c r="L21">
        <v>29.1</v>
      </c>
      <c r="M21">
        <v>7</v>
      </c>
      <c r="N21">
        <v>0.172223319129785</v>
      </c>
      <c r="O21">
        <v>0.10823833561674</v>
      </c>
      <c r="P21" t="str">
        <f t="shared" si="0"/>
        <v>F</v>
      </c>
      <c r="Q21" t="str">
        <f t="shared" si="1"/>
        <v>F</v>
      </c>
    </row>
    <row r="22" spans="1:17" hidden="1" x14ac:dyDescent="0.3">
      <c r="A22">
        <v>380</v>
      </c>
      <c r="B22">
        <v>1131</v>
      </c>
      <c r="C22">
        <v>183</v>
      </c>
      <c r="D22" t="s">
        <v>19</v>
      </c>
      <c r="E22" t="s">
        <v>20</v>
      </c>
      <c r="F22" t="s">
        <v>21</v>
      </c>
      <c r="G22" t="s">
        <v>22</v>
      </c>
      <c r="H22">
        <v>276.39999999999998</v>
      </c>
      <c r="I22">
        <v>248</v>
      </c>
      <c r="J22">
        <v>92.7</v>
      </c>
      <c r="K22">
        <v>64</v>
      </c>
      <c r="L22">
        <v>27.8</v>
      </c>
      <c r="M22">
        <v>6.5</v>
      </c>
      <c r="N22">
        <v>0.31669030789385599</v>
      </c>
      <c r="O22">
        <v>7.8219454440202604E-2</v>
      </c>
      <c r="P22" t="str">
        <f t="shared" si="0"/>
        <v>F</v>
      </c>
      <c r="Q22" t="str">
        <f t="shared" si="1"/>
        <v>F</v>
      </c>
    </row>
    <row r="23" spans="1:17" hidden="1" x14ac:dyDescent="0.3">
      <c r="A23">
        <v>382</v>
      </c>
      <c r="B23">
        <v>1131</v>
      </c>
      <c r="C23">
        <v>183</v>
      </c>
      <c r="D23" t="s">
        <v>19</v>
      </c>
      <c r="E23" t="s">
        <v>20</v>
      </c>
      <c r="F23" t="s">
        <v>21</v>
      </c>
      <c r="G23" t="s">
        <v>22</v>
      </c>
      <c r="H23">
        <v>276.39999999999998</v>
      </c>
      <c r="I23">
        <v>248</v>
      </c>
      <c r="J23">
        <v>92.7</v>
      </c>
      <c r="K23">
        <v>64</v>
      </c>
      <c r="L23">
        <v>27.8</v>
      </c>
      <c r="M23">
        <v>6.5</v>
      </c>
      <c r="N23">
        <v>0.31343530969391897</v>
      </c>
      <c r="O23">
        <v>8.0443230589970494E-2</v>
      </c>
      <c r="P23" t="str">
        <f t="shared" si="0"/>
        <v>F</v>
      </c>
      <c r="Q23" t="str">
        <f t="shared" si="1"/>
        <v>F</v>
      </c>
    </row>
    <row r="24" spans="1:17" hidden="1" x14ac:dyDescent="0.3">
      <c r="A24">
        <v>383</v>
      </c>
      <c r="B24">
        <v>1131</v>
      </c>
      <c r="C24">
        <v>183</v>
      </c>
      <c r="D24" t="s">
        <v>19</v>
      </c>
      <c r="E24" t="s">
        <v>20</v>
      </c>
      <c r="F24" t="s">
        <v>21</v>
      </c>
      <c r="G24" t="s">
        <v>22</v>
      </c>
      <c r="H24">
        <v>276.39999999999998</v>
      </c>
      <c r="I24">
        <v>248</v>
      </c>
      <c r="J24">
        <v>92.7</v>
      </c>
      <c r="K24">
        <v>64</v>
      </c>
      <c r="L24">
        <v>27.8</v>
      </c>
      <c r="M24">
        <v>6.5</v>
      </c>
      <c r="N24">
        <v>0.32244730706497099</v>
      </c>
      <c r="O24">
        <v>6.2412475347331402E-2</v>
      </c>
      <c r="P24" t="str">
        <f t="shared" si="0"/>
        <v>F</v>
      </c>
      <c r="Q24" t="str">
        <f t="shared" si="1"/>
        <v>F</v>
      </c>
    </row>
    <row r="25" spans="1:17" hidden="1" x14ac:dyDescent="0.3">
      <c r="A25">
        <v>402</v>
      </c>
      <c r="B25">
        <v>1140</v>
      </c>
      <c r="C25">
        <v>99</v>
      </c>
      <c r="D25" t="s">
        <v>19</v>
      </c>
      <c r="E25" t="s">
        <v>20</v>
      </c>
      <c r="F25" t="s">
        <v>17</v>
      </c>
      <c r="G25" t="s">
        <v>25</v>
      </c>
      <c r="H25">
        <v>277</v>
      </c>
      <c r="I25">
        <v>257</v>
      </c>
      <c r="J25">
        <v>99.7</v>
      </c>
      <c r="K25">
        <v>69</v>
      </c>
      <c r="L25">
        <v>26.4</v>
      </c>
      <c r="M25">
        <v>7.5</v>
      </c>
      <c r="N25">
        <v>0.110917266216966</v>
      </c>
      <c r="O25">
        <v>2.59664326759841E-2</v>
      </c>
      <c r="P25" t="str">
        <f t="shared" si="0"/>
        <v>F</v>
      </c>
      <c r="Q25" t="str">
        <f t="shared" si="1"/>
        <v>T</v>
      </c>
    </row>
    <row r="26" spans="1:17" hidden="1" x14ac:dyDescent="0.3">
      <c r="A26">
        <v>403</v>
      </c>
      <c r="B26">
        <v>1140</v>
      </c>
      <c r="C26">
        <v>99</v>
      </c>
      <c r="D26" t="s">
        <v>19</v>
      </c>
      <c r="E26" t="s">
        <v>20</v>
      </c>
      <c r="F26" t="s">
        <v>17</v>
      </c>
      <c r="G26" t="s">
        <v>25</v>
      </c>
      <c r="H26">
        <v>277</v>
      </c>
      <c r="I26">
        <v>257</v>
      </c>
      <c r="J26">
        <v>99.7</v>
      </c>
      <c r="K26">
        <v>69</v>
      </c>
      <c r="L26">
        <v>26.4</v>
      </c>
      <c r="M26">
        <v>7.5</v>
      </c>
      <c r="N26">
        <v>9.4988203376071695E-2</v>
      </c>
      <c r="O26">
        <v>5.03834106886853E-2</v>
      </c>
      <c r="P26" t="str">
        <f t="shared" si="0"/>
        <v>F</v>
      </c>
      <c r="Q26" t="str">
        <f t="shared" si="1"/>
        <v>F</v>
      </c>
    </row>
    <row r="27" spans="1:17" hidden="1" x14ac:dyDescent="0.3">
      <c r="A27">
        <v>404</v>
      </c>
      <c r="B27">
        <v>1140</v>
      </c>
      <c r="C27">
        <v>99</v>
      </c>
      <c r="D27" t="s">
        <v>19</v>
      </c>
      <c r="E27" t="s">
        <v>20</v>
      </c>
      <c r="F27" t="s">
        <v>17</v>
      </c>
      <c r="G27" t="s">
        <v>25</v>
      </c>
      <c r="H27">
        <v>277</v>
      </c>
      <c r="I27">
        <v>257</v>
      </c>
      <c r="J27">
        <v>99.7</v>
      </c>
      <c r="K27">
        <v>69</v>
      </c>
      <c r="L27">
        <v>26.4</v>
      </c>
      <c r="M27">
        <v>7.5</v>
      </c>
      <c r="N27">
        <v>0.121011366332508</v>
      </c>
      <c r="O27">
        <v>1.7871189872905899E-2</v>
      </c>
      <c r="P27" t="str">
        <f t="shared" si="0"/>
        <v>F</v>
      </c>
      <c r="Q27" t="str">
        <f t="shared" si="1"/>
        <v>T</v>
      </c>
    </row>
    <row r="28" spans="1:17" hidden="1" x14ac:dyDescent="0.3">
      <c r="A28">
        <v>405</v>
      </c>
      <c r="B28">
        <v>1140</v>
      </c>
      <c r="C28">
        <v>99</v>
      </c>
      <c r="D28" t="s">
        <v>19</v>
      </c>
      <c r="E28" t="s">
        <v>20</v>
      </c>
      <c r="F28" t="s">
        <v>17</v>
      </c>
      <c r="G28" t="s">
        <v>25</v>
      </c>
      <c r="H28">
        <v>277</v>
      </c>
      <c r="I28">
        <v>257</v>
      </c>
      <c r="J28">
        <v>99.7</v>
      </c>
      <c r="K28">
        <v>69</v>
      </c>
      <c r="L28">
        <v>26.4</v>
      </c>
      <c r="M28">
        <v>7.5</v>
      </c>
      <c r="N28">
        <v>9.4508666035535899E-2</v>
      </c>
      <c r="O28">
        <v>4.30379521912636E-2</v>
      </c>
      <c r="P28" t="str">
        <f t="shared" si="0"/>
        <v>F</v>
      </c>
      <c r="Q28" t="str">
        <f t="shared" si="1"/>
        <v>F</v>
      </c>
    </row>
    <row r="29" spans="1:17" hidden="1" x14ac:dyDescent="0.3">
      <c r="A29">
        <v>423</v>
      </c>
      <c r="B29">
        <v>115</v>
      </c>
      <c r="C29">
        <v>68</v>
      </c>
      <c r="D29" t="s">
        <v>19</v>
      </c>
      <c r="E29" t="s">
        <v>20</v>
      </c>
      <c r="F29" t="s">
        <v>21</v>
      </c>
      <c r="G29" t="s">
        <v>22</v>
      </c>
      <c r="H29">
        <v>275.60000000000002</v>
      </c>
      <c r="I29">
        <v>254.5</v>
      </c>
      <c r="J29">
        <v>95.5</v>
      </c>
      <c r="K29">
        <v>65.5</v>
      </c>
      <c r="L29">
        <v>29.1</v>
      </c>
      <c r="M29">
        <v>10</v>
      </c>
      <c r="N29">
        <v>0.204993732871353</v>
      </c>
      <c r="O29">
        <v>0.18028565191686199</v>
      </c>
      <c r="P29" t="str">
        <f t="shared" si="0"/>
        <v>F</v>
      </c>
      <c r="Q29" t="str">
        <f t="shared" si="1"/>
        <v>F</v>
      </c>
    </row>
    <row r="30" spans="1:17" hidden="1" x14ac:dyDescent="0.3">
      <c r="A30">
        <v>424</v>
      </c>
      <c r="B30">
        <v>115</v>
      </c>
      <c r="C30">
        <v>68</v>
      </c>
      <c r="D30" t="s">
        <v>19</v>
      </c>
      <c r="E30" t="s">
        <v>20</v>
      </c>
      <c r="F30" t="s">
        <v>21</v>
      </c>
      <c r="G30" t="s">
        <v>22</v>
      </c>
      <c r="H30">
        <v>275.60000000000002</v>
      </c>
      <c r="I30">
        <v>254.5</v>
      </c>
      <c r="J30">
        <v>95.5</v>
      </c>
      <c r="K30">
        <v>65.5</v>
      </c>
      <c r="L30">
        <v>29.1</v>
      </c>
      <c r="M30">
        <v>10</v>
      </c>
      <c r="N30">
        <v>0.21428011439271499</v>
      </c>
      <c r="O30">
        <v>0.183517975638744</v>
      </c>
      <c r="P30" t="str">
        <f t="shared" si="0"/>
        <v>F</v>
      </c>
      <c r="Q30" t="str">
        <f t="shared" si="1"/>
        <v>F</v>
      </c>
    </row>
    <row r="31" spans="1:17" hidden="1" x14ac:dyDescent="0.3">
      <c r="A31">
        <v>474</v>
      </c>
      <c r="B31">
        <v>1169</v>
      </c>
      <c r="C31">
        <v>68</v>
      </c>
      <c r="D31" t="s">
        <v>19</v>
      </c>
      <c r="E31" t="s">
        <v>20</v>
      </c>
      <c r="F31" t="s">
        <v>17</v>
      </c>
      <c r="G31" t="s">
        <v>18</v>
      </c>
      <c r="H31">
        <v>275.60000000000002</v>
      </c>
      <c r="I31">
        <v>254.5</v>
      </c>
      <c r="J31">
        <v>95.5</v>
      </c>
      <c r="K31">
        <v>65.5</v>
      </c>
      <c r="L31">
        <v>29.1</v>
      </c>
      <c r="M31">
        <v>10</v>
      </c>
      <c r="N31">
        <v>0.21497653668313099</v>
      </c>
      <c r="O31">
        <v>0.155490417413856</v>
      </c>
      <c r="P31" t="str">
        <f t="shared" si="0"/>
        <v>F</v>
      </c>
      <c r="Q31" t="str">
        <f t="shared" si="1"/>
        <v>F</v>
      </c>
    </row>
    <row r="32" spans="1:17" hidden="1" x14ac:dyDescent="0.3">
      <c r="A32">
        <v>475</v>
      </c>
      <c r="B32">
        <v>1169</v>
      </c>
      <c r="C32">
        <v>68</v>
      </c>
      <c r="D32" t="s">
        <v>19</v>
      </c>
      <c r="E32" t="s">
        <v>20</v>
      </c>
      <c r="F32" t="s">
        <v>17</v>
      </c>
      <c r="G32" t="s">
        <v>18</v>
      </c>
      <c r="H32">
        <v>275.60000000000002</v>
      </c>
      <c r="I32">
        <v>254.5</v>
      </c>
      <c r="J32">
        <v>95.5</v>
      </c>
      <c r="K32">
        <v>65.5</v>
      </c>
      <c r="L32">
        <v>29.1</v>
      </c>
      <c r="M32">
        <v>10</v>
      </c>
      <c r="N32">
        <v>0.21152001748749899</v>
      </c>
      <c r="O32">
        <v>0.17401150522784001</v>
      </c>
      <c r="P32" t="str">
        <f t="shared" si="0"/>
        <v>F</v>
      </c>
      <c r="Q32" t="str">
        <f t="shared" si="1"/>
        <v>F</v>
      </c>
    </row>
    <row r="33" spans="1:17" hidden="1" x14ac:dyDescent="0.3">
      <c r="A33">
        <v>525</v>
      </c>
      <c r="B33">
        <v>1191</v>
      </c>
      <c r="C33">
        <v>345</v>
      </c>
      <c r="D33" t="s">
        <v>19</v>
      </c>
      <c r="E33" t="s">
        <v>20</v>
      </c>
      <c r="F33" t="s">
        <v>17</v>
      </c>
      <c r="G33" t="s">
        <v>22</v>
      </c>
      <c r="H33">
        <v>277.60000000000002</v>
      </c>
      <c r="I33">
        <v>252.5</v>
      </c>
      <c r="J33">
        <v>98.4</v>
      </c>
      <c r="K33">
        <v>67.5</v>
      </c>
      <c r="L33">
        <v>25.8</v>
      </c>
      <c r="M33">
        <v>13.5</v>
      </c>
      <c r="N33">
        <v>0.13284262980710801</v>
      </c>
      <c r="O33">
        <v>0.105005036941024</v>
      </c>
      <c r="P33" t="str">
        <f t="shared" si="0"/>
        <v>F</v>
      </c>
      <c r="Q33" t="str">
        <f t="shared" si="1"/>
        <v>F</v>
      </c>
    </row>
    <row r="34" spans="1:17" hidden="1" x14ac:dyDescent="0.3">
      <c r="A34">
        <v>526</v>
      </c>
      <c r="B34">
        <v>1191</v>
      </c>
      <c r="C34">
        <v>345</v>
      </c>
      <c r="D34" t="s">
        <v>19</v>
      </c>
      <c r="E34" t="s">
        <v>20</v>
      </c>
      <c r="F34" t="s">
        <v>17</v>
      </c>
      <c r="G34" t="s">
        <v>22</v>
      </c>
      <c r="H34">
        <v>277.60000000000002</v>
      </c>
      <c r="I34">
        <v>252.5</v>
      </c>
      <c r="J34">
        <v>98.4</v>
      </c>
      <c r="K34">
        <v>67.5</v>
      </c>
      <c r="L34">
        <v>25.8</v>
      </c>
      <c r="M34">
        <v>13.5</v>
      </c>
      <c r="N34">
        <v>0.110076956577095</v>
      </c>
      <c r="O34">
        <v>0.114085553200588</v>
      </c>
      <c r="P34" t="str">
        <f t="shared" si="0"/>
        <v>F</v>
      </c>
      <c r="Q34" t="str">
        <f t="shared" si="1"/>
        <v>F</v>
      </c>
    </row>
    <row r="35" spans="1:17" hidden="1" x14ac:dyDescent="0.3">
      <c r="A35">
        <v>527</v>
      </c>
      <c r="B35">
        <v>1191</v>
      </c>
      <c r="C35">
        <v>345</v>
      </c>
      <c r="D35" t="s">
        <v>19</v>
      </c>
      <c r="E35" t="s">
        <v>20</v>
      </c>
      <c r="F35" t="s">
        <v>17</v>
      </c>
      <c r="G35" t="s">
        <v>22</v>
      </c>
      <c r="H35">
        <v>277.60000000000002</v>
      </c>
      <c r="I35">
        <v>252.5</v>
      </c>
      <c r="J35">
        <v>98.4</v>
      </c>
      <c r="K35">
        <v>67.5</v>
      </c>
      <c r="L35">
        <v>25.8</v>
      </c>
      <c r="M35">
        <v>13.5</v>
      </c>
      <c r="N35">
        <v>0.124873718599383</v>
      </c>
      <c r="O35">
        <v>9.5572665708040905E-2</v>
      </c>
      <c r="P35" t="str">
        <f t="shared" si="0"/>
        <v>F</v>
      </c>
      <c r="Q35" t="str">
        <f t="shared" si="1"/>
        <v>F</v>
      </c>
    </row>
    <row r="36" spans="1:17" hidden="1" x14ac:dyDescent="0.3">
      <c r="A36">
        <v>617</v>
      </c>
      <c r="B36">
        <v>1221</v>
      </c>
      <c r="C36">
        <v>32</v>
      </c>
      <c r="D36" t="s">
        <v>19</v>
      </c>
      <c r="E36" t="s">
        <v>20</v>
      </c>
      <c r="F36" t="s">
        <v>21</v>
      </c>
      <c r="G36" t="s">
        <v>26</v>
      </c>
      <c r="H36">
        <v>274.8</v>
      </c>
      <c r="I36">
        <v>261</v>
      </c>
      <c r="J36">
        <v>101</v>
      </c>
      <c r="K36">
        <v>66</v>
      </c>
      <c r="L36">
        <v>24.4</v>
      </c>
      <c r="M36">
        <v>8.5</v>
      </c>
      <c r="N36">
        <v>0.13500217827675401</v>
      </c>
      <c r="O36">
        <v>0.13925498412668399</v>
      </c>
      <c r="P36" t="str">
        <f t="shared" si="0"/>
        <v>F</v>
      </c>
      <c r="Q36" t="str">
        <f t="shared" si="1"/>
        <v>F</v>
      </c>
    </row>
    <row r="37" spans="1:17" hidden="1" x14ac:dyDescent="0.3">
      <c r="A37">
        <v>618</v>
      </c>
      <c r="B37">
        <v>1221</v>
      </c>
      <c r="C37">
        <v>32</v>
      </c>
      <c r="D37" t="s">
        <v>19</v>
      </c>
      <c r="E37" t="s">
        <v>20</v>
      </c>
      <c r="F37" t="s">
        <v>21</v>
      </c>
      <c r="G37" t="s">
        <v>26</v>
      </c>
      <c r="H37">
        <v>274.8</v>
      </c>
      <c r="I37">
        <v>261</v>
      </c>
      <c r="J37">
        <v>101</v>
      </c>
      <c r="K37">
        <v>66</v>
      </c>
      <c r="L37">
        <v>24.4</v>
      </c>
      <c r="M37">
        <v>8.5</v>
      </c>
      <c r="N37">
        <v>0.120562910761913</v>
      </c>
      <c r="O37">
        <v>0.15061542297723499</v>
      </c>
      <c r="P37" t="str">
        <f t="shared" si="0"/>
        <v>F</v>
      </c>
      <c r="Q37" t="str">
        <f t="shared" si="1"/>
        <v>F</v>
      </c>
    </row>
    <row r="38" spans="1:17" hidden="1" x14ac:dyDescent="0.3">
      <c r="A38">
        <v>619</v>
      </c>
      <c r="B38">
        <v>1221</v>
      </c>
      <c r="C38">
        <v>32</v>
      </c>
      <c r="D38" t="s">
        <v>19</v>
      </c>
      <c r="E38" t="s">
        <v>20</v>
      </c>
      <c r="F38" t="s">
        <v>21</v>
      </c>
      <c r="G38" t="s">
        <v>26</v>
      </c>
      <c r="H38">
        <v>274.8</v>
      </c>
      <c r="I38">
        <v>261</v>
      </c>
      <c r="J38">
        <v>101</v>
      </c>
      <c r="K38">
        <v>66</v>
      </c>
      <c r="L38">
        <v>24.4</v>
      </c>
      <c r="M38">
        <v>8.5</v>
      </c>
      <c r="N38">
        <v>0.13781742285415899</v>
      </c>
      <c r="O38">
        <v>0.15883614781810099</v>
      </c>
      <c r="P38" t="str">
        <f t="shared" si="0"/>
        <v>F</v>
      </c>
      <c r="Q38" t="str">
        <f t="shared" si="1"/>
        <v>F</v>
      </c>
    </row>
    <row r="39" spans="1:17" hidden="1" x14ac:dyDescent="0.3">
      <c r="A39">
        <v>630</v>
      </c>
      <c r="B39">
        <v>1225</v>
      </c>
      <c r="C39">
        <v>320</v>
      </c>
      <c r="D39" t="s">
        <v>19</v>
      </c>
      <c r="E39" t="s">
        <v>20</v>
      </c>
      <c r="F39" t="s">
        <v>21</v>
      </c>
      <c r="G39" t="s">
        <v>24</v>
      </c>
      <c r="H39">
        <v>279</v>
      </c>
      <c r="I39">
        <v>253.5</v>
      </c>
      <c r="J39">
        <v>97.1</v>
      </c>
      <c r="K39">
        <v>64</v>
      </c>
      <c r="L39">
        <v>24</v>
      </c>
      <c r="M39">
        <v>8</v>
      </c>
      <c r="N39">
        <v>0.15548859840541601</v>
      </c>
      <c r="O39">
        <v>5.3072529725211898E-2</v>
      </c>
      <c r="P39" t="str">
        <f t="shared" si="0"/>
        <v>F</v>
      </c>
      <c r="Q39" t="str">
        <f t="shared" si="1"/>
        <v>F</v>
      </c>
    </row>
    <row r="40" spans="1:17" hidden="1" x14ac:dyDescent="0.3">
      <c r="A40">
        <v>631</v>
      </c>
      <c r="B40">
        <v>1225</v>
      </c>
      <c r="C40">
        <v>320</v>
      </c>
      <c r="D40" t="s">
        <v>19</v>
      </c>
      <c r="E40" t="s">
        <v>20</v>
      </c>
      <c r="F40" t="s">
        <v>21</v>
      </c>
      <c r="G40" t="s">
        <v>24</v>
      </c>
      <c r="H40">
        <v>279</v>
      </c>
      <c r="I40">
        <v>253.5</v>
      </c>
      <c r="J40">
        <v>97.1</v>
      </c>
      <c r="K40">
        <v>64</v>
      </c>
      <c r="L40">
        <v>24</v>
      </c>
      <c r="M40">
        <v>8</v>
      </c>
      <c r="N40">
        <v>0.162207268546947</v>
      </c>
      <c r="O40">
        <v>4.7295656536693501E-2</v>
      </c>
      <c r="P40" t="str">
        <f t="shared" si="0"/>
        <v>F</v>
      </c>
      <c r="Q40" t="str">
        <f t="shared" si="1"/>
        <v>F</v>
      </c>
    </row>
    <row r="41" spans="1:17" hidden="1" x14ac:dyDescent="0.3">
      <c r="A41">
        <v>664</v>
      </c>
      <c r="B41">
        <v>1241</v>
      </c>
      <c r="C41">
        <v>274</v>
      </c>
      <c r="D41" t="s">
        <v>19</v>
      </c>
      <c r="E41" t="s">
        <v>20</v>
      </c>
      <c r="F41" t="s">
        <v>17</v>
      </c>
      <c r="G41" t="s">
        <v>25</v>
      </c>
      <c r="H41">
        <v>270.8</v>
      </c>
      <c r="I41">
        <v>241</v>
      </c>
      <c r="J41">
        <v>93</v>
      </c>
      <c r="K41">
        <v>61.5</v>
      </c>
      <c r="L41">
        <v>24.5</v>
      </c>
      <c r="M41">
        <v>11.5</v>
      </c>
      <c r="N41">
        <v>0.114453722027721</v>
      </c>
      <c r="O41">
        <v>0.20676269756284199</v>
      </c>
      <c r="P41" t="str">
        <f t="shared" si="0"/>
        <v>F</v>
      </c>
      <c r="Q41" t="str">
        <f t="shared" si="1"/>
        <v>F</v>
      </c>
    </row>
    <row r="42" spans="1:17" hidden="1" x14ac:dyDescent="0.3">
      <c r="A42">
        <v>667</v>
      </c>
      <c r="B42">
        <v>1242</v>
      </c>
      <c r="C42">
        <v>68</v>
      </c>
      <c r="D42" t="s">
        <v>19</v>
      </c>
      <c r="E42" t="s">
        <v>20</v>
      </c>
      <c r="F42" t="s">
        <v>17</v>
      </c>
      <c r="G42" t="s">
        <v>24</v>
      </c>
      <c r="H42">
        <v>275.60000000000002</v>
      </c>
      <c r="I42">
        <v>254.5</v>
      </c>
      <c r="J42">
        <v>95.5</v>
      </c>
      <c r="K42">
        <v>65.5</v>
      </c>
      <c r="L42">
        <v>29.1</v>
      </c>
      <c r="M42">
        <v>10</v>
      </c>
      <c r="N42">
        <v>0.20579768806806301</v>
      </c>
      <c r="O42">
        <v>0.18695506651016799</v>
      </c>
      <c r="P42" t="str">
        <f t="shared" si="0"/>
        <v>F</v>
      </c>
      <c r="Q42" t="str">
        <f t="shared" si="1"/>
        <v>F</v>
      </c>
    </row>
    <row r="43" spans="1:17" hidden="1" x14ac:dyDescent="0.3">
      <c r="A43">
        <v>668</v>
      </c>
      <c r="B43">
        <v>1242</v>
      </c>
      <c r="C43">
        <v>68</v>
      </c>
      <c r="D43" t="s">
        <v>19</v>
      </c>
      <c r="E43" t="s">
        <v>20</v>
      </c>
      <c r="F43" t="s">
        <v>17</v>
      </c>
      <c r="G43" t="s">
        <v>24</v>
      </c>
      <c r="H43">
        <v>275.60000000000002</v>
      </c>
      <c r="I43">
        <v>254.5</v>
      </c>
      <c r="J43">
        <v>95.5</v>
      </c>
      <c r="K43">
        <v>65.5</v>
      </c>
      <c r="L43">
        <v>29.1</v>
      </c>
      <c r="M43">
        <v>10</v>
      </c>
      <c r="N43">
        <v>0.22237430356647001</v>
      </c>
      <c r="O43">
        <v>0.15710494034724601</v>
      </c>
      <c r="P43" t="str">
        <f t="shared" si="0"/>
        <v>F</v>
      </c>
      <c r="Q43" t="str">
        <f t="shared" si="1"/>
        <v>F</v>
      </c>
    </row>
    <row r="44" spans="1:17" hidden="1" x14ac:dyDescent="0.3">
      <c r="A44">
        <v>669</v>
      </c>
      <c r="B44">
        <v>1242</v>
      </c>
      <c r="C44">
        <v>68</v>
      </c>
      <c r="D44" t="s">
        <v>19</v>
      </c>
      <c r="E44" t="s">
        <v>20</v>
      </c>
      <c r="F44" t="s">
        <v>17</v>
      </c>
      <c r="G44" t="s">
        <v>24</v>
      </c>
      <c r="H44">
        <v>275.60000000000002</v>
      </c>
      <c r="I44">
        <v>254.5</v>
      </c>
      <c r="J44">
        <v>95.5</v>
      </c>
      <c r="K44">
        <v>65.5</v>
      </c>
      <c r="L44">
        <v>29.1</v>
      </c>
      <c r="M44">
        <v>10</v>
      </c>
      <c r="N44">
        <v>0.19871994510247701</v>
      </c>
      <c r="O44">
        <v>0.18494582212747401</v>
      </c>
      <c r="P44" t="str">
        <f t="shared" si="0"/>
        <v>F</v>
      </c>
      <c r="Q44" t="str">
        <f t="shared" si="1"/>
        <v>F</v>
      </c>
    </row>
    <row r="45" spans="1:17" hidden="1" x14ac:dyDescent="0.3">
      <c r="A45">
        <v>679</v>
      </c>
      <c r="B45">
        <v>1246</v>
      </c>
      <c r="C45">
        <v>367</v>
      </c>
      <c r="D45" t="s">
        <v>19</v>
      </c>
      <c r="E45" t="s">
        <v>20</v>
      </c>
      <c r="F45" t="s">
        <v>17</v>
      </c>
      <c r="G45" t="s">
        <v>22</v>
      </c>
      <c r="H45">
        <v>272.10000000000002</v>
      </c>
      <c r="I45">
        <v>232</v>
      </c>
      <c r="J45">
        <v>91</v>
      </c>
      <c r="K45">
        <v>65.5</v>
      </c>
      <c r="L45">
        <v>23.9</v>
      </c>
      <c r="M45">
        <v>7.5</v>
      </c>
      <c r="N45">
        <v>0.13426662931452599</v>
      </c>
      <c r="O45">
        <v>0.107633222815001</v>
      </c>
      <c r="P45" t="str">
        <f t="shared" si="0"/>
        <v>F</v>
      </c>
      <c r="Q45" t="str">
        <f t="shared" si="1"/>
        <v>F</v>
      </c>
    </row>
    <row r="46" spans="1:17" hidden="1" x14ac:dyDescent="0.3">
      <c r="A46">
        <v>680</v>
      </c>
      <c r="B46">
        <v>1246</v>
      </c>
      <c r="C46">
        <v>367</v>
      </c>
      <c r="D46" t="s">
        <v>19</v>
      </c>
      <c r="E46" t="s">
        <v>20</v>
      </c>
      <c r="F46" t="s">
        <v>17</v>
      </c>
      <c r="G46" t="s">
        <v>22</v>
      </c>
      <c r="H46">
        <v>272.10000000000002</v>
      </c>
      <c r="I46">
        <v>232</v>
      </c>
      <c r="J46">
        <v>91</v>
      </c>
      <c r="K46">
        <v>65.5</v>
      </c>
      <c r="L46">
        <v>23.9</v>
      </c>
      <c r="M46">
        <v>7.5</v>
      </c>
      <c r="N46">
        <v>0.126817402525917</v>
      </c>
      <c r="O46">
        <v>7.7763423365854401E-2</v>
      </c>
      <c r="P46" t="str">
        <f t="shared" si="0"/>
        <v>F</v>
      </c>
      <c r="Q46" t="str">
        <f t="shared" si="1"/>
        <v>F</v>
      </c>
    </row>
    <row r="47" spans="1:17" hidden="1" x14ac:dyDescent="0.3">
      <c r="A47">
        <v>681</v>
      </c>
      <c r="B47">
        <v>1246</v>
      </c>
      <c r="C47">
        <v>367</v>
      </c>
      <c r="D47" t="s">
        <v>19</v>
      </c>
      <c r="E47" t="s">
        <v>20</v>
      </c>
      <c r="F47" t="s">
        <v>17</v>
      </c>
      <c r="G47" t="s">
        <v>22</v>
      </c>
      <c r="H47">
        <v>272.10000000000002</v>
      </c>
      <c r="I47">
        <v>232</v>
      </c>
      <c r="J47">
        <v>91</v>
      </c>
      <c r="K47">
        <v>65.5</v>
      </c>
      <c r="L47">
        <v>23.9</v>
      </c>
      <c r="M47">
        <v>7.5</v>
      </c>
      <c r="N47">
        <v>0.13321260008344701</v>
      </c>
      <c r="O47">
        <v>9.4634660505503496E-2</v>
      </c>
      <c r="P47" t="str">
        <f t="shared" si="0"/>
        <v>F</v>
      </c>
      <c r="Q47" t="str">
        <f t="shared" si="1"/>
        <v>F</v>
      </c>
    </row>
    <row r="48" spans="1:17" hidden="1" x14ac:dyDescent="0.3">
      <c r="A48">
        <v>744</v>
      </c>
      <c r="B48">
        <v>1273</v>
      </c>
      <c r="C48">
        <v>455</v>
      </c>
      <c r="D48" t="s">
        <v>19</v>
      </c>
      <c r="E48" t="s">
        <v>20</v>
      </c>
      <c r="F48" t="s">
        <v>17</v>
      </c>
      <c r="G48" t="s">
        <v>24</v>
      </c>
      <c r="H48">
        <v>278.5</v>
      </c>
      <c r="I48">
        <v>252.5</v>
      </c>
      <c r="J48">
        <v>92.8</v>
      </c>
      <c r="K48">
        <v>69</v>
      </c>
      <c r="L48">
        <v>25.6</v>
      </c>
      <c r="M48">
        <v>9</v>
      </c>
      <c r="N48">
        <v>0.20500829013279401</v>
      </c>
      <c r="O48">
        <v>5.3043151722251901E-2</v>
      </c>
      <c r="P48" t="str">
        <f t="shared" si="0"/>
        <v>F</v>
      </c>
      <c r="Q48" t="str">
        <f t="shared" si="1"/>
        <v>F</v>
      </c>
    </row>
    <row r="49" spans="1:17" hidden="1" x14ac:dyDescent="0.3">
      <c r="A49">
        <v>759</v>
      </c>
      <c r="B49">
        <v>128</v>
      </c>
      <c r="C49">
        <v>450</v>
      </c>
      <c r="D49" t="s">
        <v>19</v>
      </c>
      <c r="E49" t="s">
        <v>20</v>
      </c>
      <c r="F49" t="s">
        <v>21</v>
      </c>
      <c r="G49" t="s">
        <v>18</v>
      </c>
      <c r="H49">
        <v>277.39999999999998</v>
      </c>
      <c r="I49">
        <v>240</v>
      </c>
      <c r="J49">
        <v>88.5</v>
      </c>
      <c r="K49">
        <v>65.5</v>
      </c>
      <c r="L49">
        <v>30.2</v>
      </c>
      <c r="M49">
        <v>5</v>
      </c>
      <c r="N49">
        <v>0.12553305258355599</v>
      </c>
      <c r="O49">
        <v>0.188642827228547</v>
      </c>
      <c r="P49" t="str">
        <f t="shared" si="0"/>
        <v>F</v>
      </c>
      <c r="Q49" t="str">
        <f t="shared" si="1"/>
        <v>F</v>
      </c>
    </row>
    <row r="50" spans="1:17" hidden="1" x14ac:dyDescent="0.3">
      <c r="A50">
        <v>760</v>
      </c>
      <c r="B50">
        <v>128</v>
      </c>
      <c r="C50">
        <v>450</v>
      </c>
      <c r="D50" t="s">
        <v>19</v>
      </c>
      <c r="E50" t="s">
        <v>20</v>
      </c>
      <c r="F50" t="s">
        <v>21</v>
      </c>
      <c r="G50" t="s">
        <v>18</v>
      </c>
      <c r="H50">
        <v>277.39999999999998</v>
      </c>
      <c r="I50">
        <v>240</v>
      </c>
      <c r="J50">
        <v>88.5</v>
      </c>
      <c r="K50">
        <v>65.5</v>
      </c>
      <c r="L50">
        <v>30.2</v>
      </c>
      <c r="M50">
        <v>5</v>
      </c>
      <c r="N50">
        <v>0.12420460087626201</v>
      </c>
      <c r="O50">
        <v>0.223614024036773</v>
      </c>
      <c r="P50" t="str">
        <f t="shared" si="0"/>
        <v>F</v>
      </c>
      <c r="Q50" t="str">
        <f t="shared" si="1"/>
        <v>F</v>
      </c>
    </row>
    <row r="51" spans="1:17" hidden="1" x14ac:dyDescent="0.3">
      <c r="A51">
        <v>761</v>
      </c>
      <c r="B51">
        <v>128</v>
      </c>
      <c r="C51">
        <v>450</v>
      </c>
      <c r="D51" t="s">
        <v>19</v>
      </c>
      <c r="E51" t="s">
        <v>20</v>
      </c>
      <c r="F51" t="s">
        <v>21</v>
      </c>
      <c r="G51" t="s">
        <v>18</v>
      </c>
      <c r="H51">
        <v>277.39999999999998</v>
      </c>
      <c r="I51">
        <v>240</v>
      </c>
      <c r="J51">
        <v>88.5</v>
      </c>
      <c r="K51">
        <v>65.5</v>
      </c>
      <c r="L51">
        <v>30.2</v>
      </c>
      <c r="M51">
        <v>5</v>
      </c>
      <c r="N51">
        <v>0.121999706508416</v>
      </c>
      <c r="O51">
        <v>0.21130292788104099</v>
      </c>
      <c r="P51" t="str">
        <f t="shared" si="0"/>
        <v>F</v>
      </c>
      <c r="Q51" t="str">
        <f t="shared" si="1"/>
        <v>F</v>
      </c>
    </row>
    <row r="52" spans="1:17" hidden="1" x14ac:dyDescent="0.3">
      <c r="A52">
        <v>773</v>
      </c>
      <c r="B52">
        <v>1283</v>
      </c>
      <c r="C52">
        <v>450</v>
      </c>
      <c r="D52" t="s">
        <v>19</v>
      </c>
      <c r="E52" t="s">
        <v>20</v>
      </c>
      <c r="F52" t="s">
        <v>17</v>
      </c>
      <c r="G52" t="s">
        <v>22</v>
      </c>
      <c r="H52">
        <v>277.39999999999998</v>
      </c>
      <c r="I52">
        <v>240</v>
      </c>
      <c r="J52">
        <v>88.5</v>
      </c>
      <c r="K52">
        <v>65.5</v>
      </c>
      <c r="L52">
        <v>30.2</v>
      </c>
      <c r="M52">
        <v>5</v>
      </c>
      <c r="N52">
        <v>9.6156783788350297E-2</v>
      </c>
      <c r="O52">
        <v>0.178795481078591</v>
      </c>
      <c r="P52" t="str">
        <f t="shared" si="0"/>
        <v>F</v>
      </c>
      <c r="Q52" t="str">
        <f t="shared" si="1"/>
        <v>F</v>
      </c>
    </row>
    <row r="53" spans="1:17" hidden="1" x14ac:dyDescent="0.3">
      <c r="A53">
        <v>774</v>
      </c>
      <c r="B53">
        <v>1283</v>
      </c>
      <c r="C53">
        <v>450</v>
      </c>
      <c r="D53" t="s">
        <v>19</v>
      </c>
      <c r="E53" t="s">
        <v>20</v>
      </c>
      <c r="F53" t="s">
        <v>17</v>
      </c>
      <c r="G53" t="s">
        <v>22</v>
      </c>
      <c r="H53">
        <v>277.39999999999998</v>
      </c>
      <c r="I53">
        <v>240</v>
      </c>
      <c r="J53">
        <v>88.5</v>
      </c>
      <c r="K53">
        <v>65.5</v>
      </c>
      <c r="L53">
        <v>30.2</v>
      </c>
      <c r="M53">
        <v>5</v>
      </c>
      <c r="N53">
        <v>0.12234412918801101</v>
      </c>
      <c r="O53">
        <v>0.21051103658315801</v>
      </c>
      <c r="P53" t="str">
        <f t="shared" si="0"/>
        <v>F</v>
      </c>
      <c r="Q53" t="str">
        <f t="shared" si="1"/>
        <v>F</v>
      </c>
    </row>
    <row r="54" spans="1:17" hidden="1" x14ac:dyDescent="0.3">
      <c r="A54">
        <v>848</v>
      </c>
      <c r="B54">
        <v>1305</v>
      </c>
      <c r="C54">
        <v>99</v>
      </c>
      <c r="D54" t="s">
        <v>19</v>
      </c>
      <c r="E54" t="s">
        <v>20</v>
      </c>
      <c r="F54" t="s">
        <v>21</v>
      </c>
      <c r="G54" t="s">
        <v>25</v>
      </c>
      <c r="H54">
        <v>277</v>
      </c>
      <c r="I54">
        <v>257</v>
      </c>
      <c r="J54">
        <v>99.7</v>
      </c>
      <c r="K54">
        <v>69</v>
      </c>
      <c r="L54">
        <v>26.4</v>
      </c>
      <c r="M54">
        <v>7.5</v>
      </c>
      <c r="N54">
        <v>0.11360148129688299</v>
      </c>
      <c r="O54">
        <v>4.6152911753123603E-2</v>
      </c>
      <c r="P54" t="str">
        <f t="shared" si="0"/>
        <v>F</v>
      </c>
      <c r="Q54" t="str">
        <f t="shared" si="1"/>
        <v>F</v>
      </c>
    </row>
    <row r="55" spans="1:17" hidden="1" x14ac:dyDescent="0.3">
      <c r="A55">
        <v>849</v>
      </c>
      <c r="B55">
        <v>1305</v>
      </c>
      <c r="C55">
        <v>99</v>
      </c>
      <c r="D55" t="s">
        <v>19</v>
      </c>
      <c r="E55" t="s">
        <v>20</v>
      </c>
      <c r="F55" t="s">
        <v>21</v>
      </c>
      <c r="G55" t="s">
        <v>25</v>
      </c>
      <c r="H55">
        <v>277</v>
      </c>
      <c r="I55">
        <v>257</v>
      </c>
      <c r="J55">
        <v>99.7</v>
      </c>
      <c r="K55">
        <v>69</v>
      </c>
      <c r="L55">
        <v>26.4</v>
      </c>
      <c r="M55">
        <v>7.5</v>
      </c>
      <c r="N55">
        <v>9.8982877752374396E-2</v>
      </c>
      <c r="O55">
        <v>4.9814414763857298E-2</v>
      </c>
      <c r="P55" t="str">
        <f t="shared" si="0"/>
        <v>F</v>
      </c>
      <c r="Q55" t="str">
        <f t="shared" si="1"/>
        <v>F</v>
      </c>
    </row>
    <row r="56" spans="1:17" hidden="1" x14ac:dyDescent="0.3">
      <c r="A56">
        <v>850</v>
      </c>
      <c r="B56">
        <v>1305</v>
      </c>
      <c r="C56">
        <v>99</v>
      </c>
      <c r="D56" t="s">
        <v>19</v>
      </c>
      <c r="E56" t="s">
        <v>20</v>
      </c>
      <c r="F56" t="s">
        <v>21</v>
      </c>
      <c r="G56" t="s">
        <v>25</v>
      </c>
      <c r="H56">
        <v>277</v>
      </c>
      <c r="I56">
        <v>257</v>
      </c>
      <c r="J56">
        <v>99.7</v>
      </c>
      <c r="K56">
        <v>69</v>
      </c>
      <c r="L56">
        <v>26.4</v>
      </c>
      <c r="M56">
        <v>7.5</v>
      </c>
      <c r="N56">
        <v>0.120941892603509</v>
      </c>
      <c r="O56">
        <v>3.5981705090421499E-2</v>
      </c>
      <c r="P56" t="str">
        <f t="shared" si="0"/>
        <v>F</v>
      </c>
      <c r="Q56" t="str">
        <f t="shared" si="1"/>
        <v>F</v>
      </c>
    </row>
    <row r="57" spans="1:17" hidden="1" x14ac:dyDescent="0.3">
      <c r="A57">
        <v>859</v>
      </c>
      <c r="B57">
        <v>131</v>
      </c>
      <c r="C57">
        <v>413</v>
      </c>
      <c r="D57" t="s">
        <v>19</v>
      </c>
      <c r="E57" t="s">
        <v>20</v>
      </c>
      <c r="F57" t="s">
        <v>17</v>
      </c>
      <c r="G57" t="s">
        <v>25</v>
      </c>
      <c r="H57">
        <v>279</v>
      </c>
      <c r="I57">
        <v>247.5</v>
      </c>
      <c r="J57">
        <v>93.5</v>
      </c>
      <c r="K57">
        <v>66</v>
      </c>
      <c r="L57">
        <v>25.5</v>
      </c>
      <c r="M57">
        <v>10</v>
      </c>
      <c r="N57">
        <v>0.22106684350161401</v>
      </c>
      <c r="O57">
        <v>6.0965754414998401E-2</v>
      </c>
      <c r="P57" t="str">
        <f t="shared" si="0"/>
        <v>F</v>
      </c>
      <c r="Q57" t="str">
        <f t="shared" si="1"/>
        <v>F</v>
      </c>
    </row>
    <row r="58" spans="1:17" hidden="1" x14ac:dyDescent="0.3">
      <c r="A58">
        <v>860</v>
      </c>
      <c r="B58">
        <v>131</v>
      </c>
      <c r="C58">
        <v>413</v>
      </c>
      <c r="D58" t="s">
        <v>19</v>
      </c>
      <c r="E58" t="s">
        <v>20</v>
      </c>
      <c r="F58" t="s">
        <v>17</v>
      </c>
      <c r="G58" t="s">
        <v>25</v>
      </c>
      <c r="H58">
        <v>279</v>
      </c>
      <c r="I58">
        <v>247.5</v>
      </c>
      <c r="J58">
        <v>93.5</v>
      </c>
      <c r="K58">
        <v>66</v>
      </c>
      <c r="L58">
        <v>25.5</v>
      </c>
      <c r="M58">
        <v>10</v>
      </c>
      <c r="N58">
        <v>0.23402794016192499</v>
      </c>
      <c r="O58">
        <v>6.6753241551685702E-2</v>
      </c>
      <c r="P58" t="str">
        <f t="shared" si="0"/>
        <v>F</v>
      </c>
      <c r="Q58" t="str">
        <f t="shared" si="1"/>
        <v>F</v>
      </c>
    </row>
    <row r="59" spans="1:17" hidden="1" x14ac:dyDescent="0.3">
      <c r="A59">
        <v>861</v>
      </c>
      <c r="B59">
        <v>131</v>
      </c>
      <c r="C59">
        <v>413</v>
      </c>
      <c r="D59" t="s">
        <v>19</v>
      </c>
      <c r="E59" t="s">
        <v>20</v>
      </c>
      <c r="F59" t="s">
        <v>17</v>
      </c>
      <c r="G59" t="s">
        <v>25</v>
      </c>
      <c r="H59">
        <v>279</v>
      </c>
      <c r="I59">
        <v>247.5</v>
      </c>
      <c r="J59">
        <v>93.5</v>
      </c>
      <c r="K59">
        <v>66</v>
      </c>
      <c r="L59">
        <v>25.5</v>
      </c>
      <c r="M59">
        <v>10</v>
      </c>
      <c r="N59">
        <v>0.21630564817880901</v>
      </c>
      <c r="O59">
        <v>7.7748028556007306E-2</v>
      </c>
      <c r="P59" t="str">
        <f t="shared" si="0"/>
        <v>F</v>
      </c>
      <c r="Q59" t="str">
        <f t="shared" si="1"/>
        <v>F</v>
      </c>
    </row>
    <row r="60" spans="1:17" hidden="1" x14ac:dyDescent="0.3">
      <c r="A60">
        <v>862</v>
      </c>
      <c r="B60">
        <v>131</v>
      </c>
      <c r="C60">
        <v>413</v>
      </c>
      <c r="D60" t="s">
        <v>19</v>
      </c>
      <c r="E60" t="s">
        <v>20</v>
      </c>
      <c r="F60" t="s">
        <v>17</v>
      </c>
      <c r="G60" t="s">
        <v>25</v>
      </c>
      <c r="H60">
        <v>279</v>
      </c>
      <c r="I60">
        <v>247.5</v>
      </c>
      <c r="J60">
        <v>93.5</v>
      </c>
      <c r="K60">
        <v>66</v>
      </c>
      <c r="L60">
        <v>25.5</v>
      </c>
      <c r="M60">
        <v>10</v>
      </c>
      <c r="N60">
        <v>0.21133944920317299</v>
      </c>
      <c r="O60">
        <v>6.1060853674091302E-2</v>
      </c>
      <c r="P60" t="str">
        <f t="shared" si="0"/>
        <v>F</v>
      </c>
      <c r="Q60" t="str">
        <f t="shared" si="1"/>
        <v>F</v>
      </c>
    </row>
    <row r="61" spans="1:17" hidden="1" x14ac:dyDescent="0.3">
      <c r="A61">
        <v>863</v>
      </c>
      <c r="B61">
        <v>131</v>
      </c>
      <c r="C61">
        <v>413</v>
      </c>
      <c r="D61" t="s">
        <v>19</v>
      </c>
      <c r="E61" t="s">
        <v>20</v>
      </c>
      <c r="F61" t="s">
        <v>17</v>
      </c>
      <c r="G61" t="s">
        <v>25</v>
      </c>
      <c r="H61">
        <v>279</v>
      </c>
      <c r="I61">
        <v>247.5</v>
      </c>
      <c r="J61">
        <v>93.5</v>
      </c>
      <c r="K61">
        <v>66</v>
      </c>
      <c r="L61">
        <v>25.5</v>
      </c>
      <c r="M61">
        <v>10</v>
      </c>
      <c r="N61">
        <v>0.20384906603154801</v>
      </c>
      <c r="O61">
        <v>5.5068113884073497E-2</v>
      </c>
      <c r="P61" t="str">
        <f t="shared" si="0"/>
        <v>F</v>
      </c>
      <c r="Q61" t="str">
        <f t="shared" si="1"/>
        <v>F</v>
      </c>
    </row>
    <row r="62" spans="1:17" hidden="1" x14ac:dyDescent="0.3">
      <c r="A62">
        <v>882</v>
      </c>
      <c r="B62">
        <v>1318</v>
      </c>
      <c r="C62">
        <v>102</v>
      </c>
      <c r="D62" t="s">
        <v>19</v>
      </c>
      <c r="E62" t="s">
        <v>20</v>
      </c>
      <c r="F62" t="s">
        <v>21</v>
      </c>
      <c r="G62" t="s">
        <v>26</v>
      </c>
      <c r="H62">
        <v>273.60000000000002</v>
      </c>
      <c r="I62">
        <v>246</v>
      </c>
      <c r="J62">
        <v>93.6</v>
      </c>
      <c r="K62">
        <v>64.5</v>
      </c>
      <c r="L62">
        <v>25.6</v>
      </c>
      <c r="M62">
        <v>1.5</v>
      </c>
      <c r="N62">
        <v>0.17427873775953001</v>
      </c>
      <c r="O62">
        <v>0.19786676612269699</v>
      </c>
      <c r="P62" t="str">
        <f t="shared" si="0"/>
        <v>F</v>
      </c>
      <c r="Q62" t="str">
        <f t="shared" si="1"/>
        <v>F</v>
      </c>
    </row>
    <row r="63" spans="1:17" hidden="1" x14ac:dyDescent="0.3">
      <c r="A63">
        <v>883</v>
      </c>
      <c r="B63">
        <v>1318</v>
      </c>
      <c r="C63">
        <v>102</v>
      </c>
      <c r="D63" t="s">
        <v>19</v>
      </c>
      <c r="E63" t="s">
        <v>20</v>
      </c>
      <c r="F63" t="s">
        <v>21</v>
      </c>
      <c r="G63" t="s">
        <v>26</v>
      </c>
      <c r="H63">
        <v>273.60000000000002</v>
      </c>
      <c r="I63">
        <v>246</v>
      </c>
      <c r="J63">
        <v>93.6</v>
      </c>
      <c r="K63">
        <v>64.5</v>
      </c>
      <c r="L63">
        <v>25.6</v>
      </c>
      <c r="M63">
        <v>1.5</v>
      </c>
      <c r="N63">
        <v>0.16294133509353301</v>
      </c>
      <c r="O63">
        <v>0.18109903211563799</v>
      </c>
      <c r="P63" t="str">
        <f t="shared" si="0"/>
        <v>F</v>
      </c>
      <c r="Q63" t="str">
        <f t="shared" si="1"/>
        <v>F</v>
      </c>
    </row>
    <row r="64" spans="1:17" hidden="1" x14ac:dyDescent="0.3">
      <c r="A64">
        <v>922</v>
      </c>
      <c r="B64">
        <v>1330</v>
      </c>
      <c r="C64">
        <v>314</v>
      </c>
      <c r="D64" t="s">
        <v>19</v>
      </c>
      <c r="E64" t="s">
        <v>20</v>
      </c>
      <c r="F64" t="s">
        <v>17</v>
      </c>
      <c r="G64" t="s">
        <v>18</v>
      </c>
      <c r="H64">
        <v>273.5</v>
      </c>
      <c r="I64">
        <v>251.5</v>
      </c>
      <c r="J64">
        <v>97.5</v>
      </c>
      <c r="K64">
        <v>65</v>
      </c>
      <c r="L64">
        <v>25.5</v>
      </c>
      <c r="M64">
        <v>13</v>
      </c>
      <c r="N64">
        <v>0.21593089240828101</v>
      </c>
      <c r="O64">
        <v>9.5474084492656694E-2</v>
      </c>
      <c r="P64" t="str">
        <f t="shared" si="0"/>
        <v>F</v>
      </c>
      <c r="Q64" t="str">
        <f t="shared" si="1"/>
        <v>F</v>
      </c>
    </row>
    <row r="65" spans="1:17" hidden="1" x14ac:dyDescent="0.3">
      <c r="A65">
        <v>923</v>
      </c>
      <c r="B65">
        <v>1330</v>
      </c>
      <c r="C65">
        <v>314</v>
      </c>
      <c r="D65" t="s">
        <v>19</v>
      </c>
      <c r="E65" t="s">
        <v>20</v>
      </c>
      <c r="F65" t="s">
        <v>17</v>
      </c>
      <c r="G65" t="s">
        <v>18</v>
      </c>
      <c r="H65">
        <v>273.5</v>
      </c>
      <c r="I65">
        <v>251.5</v>
      </c>
      <c r="J65">
        <v>97.5</v>
      </c>
      <c r="K65">
        <v>65</v>
      </c>
      <c r="L65">
        <v>25.5</v>
      </c>
      <c r="M65">
        <v>13</v>
      </c>
      <c r="N65">
        <v>0.23703834663589801</v>
      </c>
      <c r="O65">
        <v>7.4765079455659494E-2</v>
      </c>
      <c r="P65" t="str">
        <f t="shared" si="0"/>
        <v>F</v>
      </c>
      <c r="Q65" t="str">
        <f t="shared" si="1"/>
        <v>F</v>
      </c>
    </row>
    <row r="66" spans="1:17" hidden="1" x14ac:dyDescent="0.3">
      <c r="A66">
        <v>924</v>
      </c>
      <c r="B66">
        <v>1330</v>
      </c>
      <c r="C66">
        <v>314</v>
      </c>
      <c r="D66" t="s">
        <v>19</v>
      </c>
      <c r="E66" t="s">
        <v>20</v>
      </c>
      <c r="F66" t="s">
        <v>17</v>
      </c>
      <c r="G66" t="s">
        <v>18</v>
      </c>
      <c r="H66">
        <v>273.5</v>
      </c>
      <c r="I66">
        <v>251.5</v>
      </c>
      <c r="J66">
        <v>97.5</v>
      </c>
      <c r="K66">
        <v>65</v>
      </c>
      <c r="L66">
        <v>25.5</v>
      </c>
      <c r="M66">
        <v>13</v>
      </c>
      <c r="N66">
        <v>0.22727762519408801</v>
      </c>
      <c r="O66">
        <v>8.8070137514775104E-2</v>
      </c>
      <c r="P66" t="str">
        <f t="shared" si="0"/>
        <v>F</v>
      </c>
      <c r="Q66" t="str">
        <f t="shared" si="1"/>
        <v>F</v>
      </c>
    </row>
    <row r="67" spans="1:17" hidden="1" x14ac:dyDescent="0.3">
      <c r="A67">
        <v>925</v>
      </c>
      <c r="B67">
        <v>1330</v>
      </c>
      <c r="C67">
        <v>314</v>
      </c>
      <c r="D67" t="s">
        <v>19</v>
      </c>
      <c r="E67" t="s">
        <v>20</v>
      </c>
      <c r="F67" t="s">
        <v>17</v>
      </c>
      <c r="G67" t="s">
        <v>18</v>
      </c>
      <c r="H67">
        <v>273.5</v>
      </c>
      <c r="I67">
        <v>251.5</v>
      </c>
      <c r="J67">
        <v>97.5</v>
      </c>
      <c r="K67">
        <v>65</v>
      </c>
      <c r="L67">
        <v>25.5</v>
      </c>
      <c r="M67">
        <v>13</v>
      </c>
      <c r="N67">
        <v>0.24335998267152401</v>
      </c>
      <c r="O67">
        <v>8.6846271706468303E-2</v>
      </c>
      <c r="P67" t="str">
        <f t="shared" ref="P67:P130" si="2">IF(N67&lt;0.06641, "T", "F")</f>
        <v>F</v>
      </c>
      <c r="Q67" t="str">
        <f t="shared" ref="Q67:Q130" si="3">IF(O67&lt;0.027899, "T", "F")</f>
        <v>F</v>
      </c>
    </row>
    <row r="68" spans="1:17" hidden="1" x14ac:dyDescent="0.3">
      <c r="A68">
        <v>926</v>
      </c>
      <c r="B68">
        <v>1331</v>
      </c>
      <c r="C68">
        <v>197</v>
      </c>
      <c r="D68" t="s">
        <v>19</v>
      </c>
      <c r="E68" t="s">
        <v>20</v>
      </c>
      <c r="F68" t="s">
        <v>21</v>
      </c>
      <c r="G68" t="s">
        <v>24</v>
      </c>
      <c r="H68">
        <v>280.10000000000002</v>
      </c>
      <c r="I68">
        <v>249.5</v>
      </c>
      <c r="J68">
        <v>95.8</v>
      </c>
      <c r="K68">
        <v>69.5</v>
      </c>
      <c r="L68">
        <v>26.6</v>
      </c>
      <c r="M68">
        <v>6.5</v>
      </c>
      <c r="N68">
        <v>0.17173600631164301</v>
      </c>
      <c r="O68">
        <v>3.41547106268821E-2</v>
      </c>
      <c r="P68" t="str">
        <f t="shared" si="2"/>
        <v>F</v>
      </c>
      <c r="Q68" t="str">
        <f t="shared" si="3"/>
        <v>F</v>
      </c>
    </row>
    <row r="69" spans="1:17" hidden="1" x14ac:dyDescent="0.3">
      <c r="A69">
        <v>927</v>
      </c>
      <c r="B69">
        <v>1331</v>
      </c>
      <c r="C69">
        <v>197</v>
      </c>
      <c r="D69" t="s">
        <v>19</v>
      </c>
      <c r="E69" t="s">
        <v>20</v>
      </c>
      <c r="F69" t="s">
        <v>21</v>
      </c>
      <c r="G69" t="s">
        <v>24</v>
      </c>
      <c r="H69">
        <v>280.10000000000002</v>
      </c>
      <c r="I69">
        <v>249.5</v>
      </c>
      <c r="J69">
        <v>95.8</v>
      </c>
      <c r="K69">
        <v>69.5</v>
      </c>
      <c r="L69">
        <v>26.6</v>
      </c>
      <c r="M69">
        <v>6.5</v>
      </c>
      <c r="N69">
        <v>0.182989635905762</v>
      </c>
      <c r="O69">
        <v>4.9762369687530297E-2</v>
      </c>
      <c r="P69" t="str">
        <f t="shared" si="2"/>
        <v>F</v>
      </c>
      <c r="Q69" t="str">
        <f t="shared" si="3"/>
        <v>F</v>
      </c>
    </row>
    <row r="70" spans="1:17" hidden="1" x14ac:dyDescent="0.3">
      <c r="A70">
        <v>928</v>
      </c>
      <c r="B70">
        <v>1331</v>
      </c>
      <c r="C70">
        <v>197</v>
      </c>
      <c r="D70" t="s">
        <v>19</v>
      </c>
      <c r="E70" t="s">
        <v>20</v>
      </c>
      <c r="F70" t="s">
        <v>21</v>
      </c>
      <c r="G70" t="s">
        <v>24</v>
      </c>
      <c r="H70">
        <v>280.10000000000002</v>
      </c>
      <c r="I70">
        <v>249.5</v>
      </c>
      <c r="J70">
        <v>95.8</v>
      </c>
      <c r="K70">
        <v>69.5</v>
      </c>
      <c r="L70">
        <v>26.6</v>
      </c>
      <c r="M70">
        <v>6.5</v>
      </c>
      <c r="N70">
        <v>0.18771248795581399</v>
      </c>
      <c r="O70">
        <v>2.43026457542369E-2</v>
      </c>
      <c r="P70" t="str">
        <f t="shared" si="2"/>
        <v>F</v>
      </c>
      <c r="Q70" t="str">
        <f t="shared" si="3"/>
        <v>T</v>
      </c>
    </row>
    <row r="71" spans="1:17" hidden="1" x14ac:dyDescent="0.3">
      <c r="A71">
        <v>929</v>
      </c>
      <c r="B71">
        <v>1331</v>
      </c>
      <c r="C71">
        <v>197</v>
      </c>
      <c r="D71" t="s">
        <v>19</v>
      </c>
      <c r="E71" t="s">
        <v>20</v>
      </c>
      <c r="F71" t="s">
        <v>21</v>
      </c>
      <c r="G71" t="s">
        <v>24</v>
      </c>
      <c r="H71">
        <v>280.10000000000002</v>
      </c>
      <c r="I71">
        <v>249.5</v>
      </c>
      <c r="J71">
        <v>95.8</v>
      </c>
      <c r="K71">
        <v>69.5</v>
      </c>
      <c r="L71">
        <v>26.6</v>
      </c>
      <c r="M71">
        <v>6.5</v>
      </c>
      <c r="N71">
        <v>0.16959906741463401</v>
      </c>
      <c r="O71">
        <v>5.7914207595516999E-2</v>
      </c>
      <c r="P71" t="str">
        <f t="shared" si="2"/>
        <v>F</v>
      </c>
      <c r="Q71" t="str">
        <f t="shared" si="3"/>
        <v>F</v>
      </c>
    </row>
    <row r="72" spans="1:17" hidden="1" x14ac:dyDescent="0.3">
      <c r="A72">
        <v>1022</v>
      </c>
      <c r="B72">
        <v>137</v>
      </c>
      <c r="C72">
        <v>32</v>
      </c>
      <c r="D72" t="s">
        <v>19</v>
      </c>
      <c r="E72" t="s">
        <v>20</v>
      </c>
      <c r="F72" t="s">
        <v>17</v>
      </c>
      <c r="G72" t="s">
        <v>22</v>
      </c>
      <c r="H72">
        <v>274.8</v>
      </c>
      <c r="I72">
        <v>261</v>
      </c>
      <c r="J72">
        <v>101</v>
      </c>
      <c r="K72">
        <v>66</v>
      </c>
      <c r="L72">
        <v>24.4</v>
      </c>
      <c r="M72">
        <v>8.5</v>
      </c>
      <c r="N72">
        <v>0.11983222485967999</v>
      </c>
      <c r="O72">
        <v>0.15310678314369799</v>
      </c>
      <c r="P72" t="str">
        <f t="shared" si="2"/>
        <v>F</v>
      </c>
      <c r="Q72" t="str">
        <f t="shared" si="3"/>
        <v>F</v>
      </c>
    </row>
    <row r="73" spans="1:17" hidden="1" x14ac:dyDescent="0.3">
      <c r="A73">
        <v>1023</v>
      </c>
      <c r="B73">
        <v>137</v>
      </c>
      <c r="C73">
        <v>32</v>
      </c>
      <c r="D73" t="s">
        <v>19</v>
      </c>
      <c r="E73" t="s">
        <v>20</v>
      </c>
      <c r="F73" t="s">
        <v>17</v>
      </c>
      <c r="G73" t="s">
        <v>22</v>
      </c>
      <c r="H73">
        <v>274.8</v>
      </c>
      <c r="I73">
        <v>261</v>
      </c>
      <c r="J73">
        <v>101</v>
      </c>
      <c r="K73">
        <v>66</v>
      </c>
      <c r="L73">
        <v>24.4</v>
      </c>
      <c r="M73">
        <v>8.5</v>
      </c>
      <c r="N73">
        <v>0.13602072529099599</v>
      </c>
      <c r="O73">
        <v>0.13231380428291201</v>
      </c>
      <c r="P73" t="str">
        <f t="shared" si="2"/>
        <v>F</v>
      </c>
      <c r="Q73" t="str">
        <f t="shared" si="3"/>
        <v>F</v>
      </c>
    </row>
    <row r="74" spans="1:17" hidden="1" x14ac:dyDescent="0.3">
      <c r="A74">
        <v>1024</v>
      </c>
      <c r="B74">
        <v>137</v>
      </c>
      <c r="C74">
        <v>32</v>
      </c>
      <c r="D74" t="s">
        <v>19</v>
      </c>
      <c r="E74" t="s">
        <v>20</v>
      </c>
      <c r="F74" t="s">
        <v>17</v>
      </c>
      <c r="G74" t="s">
        <v>22</v>
      </c>
      <c r="H74">
        <v>274.8</v>
      </c>
      <c r="I74">
        <v>261</v>
      </c>
      <c r="J74">
        <v>101</v>
      </c>
      <c r="K74">
        <v>66</v>
      </c>
      <c r="L74">
        <v>24.4</v>
      </c>
      <c r="M74">
        <v>8.5</v>
      </c>
      <c r="N74">
        <v>9.9677825947140794E-2</v>
      </c>
      <c r="O74">
        <v>0.12671004088347099</v>
      </c>
      <c r="P74" t="str">
        <f t="shared" si="2"/>
        <v>F</v>
      </c>
      <c r="Q74" t="str">
        <f t="shared" si="3"/>
        <v>F</v>
      </c>
    </row>
    <row r="75" spans="1:17" hidden="1" x14ac:dyDescent="0.3">
      <c r="A75">
        <v>1025</v>
      </c>
      <c r="B75">
        <v>137</v>
      </c>
      <c r="C75">
        <v>32</v>
      </c>
      <c r="D75" t="s">
        <v>19</v>
      </c>
      <c r="E75" t="s">
        <v>20</v>
      </c>
      <c r="F75" t="s">
        <v>17</v>
      </c>
      <c r="G75" t="s">
        <v>22</v>
      </c>
      <c r="H75">
        <v>274.8</v>
      </c>
      <c r="I75">
        <v>261</v>
      </c>
      <c r="J75">
        <v>101</v>
      </c>
      <c r="K75">
        <v>66</v>
      </c>
      <c r="L75">
        <v>24.4</v>
      </c>
      <c r="M75">
        <v>8.5</v>
      </c>
      <c r="N75">
        <v>0.108006103235778</v>
      </c>
      <c r="O75">
        <v>0.152729537416395</v>
      </c>
      <c r="P75" t="str">
        <f t="shared" si="2"/>
        <v>F</v>
      </c>
      <c r="Q75" t="str">
        <f t="shared" si="3"/>
        <v>F</v>
      </c>
    </row>
    <row r="76" spans="1:17" hidden="1" x14ac:dyDescent="0.3">
      <c r="A76">
        <v>1039</v>
      </c>
      <c r="B76">
        <v>1376</v>
      </c>
      <c r="C76">
        <v>27</v>
      </c>
      <c r="D76" t="s">
        <v>19</v>
      </c>
      <c r="E76" t="s">
        <v>20</v>
      </c>
      <c r="F76" t="s">
        <v>21</v>
      </c>
      <c r="G76" t="s">
        <v>25</v>
      </c>
      <c r="H76">
        <v>276.60000000000002</v>
      </c>
      <c r="I76">
        <v>251.5</v>
      </c>
      <c r="J76">
        <v>95.3</v>
      </c>
      <c r="K76">
        <v>67.5</v>
      </c>
      <c r="L76">
        <v>29.7</v>
      </c>
      <c r="M76">
        <v>2</v>
      </c>
      <c r="N76">
        <v>0.147220955540773</v>
      </c>
      <c r="O76">
        <v>0.126883727869532</v>
      </c>
      <c r="P76" t="str">
        <f t="shared" si="2"/>
        <v>F</v>
      </c>
      <c r="Q76" t="str">
        <f t="shared" si="3"/>
        <v>F</v>
      </c>
    </row>
    <row r="77" spans="1:17" hidden="1" x14ac:dyDescent="0.3">
      <c r="A77">
        <v>1040</v>
      </c>
      <c r="B77">
        <v>1376</v>
      </c>
      <c r="C77">
        <v>27</v>
      </c>
      <c r="D77" t="s">
        <v>19</v>
      </c>
      <c r="E77" t="s">
        <v>20</v>
      </c>
      <c r="F77" t="s">
        <v>21</v>
      </c>
      <c r="G77" t="s">
        <v>25</v>
      </c>
      <c r="H77">
        <v>276.60000000000002</v>
      </c>
      <c r="I77">
        <v>251.5</v>
      </c>
      <c r="J77">
        <v>95.3</v>
      </c>
      <c r="K77">
        <v>67.5</v>
      </c>
      <c r="L77">
        <v>29.7</v>
      </c>
      <c r="M77">
        <v>2</v>
      </c>
      <c r="N77">
        <v>0.137325343454756</v>
      </c>
      <c r="O77">
        <v>0.14668087612441</v>
      </c>
      <c r="P77" t="str">
        <f t="shared" si="2"/>
        <v>F</v>
      </c>
      <c r="Q77" t="str">
        <f t="shared" si="3"/>
        <v>F</v>
      </c>
    </row>
    <row r="78" spans="1:17" hidden="1" x14ac:dyDescent="0.3">
      <c r="A78">
        <v>1049</v>
      </c>
      <c r="B78">
        <v>1379</v>
      </c>
      <c r="C78">
        <v>28</v>
      </c>
      <c r="D78" t="s">
        <v>19</v>
      </c>
      <c r="E78" t="s">
        <v>20</v>
      </c>
      <c r="F78" t="s">
        <v>21</v>
      </c>
      <c r="G78" t="s">
        <v>25</v>
      </c>
      <c r="H78">
        <v>274.39999999999998</v>
      </c>
      <c r="I78">
        <v>243.5</v>
      </c>
      <c r="J78">
        <v>94.3</v>
      </c>
      <c r="K78">
        <v>65.5</v>
      </c>
      <c r="L78">
        <v>28</v>
      </c>
      <c r="M78">
        <v>5.5</v>
      </c>
      <c r="N78">
        <v>0.301093537123369</v>
      </c>
      <c r="O78">
        <v>9.2667546001325499E-2</v>
      </c>
      <c r="P78" t="str">
        <f t="shared" si="2"/>
        <v>F</v>
      </c>
      <c r="Q78" t="str">
        <f t="shared" si="3"/>
        <v>F</v>
      </c>
    </row>
    <row r="79" spans="1:17" hidden="1" x14ac:dyDescent="0.3">
      <c r="A79">
        <v>1091</v>
      </c>
      <c r="B79">
        <v>1394</v>
      </c>
      <c r="C79">
        <v>28</v>
      </c>
      <c r="D79" t="s">
        <v>19</v>
      </c>
      <c r="E79" t="s">
        <v>20</v>
      </c>
      <c r="F79" t="s">
        <v>21</v>
      </c>
      <c r="G79" t="s">
        <v>25</v>
      </c>
      <c r="H79">
        <v>274.39999999999998</v>
      </c>
      <c r="I79">
        <v>243.5</v>
      </c>
      <c r="J79">
        <v>94.3</v>
      </c>
      <c r="K79">
        <v>65.5</v>
      </c>
      <c r="L79">
        <v>28</v>
      </c>
      <c r="M79">
        <v>5.5</v>
      </c>
      <c r="N79">
        <v>0.30172962325902802</v>
      </c>
      <c r="O79">
        <v>8.3812634784999396E-2</v>
      </c>
      <c r="P79" t="str">
        <f t="shared" si="2"/>
        <v>F</v>
      </c>
      <c r="Q79" t="str">
        <f t="shared" si="3"/>
        <v>F</v>
      </c>
    </row>
    <row r="80" spans="1:17" hidden="1" x14ac:dyDescent="0.3">
      <c r="A80">
        <v>1114</v>
      </c>
      <c r="B80">
        <v>1400</v>
      </c>
      <c r="C80">
        <v>480</v>
      </c>
      <c r="D80" t="s">
        <v>19</v>
      </c>
      <c r="E80" t="s">
        <v>20</v>
      </c>
      <c r="F80" t="s">
        <v>17</v>
      </c>
      <c r="G80" t="s">
        <v>22</v>
      </c>
      <c r="H80">
        <v>275.8</v>
      </c>
      <c r="I80">
        <v>244</v>
      </c>
      <c r="J80">
        <v>94.4</v>
      </c>
      <c r="K80">
        <v>67.5</v>
      </c>
      <c r="L80">
        <v>24.4</v>
      </c>
      <c r="M80">
        <v>6</v>
      </c>
      <c r="N80">
        <v>0.14680669816973799</v>
      </c>
      <c r="O80">
        <v>0.20963079265764301</v>
      </c>
      <c r="P80" t="str">
        <f t="shared" si="2"/>
        <v>F</v>
      </c>
      <c r="Q80" t="str">
        <f t="shared" si="3"/>
        <v>F</v>
      </c>
    </row>
    <row r="81" spans="1:17" hidden="1" x14ac:dyDescent="0.3">
      <c r="A81">
        <v>1128</v>
      </c>
      <c r="B81">
        <v>1406</v>
      </c>
      <c r="C81">
        <v>400</v>
      </c>
      <c r="D81" t="s">
        <v>19</v>
      </c>
      <c r="E81" t="s">
        <v>20</v>
      </c>
      <c r="F81" t="s">
        <v>17</v>
      </c>
      <c r="G81" t="s">
        <v>24</v>
      </c>
      <c r="H81">
        <v>274.10000000000002</v>
      </c>
      <c r="I81">
        <v>253</v>
      </c>
      <c r="J81">
        <v>96.6</v>
      </c>
      <c r="K81">
        <v>66.5</v>
      </c>
      <c r="L81">
        <v>25.5</v>
      </c>
      <c r="M81">
        <v>12</v>
      </c>
      <c r="N81">
        <v>3.8996822508151202E-2</v>
      </c>
      <c r="O81">
        <v>8.3771421022574705E-2</v>
      </c>
      <c r="P81" t="str">
        <f t="shared" si="2"/>
        <v>T</v>
      </c>
      <c r="Q81" t="str">
        <f t="shared" si="3"/>
        <v>F</v>
      </c>
    </row>
    <row r="82" spans="1:17" hidden="1" x14ac:dyDescent="0.3">
      <c r="A82">
        <v>1164</v>
      </c>
      <c r="B82">
        <v>1420</v>
      </c>
      <c r="C82">
        <v>62</v>
      </c>
      <c r="D82" t="s">
        <v>19</v>
      </c>
      <c r="E82" t="s">
        <v>20</v>
      </c>
      <c r="F82" t="s">
        <v>17</v>
      </c>
      <c r="G82" t="s">
        <v>25</v>
      </c>
      <c r="H82">
        <v>274.5</v>
      </c>
      <c r="I82">
        <v>256.5</v>
      </c>
      <c r="J82">
        <v>98.4</v>
      </c>
      <c r="K82">
        <v>71.5</v>
      </c>
      <c r="L82">
        <v>29.3</v>
      </c>
      <c r="M82">
        <v>6</v>
      </c>
      <c r="N82">
        <v>0.25199997657162099</v>
      </c>
      <c r="O82">
        <v>0.138431325329155</v>
      </c>
      <c r="P82" t="str">
        <f t="shared" si="2"/>
        <v>F</v>
      </c>
      <c r="Q82" t="str">
        <f t="shared" si="3"/>
        <v>F</v>
      </c>
    </row>
    <row r="83" spans="1:17" hidden="1" x14ac:dyDescent="0.3">
      <c r="A83">
        <v>1200</v>
      </c>
      <c r="B83">
        <v>1436</v>
      </c>
      <c r="C83">
        <v>346</v>
      </c>
      <c r="D83" t="s">
        <v>19</v>
      </c>
      <c r="E83" t="s">
        <v>20</v>
      </c>
      <c r="F83" t="s">
        <v>17</v>
      </c>
      <c r="G83" t="s">
        <v>22</v>
      </c>
      <c r="H83">
        <v>271.60000000000002</v>
      </c>
      <c r="I83">
        <v>238</v>
      </c>
      <c r="J83">
        <v>91.3</v>
      </c>
      <c r="K83">
        <v>63</v>
      </c>
      <c r="L83">
        <v>24.7</v>
      </c>
      <c r="M83">
        <v>8</v>
      </c>
      <c r="N83">
        <v>0.156069524394571</v>
      </c>
      <c r="O83">
        <v>5.0451435618557904E-3</v>
      </c>
      <c r="P83" t="str">
        <f t="shared" si="2"/>
        <v>F</v>
      </c>
      <c r="Q83" t="str">
        <f t="shared" si="3"/>
        <v>T</v>
      </c>
    </row>
    <row r="84" spans="1:17" hidden="1" x14ac:dyDescent="0.3">
      <c r="A84">
        <v>1213</v>
      </c>
      <c r="B84">
        <v>1442</v>
      </c>
      <c r="C84">
        <v>298</v>
      </c>
      <c r="D84" t="s">
        <v>19</v>
      </c>
      <c r="E84" t="s">
        <v>20</v>
      </c>
      <c r="F84" t="s">
        <v>21</v>
      </c>
      <c r="G84" t="s">
        <v>22</v>
      </c>
      <c r="H84">
        <v>275.60000000000002</v>
      </c>
      <c r="I84">
        <v>251</v>
      </c>
      <c r="J84">
        <v>95.1</v>
      </c>
      <c r="K84">
        <v>66.5</v>
      </c>
      <c r="L84">
        <v>25.3</v>
      </c>
      <c r="M84">
        <v>10.5</v>
      </c>
      <c r="N84">
        <v>0.30913611710295003</v>
      </c>
      <c r="O84">
        <v>7.2636210070388701E-2</v>
      </c>
      <c r="P84" t="str">
        <f t="shared" si="2"/>
        <v>F</v>
      </c>
      <c r="Q84" t="str">
        <f t="shared" si="3"/>
        <v>F</v>
      </c>
    </row>
    <row r="85" spans="1:17" hidden="1" x14ac:dyDescent="0.3">
      <c r="A85">
        <v>1214</v>
      </c>
      <c r="B85">
        <v>1442</v>
      </c>
      <c r="C85">
        <v>298</v>
      </c>
      <c r="D85" t="s">
        <v>19</v>
      </c>
      <c r="E85" t="s">
        <v>20</v>
      </c>
      <c r="F85" t="s">
        <v>21</v>
      </c>
      <c r="G85" t="s">
        <v>22</v>
      </c>
      <c r="H85">
        <v>275.60000000000002</v>
      </c>
      <c r="I85">
        <v>251</v>
      </c>
      <c r="J85">
        <v>95.1</v>
      </c>
      <c r="K85">
        <v>66.5</v>
      </c>
      <c r="L85">
        <v>25.3</v>
      </c>
      <c r="M85">
        <v>10.5</v>
      </c>
      <c r="N85">
        <v>0.294273743136165</v>
      </c>
      <c r="O85">
        <v>4.5289802595953298E-2</v>
      </c>
      <c r="P85" t="str">
        <f t="shared" si="2"/>
        <v>F</v>
      </c>
      <c r="Q85" t="str">
        <f t="shared" si="3"/>
        <v>F</v>
      </c>
    </row>
    <row r="86" spans="1:17" hidden="1" x14ac:dyDescent="0.3">
      <c r="A86">
        <v>1247</v>
      </c>
      <c r="B86">
        <v>1454</v>
      </c>
      <c r="C86">
        <v>360</v>
      </c>
      <c r="D86" t="s">
        <v>19</v>
      </c>
      <c r="E86" t="s">
        <v>20</v>
      </c>
      <c r="F86" t="s">
        <v>21</v>
      </c>
      <c r="G86" t="s">
        <v>25</v>
      </c>
      <c r="H86">
        <v>281.5</v>
      </c>
      <c r="I86">
        <v>261.5</v>
      </c>
      <c r="J86">
        <v>98.4</v>
      </c>
      <c r="K86">
        <v>64.5</v>
      </c>
      <c r="L86">
        <v>27.7</v>
      </c>
      <c r="M86">
        <v>8</v>
      </c>
      <c r="N86">
        <v>0.305687469886468</v>
      </c>
      <c r="O86">
        <v>9.0034218010324907E-2</v>
      </c>
      <c r="P86" t="str">
        <f t="shared" si="2"/>
        <v>F</v>
      </c>
      <c r="Q86" t="str">
        <f t="shared" si="3"/>
        <v>F</v>
      </c>
    </row>
    <row r="87" spans="1:17" hidden="1" x14ac:dyDescent="0.3">
      <c r="A87">
        <v>1317</v>
      </c>
      <c r="B87">
        <v>1480</v>
      </c>
      <c r="C87">
        <v>68</v>
      </c>
      <c r="D87" t="s">
        <v>19</v>
      </c>
      <c r="E87" t="s">
        <v>20</v>
      </c>
      <c r="F87" t="s">
        <v>17</v>
      </c>
      <c r="G87" t="s">
        <v>18</v>
      </c>
      <c r="H87">
        <v>275.60000000000002</v>
      </c>
      <c r="I87">
        <v>254.5</v>
      </c>
      <c r="J87">
        <v>95.5</v>
      </c>
      <c r="K87">
        <v>65.5</v>
      </c>
      <c r="L87">
        <v>29.1</v>
      </c>
      <c r="M87">
        <v>10</v>
      </c>
      <c r="N87">
        <v>0.183228806784138</v>
      </c>
      <c r="O87">
        <v>0.181530692910636</v>
      </c>
      <c r="P87" t="str">
        <f t="shared" si="2"/>
        <v>F</v>
      </c>
      <c r="Q87" t="str">
        <f t="shared" si="3"/>
        <v>F</v>
      </c>
    </row>
    <row r="88" spans="1:17" hidden="1" x14ac:dyDescent="0.3">
      <c r="A88">
        <v>1318</v>
      </c>
      <c r="B88">
        <v>1480</v>
      </c>
      <c r="C88">
        <v>68</v>
      </c>
      <c r="D88" t="s">
        <v>19</v>
      </c>
      <c r="E88" t="s">
        <v>20</v>
      </c>
      <c r="F88" t="s">
        <v>17</v>
      </c>
      <c r="G88" t="s">
        <v>18</v>
      </c>
      <c r="H88">
        <v>275.60000000000002</v>
      </c>
      <c r="I88">
        <v>254.5</v>
      </c>
      <c r="J88">
        <v>95.5</v>
      </c>
      <c r="K88">
        <v>65.5</v>
      </c>
      <c r="L88">
        <v>29.1</v>
      </c>
      <c r="M88">
        <v>10</v>
      </c>
      <c r="N88">
        <v>0.18608016123738799</v>
      </c>
      <c r="O88">
        <v>0.16154582264265699</v>
      </c>
      <c r="P88" t="str">
        <f t="shared" si="2"/>
        <v>F</v>
      </c>
      <c r="Q88" t="str">
        <f t="shared" si="3"/>
        <v>F</v>
      </c>
    </row>
    <row r="89" spans="1:17" hidden="1" x14ac:dyDescent="0.3">
      <c r="A89">
        <v>1319</v>
      </c>
      <c r="B89">
        <v>1480</v>
      </c>
      <c r="C89">
        <v>68</v>
      </c>
      <c r="D89" t="s">
        <v>19</v>
      </c>
      <c r="E89" t="s">
        <v>20</v>
      </c>
      <c r="F89" t="s">
        <v>17</v>
      </c>
      <c r="G89" t="s">
        <v>18</v>
      </c>
      <c r="H89">
        <v>275.60000000000002</v>
      </c>
      <c r="I89">
        <v>254.5</v>
      </c>
      <c r="J89">
        <v>95.5</v>
      </c>
      <c r="K89">
        <v>65.5</v>
      </c>
      <c r="L89">
        <v>29.1</v>
      </c>
      <c r="M89">
        <v>10</v>
      </c>
      <c r="N89">
        <v>0.184758495370861</v>
      </c>
      <c r="O89">
        <v>0.17284093589262001</v>
      </c>
      <c r="P89" t="str">
        <f t="shared" si="2"/>
        <v>F</v>
      </c>
      <c r="Q89" t="str">
        <f t="shared" si="3"/>
        <v>F</v>
      </c>
    </row>
    <row r="90" spans="1:17" hidden="1" x14ac:dyDescent="0.3">
      <c r="A90">
        <v>1330</v>
      </c>
      <c r="B90">
        <v>1487</v>
      </c>
      <c r="C90">
        <v>335</v>
      </c>
      <c r="D90" t="s">
        <v>19</v>
      </c>
      <c r="E90" t="s">
        <v>20</v>
      </c>
      <c r="F90" t="s">
        <v>21</v>
      </c>
      <c r="G90" t="s">
        <v>22</v>
      </c>
      <c r="H90">
        <v>278.5</v>
      </c>
      <c r="I90">
        <v>240.5</v>
      </c>
      <c r="J90">
        <v>94.4</v>
      </c>
      <c r="K90">
        <v>69</v>
      </c>
      <c r="L90">
        <v>25.8</v>
      </c>
      <c r="M90">
        <v>8.5</v>
      </c>
      <c r="N90">
        <v>4.0101929779585398E-2</v>
      </c>
      <c r="O90">
        <v>4.0950572764874002E-2</v>
      </c>
      <c r="P90" t="str">
        <f t="shared" si="2"/>
        <v>T</v>
      </c>
      <c r="Q90" t="str">
        <f t="shared" si="3"/>
        <v>F</v>
      </c>
    </row>
    <row r="91" spans="1:17" hidden="1" x14ac:dyDescent="0.3">
      <c r="A91">
        <v>1331</v>
      </c>
      <c r="B91">
        <v>1487</v>
      </c>
      <c r="C91">
        <v>335</v>
      </c>
      <c r="D91" t="s">
        <v>19</v>
      </c>
      <c r="E91" t="s">
        <v>20</v>
      </c>
      <c r="F91" t="s">
        <v>21</v>
      </c>
      <c r="G91" t="s">
        <v>22</v>
      </c>
      <c r="H91">
        <v>278.5</v>
      </c>
      <c r="I91">
        <v>240.5</v>
      </c>
      <c r="J91">
        <v>94.4</v>
      </c>
      <c r="K91">
        <v>69</v>
      </c>
      <c r="L91">
        <v>25.8</v>
      </c>
      <c r="M91">
        <v>8.5</v>
      </c>
      <c r="N91">
        <v>5.4018680587684803E-2</v>
      </c>
      <c r="O91">
        <v>5.2581499401410298E-2</v>
      </c>
      <c r="P91" t="str">
        <f t="shared" si="2"/>
        <v>T</v>
      </c>
      <c r="Q91" t="str">
        <f t="shared" si="3"/>
        <v>F</v>
      </c>
    </row>
    <row r="92" spans="1:17" x14ac:dyDescent="0.3">
      <c r="A92">
        <v>1332</v>
      </c>
      <c r="B92">
        <v>1487</v>
      </c>
      <c r="C92">
        <v>335</v>
      </c>
      <c r="D92" t="s">
        <v>19</v>
      </c>
      <c r="E92" t="s">
        <v>20</v>
      </c>
      <c r="F92" t="s">
        <v>21</v>
      </c>
      <c r="G92" t="s">
        <v>22</v>
      </c>
      <c r="H92">
        <v>278.5</v>
      </c>
      <c r="I92">
        <v>240.5</v>
      </c>
      <c r="J92">
        <v>94.4</v>
      </c>
      <c r="K92">
        <v>69</v>
      </c>
      <c r="L92">
        <v>25.8</v>
      </c>
      <c r="M92">
        <v>8.5</v>
      </c>
      <c r="N92">
        <v>5.32037941209225E-2</v>
      </c>
      <c r="O92">
        <v>2.4528311577876299E-2</v>
      </c>
      <c r="P92" t="str">
        <f t="shared" si="2"/>
        <v>T</v>
      </c>
      <c r="Q92" t="str">
        <f t="shared" si="3"/>
        <v>T</v>
      </c>
    </row>
    <row r="93" spans="1:17" hidden="1" x14ac:dyDescent="0.3">
      <c r="A93">
        <v>1333</v>
      </c>
      <c r="B93">
        <v>1487</v>
      </c>
      <c r="C93">
        <v>335</v>
      </c>
      <c r="D93" t="s">
        <v>19</v>
      </c>
      <c r="E93" t="s">
        <v>20</v>
      </c>
      <c r="F93" t="s">
        <v>21</v>
      </c>
      <c r="G93" t="s">
        <v>22</v>
      </c>
      <c r="H93">
        <v>278.5</v>
      </c>
      <c r="I93">
        <v>240.5</v>
      </c>
      <c r="J93">
        <v>94.4</v>
      </c>
      <c r="K93">
        <v>69</v>
      </c>
      <c r="L93">
        <v>25.8</v>
      </c>
      <c r="M93">
        <v>8.5</v>
      </c>
      <c r="N93">
        <v>4.79161834271737E-2</v>
      </c>
      <c r="O93">
        <v>5.1303187322590899E-2</v>
      </c>
      <c r="P93" t="str">
        <f t="shared" si="2"/>
        <v>T</v>
      </c>
      <c r="Q93" t="str">
        <f t="shared" si="3"/>
        <v>F</v>
      </c>
    </row>
    <row r="94" spans="1:17" hidden="1" x14ac:dyDescent="0.3">
      <c r="A94">
        <v>1389</v>
      </c>
      <c r="B94">
        <v>1510</v>
      </c>
      <c r="C94">
        <v>203</v>
      </c>
      <c r="D94" t="s">
        <v>19</v>
      </c>
      <c r="E94" t="s">
        <v>20</v>
      </c>
      <c r="F94" t="s">
        <v>21</v>
      </c>
      <c r="G94" t="s">
        <v>22</v>
      </c>
      <c r="H94">
        <v>277.60000000000002</v>
      </c>
      <c r="I94">
        <v>247.5</v>
      </c>
      <c r="J94">
        <v>94</v>
      </c>
      <c r="K94">
        <v>65</v>
      </c>
      <c r="L94">
        <v>24.9</v>
      </c>
      <c r="M94">
        <v>9.5</v>
      </c>
      <c r="N94">
        <v>0.257783578789123</v>
      </c>
      <c r="O94">
        <v>5.5711435073898398E-2</v>
      </c>
      <c r="P94" t="str">
        <f t="shared" si="2"/>
        <v>F</v>
      </c>
      <c r="Q94" t="str">
        <f t="shared" si="3"/>
        <v>F</v>
      </c>
    </row>
    <row r="95" spans="1:17" hidden="1" x14ac:dyDescent="0.3">
      <c r="A95">
        <v>1390</v>
      </c>
      <c r="B95">
        <v>1510</v>
      </c>
      <c r="C95">
        <v>203</v>
      </c>
      <c r="D95" t="s">
        <v>19</v>
      </c>
      <c r="E95" t="s">
        <v>20</v>
      </c>
      <c r="F95" t="s">
        <v>21</v>
      </c>
      <c r="G95" t="s">
        <v>22</v>
      </c>
      <c r="H95">
        <v>277.60000000000002</v>
      </c>
      <c r="I95">
        <v>247.5</v>
      </c>
      <c r="J95">
        <v>94</v>
      </c>
      <c r="K95">
        <v>65</v>
      </c>
      <c r="L95">
        <v>24.9</v>
      </c>
      <c r="M95">
        <v>9.5</v>
      </c>
      <c r="N95">
        <v>0.26319604144494602</v>
      </c>
      <c r="O95">
        <v>5.3267205671268997E-2</v>
      </c>
      <c r="P95" t="str">
        <f t="shared" si="2"/>
        <v>F</v>
      </c>
      <c r="Q95" t="str">
        <f t="shared" si="3"/>
        <v>F</v>
      </c>
    </row>
    <row r="96" spans="1:17" hidden="1" x14ac:dyDescent="0.3">
      <c r="A96">
        <v>1398</v>
      </c>
      <c r="B96">
        <v>1513</v>
      </c>
      <c r="C96">
        <v>203</v>
      </c>
      <c r="D96" t="s">
        <v>19</v>
      </c>
      <c r="E96" t="s">
        <v>20</v>
      </c>
      <c r="F96" t="s">
        <v>21</v>
      </c>
      <c r="G96" t="s">
        <v>24</v>
      </c>
      <c r="H96">
        <v>277.60000000000002</v>
      </c>
      <c r="I96">
        <v>247.5</v>
      </c>
      <c r="J96">
        <v>94</v>
      </c>
      <c r="K96">
        <v>65</v>
      </c>
      <c r="L96">
        <v>24.9</v>
      </c>
      <c r="M96">
        <v>9.5</v>
      </c>
      <c r="N96">
        <v>0.28401325748241502</v>
      </c>
      <c r="O96">
        <v>7.1825881609508896E-2</v>
      </c>
      <c r="P96" t="str">
        <f t="shared" si="2"/>
        <v>F</v>
      </c>
      <c r="Q96" t="str">
        <f t="shared" si="3"/>
        <v>F</v>
      </c>
    </row>
    <row r="97" spans="1:17" hidden="1" x14ac:dyDescent="0.3">
      <c r="A97">
        <v>1399</v>
      </c>
      <c r="B97">
        <v>1513</v>
      </c>
      <c r="C97">
        <v>203</v>
      </c>
      <c r="D97" t="s">
        <v>19</v>
      </c>
      <c r="E97" t="s">
        <v>20</v>
      </c>
      <c r="F97" t="s">
        <v>21</v>
      </c>
      <c r="G97" t="s">
        <v>24</v>
      </c>
      <c r="H97">
        <v>277.60000000000002</v>
      </c>
      <c r="I97">
        <v>247.5</v>
      </c>
      <c r="J97">
        <v>94</v>
      </c>
      <c r="K97">
        <v>65</v>
      </c>
      <c r="L97">
        <v>24.9</v>
      </c>
      <c r="M97">
        <v>9.5</v>
      </c>
      <c r="N97">
        <v>0.27312590112010199</v>
      </c>
      <c r="O97">
        <v>6.0261838229416498E-2</v>
      </c>
      <c r="P97" t="str">
        <f t="shared" si="2"/>
        <v>F</v>
      </c>
      <c r="Q97" t="str">
        <f t="shared" si="3"/>
        <v>F</v>
      </c>
    </row>
    <row r="98" spans="1:17" hidden="1" x14ac:dyDescent="0.3">
      <c r="A98">
        <v>1400</v>
      </c>
      <c r="B98">
        <v>1513</v>
      </c>
      <c r="C98">
        <v>203</v>
      </c>
      <c r="D98" t="s">
        <v>19</v>
      </c>
      <c r="E98" t="s">
        <v>20</v>
      </c>
      <c r="F98" t="s">
        <v>21</v>
      </c>
      <c r="G98" t="s">
        <v>24</v>
      </c>
      <c r="H98">
        <v>277.60000000000002</v>
      </c>
      <c r="I98">
        <v>247.5</v>
      </c>
      <c r="J98">
        <v>94</v>
      </c>
      <c r="K98">
        <v>65</v>
      </c>
      <c r="L98">
        <v>24.9</v>
      </c>
      <c r="M98">
        <v>9.5</v>
      </c>
      <c r="N98">
        <v>0.269204717272434</v>
      </c>
      <c r="O98">
        <v>7.1981457181531802E-2</v>
      </c>
      <c r="P98" t="str">
        <f t="shared" si="2"/>
        <v>F</v>
      </c>
      <c r="Q98" t="str">
        <f t="shared" si="3"/>
        <v>F</v>
      </c>
    </row>
    <row r="99" spans="1:17" hidden="1" x14ac:dyDescent="0.3">
      <c r="A99">
        <v>1401</v>
      </c>
      <c r="B99">
        <v>1514</v>
      </c>
      <c r="C99">
        <v>89</v>
      </c>
      <c r="D99" t="s">
        <v>19</v>
      </c>
      <c r="E99" t="s">
        <v>20</v>
      </c>
      <c r="F99" t="s">
        <v>21</v>
      </c>
      <c r="G99" t="s">
        <v>18</v>
      </c>
      <c r="H99">
        <v>275.89999999999998</v>
      </c>
      <c r="I99">
        <v>245.5</v>
      </c>
      <c r="J99">
        <v>92.8</v>
      </c>
      <c r="K99">
        <v>66.5</v>
      </c>
      <c r="L99">
        <v>26.7</v>
      </c>
      <c r="M99">
        <v>12.5</v>
      </c>
      <c r="N99">
        <v>9.5477300414003805E-2</v>
      </c>
      <c r="O99">
        <v>9.81108057789946E-2</v>
      </c>
      <c r="P99" t="str">
        <f t="shared" si="2"/>
        <v>F</v>
      </c>
      <c r="Q99" t="str">
        <f t="shared" si="3"/>
        <v>F</v>
      </c>
    </row>
    <row r="100" spans="1:17" hidden="1" x14ac:dyDescent="0.3">
      <c r="A100">
        <v>1402</v>
      </c>
      <c r="B100">
        <v>1514</v>
      </c>
      <c r="C100">
        <v>89</v>
      </c>
      <c r="D100" t="s">
        <v>19</v>
      </c>
      <c r="E100" t="s">
        <v>20</v>
      </c>
      <c r="F100" t="s">
        <v>21</v>
      </c>
      <c r="G100" t="s">
        <v>18</v>
      </c>
      <c r="H100">
        <v>275.89999999999998</v>
      </c>
      <c r="I100">
        <v>245.5</v>
      </c>
      <c r="J100">
        <v>92.8</v>
      </c>
      <c r="K100">
        <v>66.5</v>
      </c>
      <c r="L100">
        <v>26.7</v>
      </c>
      <c r="M100">
        <v>12.5</v>
      </c>
      <c r="N100">
        <v>6.2451525972511898E-2</v>
      </c>
      <c r="O100">
        <v>9.3244609965165898E-2</v>
      </c>
      <c r="P100" t="str">
        <f t="shared" si="2"/>
        <v>T</v>
      </c>
      <c r="Q100" t="str">
        <f t="shared" si="3"/>
        <v>F</v>
      </c>
    </row>
    <row r="101" spans="1:17" hidden="1" x14ac:dyDescent="0.3">
      <c r="A101">
        <v>1403</v>
      </c>
      <c r="B101">
        <v>1514</v>
      </c>
      <c r="C101">
        <v>89</v>
      </c>
      <c r="D101" t="s">
        <v>19</v>
      </c>
      <c r="E101" t="s">
        <v>20</v>
      </c>
      <c r="F101" t="s">
        <v>21</v>
      </c>
      <c r="G101" t="s">
        <v>18</v>
      </c>
      <c r="H101">
        <v>275.89999999999998</v>
      </c>
      <c r="I101">
        <v>245.5</v>
      </c>
      <c r="J101">
        <v>92.8</v>
      </c>
      <c r="K101">
        <v>66.5</v>
      </c>
      <c r="L101">
        <v>26.7</v>
      </c>
      <c r="M101">
        <v>12.5</v>
      </c>
      <c r="N101">
        <v>7.8061875049627596E-2</v>
      </c>
      <c r="O101">
        <v>0.114269925735029</v>
      </c>
      <c r="P101" t="str">
        <f t="shared" si="2"/>
        <v>F</v>
      </c>
      <c r="Q101" t="str">
        <f t="shared" si="3"/>
        <v>F</v>
      </c>
    </row>
    <row r="102" spans="1:17" hidden="1" x14ac:dyDescent="0.3">
      <c r="A102">
        <v>1404</v>
      </c>
      <c r="B102">
        <v>1515</v>
      </c>
      <c r="C102">
        <v>379</v>
      </c>
      <c r="D102" t="s">
        <v>19</v>
      </c>
      <c r="E102" t="s">
        <v>20</v>
      </c>
      <c r="F102" t="s">
        <v>21</v>
      </c>
      <c r="G102" t="s">
        <v>26</v>
      </c>
      <c r="H102">
        <v>276.5</v>
      </c>
      <c r="I102">
        <v>259.5</v>
      </c>
      <c r="J102">
        <v>97.2</v>
      </c>
      <c r="K102">
        <v>68</v>
      </c>
      <c r="L102">
        <v>26.4</v>
      </c>
      <c r="M102">
        <v>4</v>
      </c>
      <c r="N102">
        <v>0.29892831703642903</v>
      </c>
      <c r="O102">
        <v>5.9021206271831501E-2</v>
      </c>
      <c r="P102" t="str">
        <f t="shared" si="2"/>
        <v>F</v>
      </c>
      <c r="Q102" t="str">
        <f t="shared" si="3"/>
        <v>F</v>
      </c>
    </row>
    <row r="103" spans="1:17" hidden="1" x14ac:dyDescent="0.3">
      <c r="A103">
        <v>1405</v>
      </c>
      <c r="B103">
        <v>1516</v>
      </c>
      <c r="C103">
        <v>233</v>
      </c>
      <c r="D103" t="s">
        <v>19</v>
      </c>
      <c r="E103" t="s">
        <v>20</v>
      </c>
      <c r="F103" t="s">
        <v>17</v>
      </c>
      <c r="G103" t="s">
        <v>25</v>
      </c>
      <c r="H103">
        <v>274.7</v>
      </c>
      <c r="I103">
        <v>248.5</v>
      </c>
      <c r="J103">
        <v>95.9</v>
      </c>
      <c r="K103">
        <v>63.5</v>
      </c>
      <c r="L103">
        <v>27.6</v>
      </c>
      <c r="M103">
        <v>11</v>
      </c>
      <c r="N103">
        <v>3.8082800378238801E-2</v>
      </c>
      <c r="O103">
        <v>0.10070242581339001</v>
      </c>
      <c r="P103" t="str">
        <f t="shared" si="2"/>
        <v>T</v>
      </c>
      <c r="Q103" t="str">
        <f t="shared" si="3"/>
        <v>F</v>
      </c>
    </row>
    <row r="104" spans="1:17" hidden="1" x14ac:dyDescent="0.3">
      <c r="A104">
        <v>1407</v>
      </c>
      <c r="B104">
        <v>1516</v>
      </c>
      <c r="C104">
        <v>233</v>
      </c>
      <c r="D104" t="s">
        <v>19</v>
      </c>
      <c r="E104" t="s">
        <v>20</v>
      </c>
      <c r="F104" t="s">
        <v>17</v>
      </c>
      <c r="G104" t="s">
        <v>25</v>
      </c>
      <c r="H104">
        <v>274.7</v>
      </c>
      <c r="I104">
        <v>248.5</v>
      </c>
      <c r="J104">
        <v>95.9</v>
      </c>
      <c r="K104">
        <v>63.5</v>
      </c>
      <c r="L104">
        <v>27.6</v>
      </c>
      <c r="M104">
        <v>11</v>
      </c>
      <c r="N104">
        <v>4.16408765901672E-3</v>
      </c>
      <c r="O104">
        <v>0.10070864253544801</v>
      </c>
      <c r="P104" t="str">
        <f t="shared" si="2"/>
        <v>T</v>
      </c>
      <c r="Q104" t="str">
        <f t="shared" si="3"/>
        <v>F</v>
      </c>
    </row>
    <row r="105" spans="1:17" hidden="1" x14ac:dyDescent="0.3">
      <c r="A105">
        <v>1439</v>
      </c>
      <c r="B105">
        <v>1529</v>
      </c>
      <c r="C105">
        <v>102</v>
      </c>
      <c r="D105" t="s">
        <v>19</v>
      </c>
      <c r="E105" t="s">
        <v>20</v>
      </c>
      <c r="F105" t="s">
        <v>21</v>
      </c>
      <c r="G105" t="s">
        <v>26</v>
      </c>
      <c r="H105">
        <v>273.60000000000002</v>
      </c>
      <c r="I105">
        <v>246</v>
      </c>
      <c r="J105">
        <v>93.6</v>
      </c>
      <c r="K105">
        <v>64.5</v>
      </c>
      <c r="L105">
        <v>25.6</v>
      </c>
      <c r="M105">
        <v>1.5</v>
      </c>
      <c r="N105">
        <v>0.18396706238288901</v>
      </c>
      <c r="O105">
        <v>0.182905397170426</v>
      </c>
      <c r="P105" t="str">
        <f t="shared" si="2"/>
        <v>F</v>
      </c>
      <c r="Q105" t="str">
        <f t="shared" si="3"/>
        <v>F</v>
      </c>
    </row>
    <row r="106" spans="1:17" hidden="1" x14ac:dyDescent="0.3">
      <c r="A106">
        <v>1440</v>
      </c>
      <c r="B106">
        <v>1529</v>
      </c>
      <c r="C106">
        <v>102</v>
      </c>
      <c r="D106" t="s">
        <v>19</v>
      </c>
      <c r="E106" t="s">
        <v>20</v>
      </c>
      <c r="F106" t="s">
        <v>21</v>
      </c>
      <c r="G106" t="s">
        <v>26</v>
      </c>
      <c r="H106">
        <v>273.60000000000002</v>
      </c>
      <c r="I106">
        <v>246</v>
      </c>
      <c r="J106">
        <v>93.6</v>
      </c>
      <c r="K106">
        <v>64.5</v>
      </c>
      <c r="L106">
        <v>25.6</v>
      </c>
      <c r="M106">
        <v>1.5</v>
      </c>
      <c r="N106">
        <v>0.165701469933873</v>
      </c>
      <c r="O106">
        <v>0.18973130374982</v>
      </c>
      <c r="P106" t="str">
        <f t="shared" si="2"/>
        <v>F</v>
      </c>
      <c r="Q106" t="str">
        <f t="shared" si="3"/>
        <v>F</v>
      </c>
    </row>
    <row r="107" spans="1:17" hidden="1" x14ac:dyDescent="0.3">
      <c r="A107">
        <v>1457</v>
      </c>
      <c r="B107">
        <v>1539</v>
      </c>
      <c r="C107">
        <v>468</v>
      </c>
      <c r="D107" t="s">
        <v>19</v>
      </c>
      <c r="E107" t="s">
        <v>20</v>
      </c>
      <c r="F107" t="s">
        <v>17</v>
      </c>
      <c r="G107" t="s">
        <v>18</v>
      </c>
      <c r="H107">
        <v>273.39999999999998</v>
      </c>
      <c r="I107">
        <v>243.5</v>
      </c>
      <c r="J107">
        <v>92.9</v>
      </c>
      <c r="K107">
        <v>63.5</v>
      </c>
      <c r="L107">
        <v>24.1</v>
      </c>
      <c r="M107">
        <v>7.5</v>
      </c>
      <c r="N107">
        <v>0.15344301441525501</v>
      </c>
      <c r="O107">
        <v>8.84625406475988E-2</v>
      </c>
      <c r="P107" t="str">
        <f t="shared" si="2"/>
        <v>F</v>
      </c>
      <c r="Q107" t="str">
        <f t="shared" si="3"/>
        <v>F</v>
      </c>
    </row>
    <row r="108" spans="1:17" hidden="1" x14ac:dyDescent="0.3">
      <c r="A108">
        <v>1458</v>
      </c>
      <c r="B108">
        <v>1539</v>
      </c>
      <c r="C108">
        <v>468</v>
      </c>
      <c r="D108" t="s">
        <v>19</v>
      </c>
      <c r="E108" t="s">
        <v>20</v>
      </c>
      <c r="F108" t="s">
        <v>17</v>
      </c>
      <c r="G108" t="s">
        <v>18</v>
      </c>
      <c r="H108">
        <v>273.39999999999998</v>
      </c>
      <c r="I108">
        <v>243.5</v>
      </c>
      <c r="J108">
        <v>92.9</v>
      </c>
      <c r="K108">
        <v>63.5</v>
      </c>
      <c r="L108">
        <v>24.1</v>
      </c>
      <c r="M108">
        <v>7.5</v>
      </c>
      <c r="N108">
        <v>0.17571050812651101</v>
      </c>
      <c r="O108">
        <v>0.102830273462859</v>
      </c>
      <c r="P108" t="str">
        <f t="shared" si="2"/>
        <v>F</v>
      </c>
      <c r="Q108" t="str">
        <f t="shared" si="3"/>
        <v>F</v>
      </c>
    </row>
    <row r="109" spans="1:17" hidden="1" x14ac:dyDescent="0.3">
      <c r="A109">
        <v>1459</v>
      </c>
      <c r="B109">
        <v>1539</v>
      </c>
      <c r="C109">
        <v>468</v>
      </c>
      <c r="D109" t="s">
        <v>19</v>
      </c>
      <c r="E109" t="s">
        <v>20</v>
      </c>
      <c r="F109" t="s">
        <v>17</v>
      </c>
      <c r="G109" t="s">
        <v>18</v>
      </c>
      <c r="H109">
        <v>273.39999999999998</v>
      </c>
      <c r="I109">
        <v>243.5</v>
      </c>
      <c r="J109">
        <v>92.9</v>
      </c>
      <c r="K109">
        <v>63.5</v>
      </c>
      <c r="L109">
        <v>24.1</v>
      </c>
      <c r="M109">
        <v>7.5</v>
      </c>
      <c r="N109">
        <v>0.17686578494255301</v>
      </c>
      <c r="O109">
        <v>9.8476472889365493E-2</v>
      </c>
      <c r="P109" t="str">
        <f t="shared" si="2"/>
        <v>F</v>
      </c>
      <c r="Q109" t="str">
        <f t="shared" si="3"/>
        <v>F</v>
      </c>
    </row>
    <row r="110" spans="1:17" hidden="1" x14ac:dyDescent="0.3">
      <c r="A110">
        <v>1460</v>
      </c>
      <c r="B110">
        <v>1539</v>
      </c>
      <c r="C110">
        <v>468</v>
      </c>
      <c r="D110" t="s">
        <v>19</v>
      </c>
      <c r="E110" t="s">
        <v>20</v>
      </c>
      <c r="F110" t="s">
        <v>17</v>
      </c>
      <c r="G110" t="s">
        <v>18</v>
      </c>
      <c r="H110">
        <v>273.39999999999998</v>
      </c>
      <c r="I110">
        <v>243.5</v>
      </c>
      <c r="J110">
        <v>92.9</v>
      </c>
      <c r="K110">
        <v>63.5</v>
      </c>
      <c r="L110">
        <v>24.1</v>
      </c>
      <c r="M110">
        <v>7.5</v>
      </c>
      <c r="N110">
        <v>0.17788990307761199</v>
      </c>
      <c r="O110">
        <v>0.11502986784136</v>
      </c>
      <c r="P110" t="str">
        <f t="shared" si="2"/>
        <v>F</v>
      </c>
      <c r="Q110" t="str">
        <f t="shared" si="3"/>
        <v>F</v>
      </c>
    </row>
    <row r="111" spans="1:17" hidden="1" x14ac:dyDescent="0.3">
      <c r="A111">
        <v>1569</v>
      </c>
      <c r="B111">
        <v>1576</v>
      </c>
      <c r="C111">
        <v>480</v>
      </c>
      <c r="D111" t="s">
        <v>19</v>
      </c>
      <c r="E111" t="s">
        <v>20</v>
      </c>
      <c r="F111" t="s">
        <v>17</v>
      </c>
      <c r="G111" t="s">
        <v>24</v>
      </c>
      <c r="H111">
        <v>275.8</v>
      </c>
      <c r="I111">
        <v>244</v>
      </c>
      <c r="J111">
        <v>94.4</v>
      </c>
      <c r="K111">
        <v>67.5</v>
      </c>
      <c r="L111">
        <v>24.4</v>
      </c>
      <c r="M111">
        <v>6</v>
      </c>
      <c r="N111">
        <v>0.151268044054821</v>
      </c>
      <c r="O111">
        <v>0.211784717802285</v>
      </c>
      <c r="P111" t="str">
        <f t="shared" si="2"/>
        <v>F</v>
      </c>
      <c r="Q111" t="str">
        <f t="shared" si="3"/>
        <v>F</v>
      </c>
    </row>
    <row r="112" spans="1:17" hidden="1" x14ac:dyDescent="0.3">
      <c r="A112">
        <v>1570</v>
      </c>
      <c r="B112">
        <v>1576</v>
      </c>
      <c r="C112">
        <v>480</v>
      </c>
      <c r="D112" t="s">
        <v>19</v>
      </c>
      <c r="E112" t="s">
        <v>20</v>
      </c>
      <c r="F112" t="s">
        <v>17</v>
      </c>
      <c r="G112" t="s">
        <v>24</v>
      </c>
      <c r="H112">
        <v>275.8</v>
      </c>
      <c r="I112">
        <v>244</v>
      </c>
      <c r="J112">
        <v>94.4</v>
      </c>
      <c r="K112">
        <v>67.5</v>
      </c>
      <c r="L112">
        <v>24.4</v>
      </c>
      <c r="M112">
        <v>6</v>
      </c>
      <c r="N112">
        <v>0.14393256855838399</v>
      </c>
      <c r="O112">
        <v>0.20941357774728001</v>
      </c>
      <c r="P112" t="str">
        <f t="shared" si="2"/>
        <v>F</v>
      </c>
      <c r="Q112" t="str">
        <f t="shared" si="3"/>
        <v>F</v>
      </c>
    </row>
    <row r="113" spans="1:17" hidden="1" x14ac:dyDescent="0.3">
      <c r="A113">
        <v>1586</v>
      </c>
      <c r="B113">
        <v>1581</v>
      </c>
      <c r="C113">
        <v>262</v>
      </c>
      <c r="D113" t="s">
        <v>19</v>
      </c>
      <c r="E113" t="s">
        <v>20</v>
      </c>
      <c r="F113" t="s">
        <v>17</v>
      </c>
      <c r="G113" t="s">
        <v>25</v>
      </c>
      <c r="H113">
        <v>276.2</v>
      </c>
      <c r="I113">
        <v>255</v>
      </c>
      <c r="J113">
        <v>96.1</v>
      </c>
      <c r="K113">
        <v>67.5</v>
      </c>
      <c r="L113">
        <v>28.7</v>
      </c>
      <c r="M113">
        <v>9</v>
      </c>
      <c r="N113">
        <v>0.25852704631705598</v>
      </c>
      <c r="O113">
        <v>0.13581410463538399</v>
      </c>
      <c r="P113" t="str">
        <f t="shared" si="2"/>
        <v>F</v>
      </c>
      <c r="Q113" t="str">
        <f t="shared" si="3"/>
        <v>F</v>
      </c>
    </row>
    <row r="114" spans="1:17" hidden="1" x14ac:dyDescent="0.3">
      <c r="A114">
        <v>1607</v>
      </c>
      <c r="B114">
        <v>1588</v>
      </c>
      <c r="C114">
        <v>68</v>
      </c>
      <c r="D114" t="s">
        <v>19</v>
      </c>
      <c r="E114" t="s">
        <v>20</v>
      </c>
      <c r="F114" t="s">
        <v>17</v>
      </c>
      <c r="G114" t="s">
        <v>24</v>
      </c>
      <c r="H114">
        <v>275.60000000000002</v>
      </c>
      <c r="I114">
        <v>254.5</v>
      </c>
      <c r="J114">
        <v>95.5</v>
      </c>
      <c r="K114">
        <v>65.5</v>
      </c>
      <c r="L114">
        <v>29.1</v>
      </c>
      <c r="M114">
        <v>10</v>
      </c>
      <c r="N114">
        <v>0.20098540610590501</v>
      </c>
      <c r="O114">
        <v>0.18022011719957201</v>
      </c>
      <c r="P114" t="str">
        <f t="shared" si="2"/>
        <v>F</v>
      </c>
      <c r="Q114" t="str">
        <f t="shared" si="3"/>
        <v>F</v>
      </c>
    </row>
    <row r="115" spans="1:17" hidden="1" x14ac:dyDescent="0.3">
      <c r="A115">
        <v>1615</v>
      </c>
      <c r="B115">
        <v>1591</v>
      </c>
      <c r="C115">
        <v>274</v>
      </c>
      <c r="D115" t="s">
        <v>19</v>
      </c>
      <c r="E115" t="s">
        <v>20</v>
      </c>
      <c r="F115" t="s">
        <v>21</v>
      </c>
      <c r="G115" t="s">
        <v>18</v>
      </c>
      <c r="H115">
        <v>270.8</v>
      </c>
      <c r="I115">
        <v>241</v>
      </c>
      <c r="J115">
        <v>93</v>
      </c>
      <c r="K115">
        <v>61.5</v>
      </c>
      <c r="L115">
        <v>24.5</v>
      </c>
      <c r="M115">
        <v>11.5</v>
      </c>
      <c r="N115">
        <v>0.116174638898178</v>
      </c>
      <c r="O115">
        <v>0.20961179387176801</v>
      </c>
      <c r="P115" t="str">
        <f t="shared" si="2"/>
        <v>F</v>
      </c>
      <c r="Q115" t="str">
        <f t="shared" si="3"/>
        <v>F</v>
      </c>
    </row>
    <row r="116" spans="1:17" hidden="1" x14ac:dyDescent="0.3">
      <c r="A116">
        <v>1636</v>
      </c>
      <c r="B116">
        <v>160</v>
      </c>
      <c r="C116">
        <v>400</v>
      </c>
      <c r="D116" t="s">
        <v>19</v>
      </c>
      <c r="E116" t="s">
        <v>20</v>
      </c>
      <c r="F116" t="s">
        <v>17</v>
      </c>
      <c r="G116" t="s">
        <v>24</v>
      </c>
      <c r="H116">
        <v>274.10000000000002</v>
      </c>
      <c r="I116">
        <v>253</v>
      </c>
      <c r="J116">
        <v>96.6</v>
      </c>
      <c r="K116">
        <v>66.5</v>
      </c>
      <c r="L116">
        <v>25.5</v>
      </c>
      <c r="M116">
        <v>12</v>
      </c>
      <c r="N116">
        <v>5.5026680980384102E-2</v>
      </c>
      <c r="O116">
        <v>6.0110180279405699E-2</v>
      </c>
      <c r="P116" t="str">
        <f t="shared" si="2"/>
        <v>T</v>
      </c>
      <c r="Q116" t="str">
        <f t="shared" si="3"/>
        <v>F</v>
      </c>
    </row>
    <row r="117" spans="1:17" hidden="1" x14ac:dyDescent="0.3">
      <c r="A117">
        <v>1637</v>
      </c>
      <c r="B117">
        <v>160</v>
      </c>
      <c r="C117">
        <v>400</v>
      </c>
      <c r="D117" t="s">
        <v>19</v>
      </c>
      <c r="E117" t="s">
        <v>20</v>
      </c>
      <c r="F117" t="s">
        <v>17</v>
      </c>
      <c r="G117" t="s">
        <v>24</v>
      </c>
      <c r="H117">
        <v>274.10000000000002</v>
      </c>
      <c r="I117">
        <v>253</v>
      </c>
      <c r="J117">
        <v>96.6</v>
      </c>
      <c r="K117">
        <v>66.5</v>
      </c>
      <c r="L117">
        <v>25.5</v>
      </c>
      <c r="M117">
        <v>12</v>
      </c>
      <c r="N117">
        <v>3.9826037763754998E-2</v>
      </c>
      <c r="O117">
        <v>7.2195192965857802E-2</v>
      </c>
      <c r="P117" t="str">
        <f t="shared" si="2"/>
        <v>T</v>
      </c>
      <c r="Q117" t="str">
        <f t="shared" si="3"/>
        <v>F</v>
      </c>
    </row>
    <row r="118" spans="1:17" hidden="1" x14ac:dyDescent="0.3">
      <c r="A118">
        <v>1638</v>
      </c>
      <c r="B118">
        <v>160</v>
      </c>
      <c r="C118">
        <v>400</v>
      </c>
      <c r="D118" t="s">
        <v>19</v>
      </c>
      <c r="E118" t="s">
        <v>20</v>
      </c>
      <c r="F118" t="s">
        <v>17</v>
      </c>
      <c r="G118" t="s">
        <v>24</v>
      </c>
      <c r="H118">
        <v>274.10000000000002</v>
      </c>
      <c r="I118">
        <v>253</v>
      </c>
      <c r="J118">
        <v>96.6</v>
      </c>
      <c r="K118">
        <v>66.5</v>
      </c>
      <c r="L118">
        <v>25.5</v>
      </c>
      <c r="M118">
        <v>12</v>
      </c>
      <c r="N118">
        <v>6.3505696243313398E-2</v>
      </c>
      <c r="O118">
        <v>8.6371329384180601E-2</v>
      </c>
      <c r="P118" t="str">
        <f t="shared" si="2"/>
        <v>T</v>
      </c>
      <c r="Q118" t="str">
        <f t="shared" si="3"/>
        <v>F</v>
      </c>
    </row>
    <row r="119" spans="1:17" hidden="1" x14ac:dyDescent="0.3">
      <c r="A119">
        <v>1654</v>
      </c>
      <c r="B119">
        <v>1609</v>
      </c>
      <c r="C119">
        <v>274</v>
      </c>
      <c r="D119" t="s">
        <v>19</v>
      </c>
      <c r="E119" t="s">
        <v>20</v>
      </c>
      <c r="F119" t="s">
        <v>21</v>
      </c>
      <c r="G119" t="s">
        <v>25</v>
      </c>
      <c r="H119">
        <v>270.8</v>
      </c>
      <c r="I119">
        <v>241</v>
      </c>
      <c r="J119">
        <v>93</v>
      </c>
      <c r="K119">
        <v>61.5</v>
      </c>
      <c r="L119">
        <v>24.5</v>
      </c>
      <c r="M119">
        <v>11.5</v>
      </c>
      <c r="N119">
        <v>0.10706777729573499</v>
      </c>
      <c r="O119">
        <v>0.20634599551199401</v>
      </c>
      <c r="P119" t="str">
        <f t="shared" si="2"/>
        <v>F</v>
      </c>
      <c r="Q119" t="str">
        <f t="shared" si="3"/>
        <v>F</v>
      </c>
    </row>
    <row r="120" spans="1:17" hidden="1" x14ac:dyDescent="0.3">
      <c r="A120">
        <v>1675</v>
      </c>
      <c r="B120">
        <v>1618</v>
      </c>
      <c r="C120">
        <v>149</v>
      </c>
      <c r="D120" t="s">
        <v>19</v>
      </c>
      <c r="E120" t="s">
        <v>20</v>
      </c>
      <c r="F120" t="s">
        <v>21</v>
      </c>
      <c r="G120" t="s">
        <v>26</v>
      </c>
      <c r="H120">
        <v>275.8</v>
      </c>
      <c r="I120">
        <v>245.5</v>
      </c>
      <c r="J120">
        <v>93.1</v>
      </c>
      <c r="K120">
        <v>67</v>
      </c>
      <c r="L120">
        <v>28.1</v>
      </c>
      <c r="M120">
        <v>7</v>
      </c>
      <c r="N120">
        <v>0.144426529955519</v>
      </c>
      <c r="O120">
        <v>0.11188041723301401</v>
      </c>
      <c r="P120" t="str">
        <f t="shared" si="2"/>
        <v>F</v>
      </c>
      <c r="Q120" t="str">
        <f t="shared" si="3"/>
        <v>F</v>
      </c>
    </row>
    <row r="121" spans="1:17" hidden="1" x14ac:dyDescent="0.3">
      <c r="A121">
        <v>1709</v>
      </c>
      <c r="B121">
        <v>1630</v>
      </c>
      <c r="C121">
        <v>197</v>
      </c>
      <c r="D121" t="s">
        <v>19</v>
      </c>
      <c r="E121" t="s">
        <v>20</v>
      </c>
      <c r="F121" t="s">
        <v>21</v>
      </c>
      <c r="G121" t="s">
        <v>22</v>
      </c>
      <c r="H121">
        <v>280.10000000000002</v>
      </c>
      <c r="I121">
        <v>249.5</v>
      </c>
      <c r="J121">
        <v>95.8</v>
      </c>
      <c r="K121">
        <v>69.5</v>
      </c>
      <c r="L121">
        <v>26.6</v>
      </c>
      <c r="M121">
        <v>6.5</v>
      </c>
      <c r="N121">
        <v>0.16866821500121501</v>
      </c>
      <c r="O121">
        <v>5.7632462686450198E-2</v>
      </c>
      <c r="P121" t="str">
        <f t="shared" si="2"/>
        <v>F</v>
      </c>
      <c r="Q121" t="str">
        <f t="shared" si="3"/>
        <v>F</v>
      </c>
    </row>
    <row r="122" spans="1:17" hidden="1" x14ac:dyDescent="0.3">
      <c r="A122">
        <v>1710</v>
      </c>
      <c r="B122">
        <v>1630</v>
      </c>
      <c r="C122">
        <v>197</v>
      </c>
      <c r="D122" t="s">
        <v>19</v>
      </c>
      <c r="E122" t="s">
        <v>20</v>
      </c>
      <c r="F122" t="s">
        <v>21</v>
      </c>
      <c r="G122" t="s">
        <v>22</v>
      </c>
      <c r="H122">
        <v>280.10000000000002</v>
      </c>
      <c r="I122">
        <v>249.5</v>
      </c>
      <c r="J122">
        <v>95.8</v>
      </c>
      <c r="K122">
        <v>69.5</v>
      </c>
      <c r="L122">
        <v>26.6</v>
      </c>
      <c r="M122">
        <v>6.5</v>
      </c>
      <c r="N122">
        <v>0.17030465724310501</v>
      </c>
      <c r="O122">
        <v>5.4533435875483198E-2</v>
      </c>
      <c r="P122" t="str">
        <f t="shared" si="2"/>
        <v>F</v>
      </c>
      <c r="Q122" t="str">
        <f t="shared" si="3"/>
        <v>F</v>
      </c>
    </row>
    <row r="123" spans="1:17" hidden="1" x14ac:dyDescent="0.3">
      <c r="A123">
        <v>1711</v>
      </c>
      <c r="B123">
        <v>1630</v>
      </c>
      <c r="C123">
        <v>197</v>
      </c>
      <c r="D123" t="s">
        <v>19</v>
      </c>
      <c r="E123" t="s">
        <v>20</v>
      </c>
      <c r="F123" t="s">
        <v>21</v>
      </c>
      <c r="G123" t="s">
        <v>22</v>
      </c>
      <c r="H123">
        <v>280.10000000000002</v>
      </c>
      <c r="I123">
        <v>249.5</v>
      </c>
      <c r="J123">
        <v>95.8</v>
      </c>
      <c r="K123">
        <v>69.5</v>
      </c>
      <c r="L123">
        <v>26.6</v>
      </c>
      <c r="M123">
        <v>6.5</v>
      </c>
      <c r="N123">
        <v>0.19672021226894601</v>
      </c>
      <c r="O123">
        <v>4.8687258786282897E-2</v>
      </c>
      <c r="P123" t="str">
        <f t="shared" si="2"/>
        <v>F</v>
      </c>
      <c r="Q123" t="str">
        <f t="shared" si="3"/>
        <v>F</v>
      </c>
    </row>
    <row r="124" spans="1:17" hidden="1" x14ac:dyDescent="0.3">
      <c r="A124">
        <v>1712</v>
      </c>
      <c r="B124">
        <v>1630</v>
      </c>
      <c r="C124">
        <v>197</v>
      </c>
      <c r="D124" t="s">
        <v>19</v>
      </c>
      <c r="E124" t="s">
        <v>20</v>
      </c>
      <c r="F124" t="s">
        <v>21</v>
      </c>
      <c r="G124" t="s">
        <v>22</v>
      </c>
      <c r="H124">
        <v>280.10000000000002</v>
      </c>
      <c r="I124">
        <v>249.5</v>
      </c>
      <c r="J124">
        <v>95.8</v>
      </c>
      <c r="K124">
        <v>69.5</v>
      </c>
      <c r="L124">
        <v>26.6</v>
      </c>
      <c r="M124">
        <v>6.5</v>
      </c>
      <c r="N124">
        <v>0.20591782597178299</v>
      </c>
      <c r="O124">
        <v>4.16114772694944E-2</v>
      </c>
      <c r="P124" t="str">
        <f t="shared" si="2"/>
        <v>F</v>
      </c>
      <c r="Q124" t="str">
        <f t="shared" si="3"/>
        <v>F</v>
      </c>
    </row>
    <row r="125" spans="1:17" hidden="1" x14ac:dyDescent="0.3">
      <c r="A125">
        <v>1715</v>
      </c>
      <c r="B125">
        <v>1632</v>
      </c>
      <c r="C125">
        <v>479</v>
      </c>
      <c r="D125" t="s">
        <v>19</v>
      </c>
      <c r="E125" t="s">
        <v>20</v>
      </c>
      <c r="F125" t="s">
        <v>17</v>
      </c>
      <c r="G125" t="s">
        <v>18</v>
      </c>
      <c r="H125">
        <v>275.60000000000002</v>
      </c>
      <c r="I125">
        <v>254</v>
      </c>
      <c r="J125">
        <v>99.7</v>
      </c>
      <c r="K125">
        <v>68</v>
      </c>
      <c r="L125">
        <v>26.4</v>
      </c>
      <c r="M125">
        <v>8</v>
      </c>
      <c r="N125">
        <v>0.338123371548741</v>
      </c>
      <c r="O125">
        <v>4.6221525054756997E-2</v>
      </c>
      <c r="P125" t="str">
        <f t="shared" si="2"/>
        <v>F</v>
      </c>
      <c r="Q125" t="str">
        <f t="shared" si="3"/>
        <v>F</v>
      </c>
    </row>
    <row r="126" spans="1:17" hidden="1" x14ac:dyDescent="0.3">
      <c r="A126">
        <v>1719</v>
      </c>
      <c r="B126">
        <v>1635</v>
      </c>
      <c r="C126">
        <v>320</v>
      </c>
      <c r="D126" t="s">
        <v>19</v>
      </c>
      <c r="E126" t="s">
        <v>20</v>
      </c>
      <c r="F126" t="s">
        <v>21</v>
      </c>
      <c r="G126" t="s">
        <v>22</v>
      </c>
      <c r="H126">
        <v>279</v>
      </c>
      <c r="I126">
        <v>253.5</v>
      </c>
      <c r="J126">
        <v>97.1</v>
      </c>
      <c r="K126">
        <v>64</v>
      </c>
      <c r="L126">
        <v>24</v>
      </c>
      <c r="M126">
        <v>8</v>
      </c>
      <c r="N126">
        <v>0.16905410556680101</v>
      </c>
      <c r="O126">
        <v>5.7808147446538803E-2</v>
      </c>
      <c r="P126" t="str">
        <f t="shared" si="2"/>
        <v>F</v>
      </c>
      <c r="Q126" t="str">
        <f t="shared" si="3"/>
        <v>F</v>
      </c>
    </row>
    <row r="127" spans="1:17" hidden="1" x14ac:dyDescent="0.3">
      <c r="A127">
        <v>1720</v>
      </c>
      <c r="B127">
        <v>1635</v>
      </c>
      <c r="C127">
        <v>320</v>
      </c>
      <c r="D127" t="s">
        <v>19</v>
      </c>
      <c r="E127" t="s">
        <v>20</v>
      </c>
      <c r="F127" t="s">
        <v>21</v>
      </c>
      <c r="G127" t="s">
        <v>22</v>
      </c>
      <c r="H127">
        <v>279</v>
      </c>
      <c r="I127">
        <v>253.5</v>
      </c>
      <c r="J127">
        <v>97.1</v>
      </c>
      <c r="K127">
        <v>64</v>
      </c>
      <c r="L127">
        <v>24</v>
      </c>
      <c r="M127">
        <v>8</v>
      </c>
      <c r="N127">
        <v>0.14888712653073999</v>
      </c>
      <c r="O127">
        <v>2.3632539118140599E-2</v>
      </c>
      <c r="P127" t="str">
        <f t="shared" si="2"/>
        <v>F</v>
      </c>
      <c r="Q127" t="str">
        <f t="shared" si="3"/>
        <v>T</v>
      </c>
    </row>
    <row r="128" spans="1:17" hidden="1" x14ac:dyDescent="0.3">
      <c r="A128">
        <v>1761</v>
      </c>
      <c r="B128">
        <v>1653</v>
      </c>
      <c r="C128">
        <v>118</v>
      </c>
      <c r="D128" t="s">
        <v>19</v>
      </c>
      <c r="E128" t="s">
        <v>20</v>
      </c>
      <c r="F128" t="s">
        <v>17</v>
      </c>
      <c r="G128" t="s">
        <v>26</v>
      </c>
      <c r="H128">
        <v>276.39999999999998</v>
      </c>
      <c r="I128">
        <v>245.5</v>
      </c>
      <c r="J128">
        <v>96.4</v>
      </c>
      <c r="K128">
        <v>67.5</v>
      </c>
      <c r="L128">
        <v>24.9</v>
      </c>
      <c r="M128">
        <v>4</v>
      </c>
      <c r="N128">
        <v>0.133347111578828</v>
      </c>
      <c r="O128">
        <v>0.22792429544185799</v>
      </c>
      <c r="P128" t="str">
        <f t="shared" si="2"/>
        <v>F</v>
      </c>
      <c r="Q128" t="str">
        <f t="shared" si="3"/>
        <v>F</v>
      </c>
    </row>
    <row r="129" spans="1:17" hidden="1" x14ac:dyDescent="0.3">
      <c r="A129">
        <v>1762</v>
      </c>
      <c r="B129">
        <v>1653</v>
      </c>
      <c r="C129">
        <v>118</v>
      </c>
      <c r="D129" t="s">
        <v>19</v>
      </c>
      <c r="E129" t="s">
        <v>20</v>
      </c>
      <c r="F129" t="s">
        <v>17</v>
      </c>
      <c r="G129" t="s">
        <v>26</v>
      </c>
      <c r="H129">
        <v>276.39999999999998</v>
      </c>
      <c r="I129">
        <v>245.5</v>
      </c>
      <c r="J129">
        <v>96.4</v>
      </c>
      <c r="K129">
        <v>67.5</v>
      </c>
      <c r="L129">
        <v>24.9</v>
      </c>
      <c r="M129">
        <v>4</v>
      </c>
      <c r="N129">
        <v>0.14390826673971699</v>
      </c>
      <c r="O129">
        <v>0.22021538761645501</v>
      </c>
      <c r="P129" t="str">
        <f t="shared" si="2"/>
        <v>F</v>
      </c>
      <c r="Q129" t="str">
        <f t="shared" si="3"/>
        <v>F</v>
      </c>
    </row>
    <row r="130" spans="1:17" hidden="1" x14ac:dyDescent="0.3">
      <c r="A130">
        <v>1916</v>
      </c>
      <c r="B130">
        <v>1707</v>
      </c>
      <c r="C130">
        <v>62</v>
      </c>
      <c r="D130" t="s">
        <v>19</v>
      </c>
      <c r="E130" t="s">
        <v>20</v>
      </c>
      <c r="F130" t="s">
        <v>17</v>
      </c>
      <c r="G130" t="s">
        <v>22</v>
      </c>
      <c r="H130">
        <v>274.5</v>
      </c>
      <c r="I130">
        <v>256.5</v>
      </c>
      <c r="J130">
        <v>98.4</v>
      </c>
      <c r="K130">
        <v>71.5</v>
      </c>
      <c r="L130">
        <v>29.3</v>
      </c>
      <c r="M130">
        <v>6</v>
      </c>
      <c r="N130">
        <v>0.25138853249565801</v>
      </c>
      <c r="O130">
        <v>0.14188320341213601</v>
      </c>
      <c r="P130" t="str">
        <f t="shared" si="2"/>
        <v>F</v>
      </c>
      <c r="Q130" t="str">
        <f t="shared" si="3"/>
        <v>F</v>
      </c>
    </row>
    <row r="131" spans="1:17" hidden="1" x14ac:dyDescent="0.3">
      <c r="A131">
        <v>1926</v>
      </c>
      <c r="B131">
        <v>171</v>
      </c>
      <c r="C131">
        <v>413</v>
      </c>
      <c r="D131" t="s">
        <v>19</v>
      </c>
      <c r="E131" t="s">
        <v>20</v>
      </c>
      <c r="F131" t="s">
        <v>17</v>
      </c>
      <c r="G131" t="s">
        <v>24</v>
      </c>
      <c r="H131">
        <v>279</v>
      </c>
      <c r="I131">
        <v>247.5</v>
      </c>
      <c r="J131">
        <v>93.5</v>
      </c>
      <c r="K131">
        <v>66</v>
      </c>
      <c r="L131">
        <v>25.5</v>
      </c>
      <c r="M131">
        <v>10</v>
      </c>
      <c r="N131">
        <v>0.20268549562788099</v>
      </c>
      <c r="O131">
        <v>5.0298601765666799E-2</v>
      </c>
      <c r="P131" t="str">
        <f t="shared" ref="P131:P194" si="4">IF(N131&lt;0.06641, "T", "F")</f>
        <v>F</v>
      </c>
      <c r="Q131" t="str">
        <f t="shared" ref="Q131:Q194" si="5">IF(O131&lt;0.027899, "T", "F")</f>
        <v>F</v>
      </c>
    </row>
    <row r="132" spans="1:17" hidden="1" x14ac:dyDescent="0.3">
      <c r="A132">
        <v>1927</v>
      </c>
      <c r="B132">
        <v>171</v>
      </c>
      <c r="C132">
        <v>413</v>
      </c>
      <c r="D132" t="s">
        <v>19</v>
      </c>
      <c r="E132" t="s">
        <v>20</v>
      </c>
      <c r="F132" t="s">
        <v>17</v>
      </c>
      <c r="G132" t="s">
        <v>24</v>
      </c>
      <c r="H132">
        <v>279</v>
      </c>
      <c r="I132">
        <v>247.5</v>
      </c>
      <c r="J132">
        <v>93.5</v>
      </c>
      <c r="K132">
        <v>66</v>
      </c>
      <c r="L132">
        <v>25.5</v>
      </c>
      <c r="M132">
        <v>10</v>
      </c>
      <c r="N132">
        <v>0.225704356845226</v>
      </c>
      <c r="O132">
        <v>5.7374197562593099E-2</v>
      </c>
      <c r="P132" t="str">
        <f t="shared" si="4"/>
        <v>F</v>
      </c>
      <c r="Q132" t="str">
        <f t="shared" si="5"/>
        <v>F</v>
      </c>
    </row>
    <row r="133" spans="1:17" hidden="1" x14ac:dyDescent="0.3">
      <c r="A133">
        <v>1928</v>
      </c>
      <c r="B133">
        <v>171</v>
      </c>
      <c r="C133">
        <v>413</v>
      </c>
      <c r="D133" t="s">
        <v>19</v>
      </c>
      <c r="E133" t="s">
        <v>20</v>
      </c>
      <c r="F133" t="s">
        <v>17</v>
      </c>
      <c r="G133" t="s">
        <v>24</v>
      </c>
      <c r="H133">
        <v>279</v>
      </c>
      <c r="I133">
        <v>247.5</v>
      </c>
      <c r="J133">
        <v>93.5</v>
      </c>
      <c r="K133">
        <v>66</v>
      </c>
      <c r="L133">
        <v>25.5</v>
      </c>
      <c r="M133">
        <v>10</v>
      </c>
      <c r="N133">
        <v>0.20863735430562599</v>
      </c>
      <c r="O133">
        <v>4.3819675570144698E-2</v>
      </c>
      <c r="P133" t="str">
        <f t="shared" si="4"/>
        <v>F</v>
      </c>
      <c r="Q133" t="str">
        <f t="shared" si="5"/>
        <v>F</v>
      </c>
    </row>
    <row r="134" spans="1:17" hidden="1" x14ac:dyDescent="0.3">
      <c r="A134">
        <v>1966</v>
      </c>
      <c r="B134">
        <v>1723</v>
      </c>
      <c r="C134">
        <v>345</v>
      </c>
      <c r="D134" t="s">
        <v>19</v>
      </c>
      <c r="E134" t="s">
        <v>20</v>
      </c>
      <c r="F134" t="s">
        <v>21</v>
      </c>
      <c r="G134" t="s">
        <v>22</v>
      </c>
      <c r="H134">
        <v>277.60000000000002</v>
      </c>
      <c r="I134">
        <v>252.5</v>
      </c>
      <c r="J134">
        <v>98.4</v>
      </c>
      <c r="K134">
        <v>67.5</v>
      </c>
      <c r="L134">
        <v>25.8</v>
      </c>
      <c r="M134">
        <v>13.5</v>
      </c>
      <c r="N134">
        <v>0.142961196080505</v>
      </c>
      <c r="O134">
        <v>0.123236832434634</v>
      </c>
      <c r="P134" t="str">
        <f t="shared" si="4"/>
        <v>F</v>
      </c>
      <c r="Q134" t="str">
        <f t="shared" si="5"/>
        <v>F</v>
      </c>
    </row>
    <row r="135" spans="1:17" hidden="1" x14ac:dyDescent="0.3">
      <c r="A135">
        <v>1967</v>
      </c>
      <c r="B135">
        <v>1723</v>
      </c>
      <c r="C135">
        <v>345</v>
      </c>
      <c r="D135" t="s">
        <v>19</v>
      </c>
      <c r="E135" t="s">
        <v>20</v>
      </c>
      <c r="F135" t="s">
        <v>21</v>
      </c>
      <c r="G135" t="s">
        <v>22</v>
      </c>
      <c r="H135">
        <v>277.60000000000002</v>
      </c>
      <c r="I135">
        <v>252.5</v>
      </c>
      <c r="J135">
        <v>98.4</v>
      </c>
      <c r="K135">
        <v>67.5</v>
      </c>
      <c r="L135">
        <v>25.8</v>
      </c>
      <c r="M135">
        <v>13.5</v>
      </c>
      <c r="N135">
        <v>0.107887289988281</v>
      </c>
      <c r="O135">
        <v>0.114053046564456</v>
      </c>
      <c r="P135" t="str">
        <f t="shared" si="4"/>
        <v>F</v>
      </c>
      <c r="Q135" t="str">
        <f t="shared" si="5"/>
        <v>F</v>
      </c>
    </row>
    <row r="136" spans="1:17" hidden="1" x14ac:dyDescent="0.3">
      <c r="A136">
        <v>1968</v>
      </c>
      <c r="B136">
        <v>1723</v>
      </c>
      <c r="C136">
        <v>345</v>
      </c>
      <c r="D136" t="s">
        <v>19</v>
      </c>
      <c r="E136" t="s">
        <v>20</v>
      </c>
      <c r="F136" t="s">
        <v>21</v>
      </c>
      <c r="G136" t="s">
        <v>22</v>
      </c>
      <c r="H136">
        <v>277.60000000000002</v>
      </c>
      <c r="I136">
        <v>252.5</v>
      </c>
      <c r="J136">
        <v>98.4</v>
      </c>
      <c r="K136">
        <v>67.5</v>
      </c>
      <c r="L136">
        <v>25.8</v>
      </c>
      <c r="M136">
        <v>13.5</v>
      </c>
      <c r="N136">
        <v>0.11990750836681301</v>
      </c>
      <c r="O136">
        <v>0.129178499571975</v>
      </c>
      <c r="P136" t="str">
        <f t="shared" si="4"/>
        <v>F</v>
      </c>
      <c r="Q136" t="str">
        <f t="shared" si="5"/>
        <v>F</v>
      </c>
    </row>
    <row r="137" spans="1:17" hidden="1" x14ac:dyDescent="0.3">
      <c r="A137">
        <v>1969</v>
      </c>
      <c r="B137">
        <v>1723</v>
      </c>
      <c r="C137">
        <v>345</v>
      </c>
      <c r="D137" t="s">
        <v>19</v>
      </c>
      <c r="E137" t="s">
        <v>20</v>
      </c>
      <c r="F137" t="s">
        <v>21</v>
      </c>
      <c r="G137" t="s">
        <v>22</v>
      </c>
      <c r="H137">
        <v>277.60000000000002</v>
      </c>
      <c r="I137">
        <v>252.5</v>
      </c>
      <c r="J137">
        <v>98.4</v>
      </c>
      <c r="K137">
        <v>67.5</v>
      </c>
      <c r="L137">
        <v>25.8</v>
      </c>
      <c r="M137">
        <v>13.5</v>
      </c>
      <c r="N137">
        <v>0.131308952947295</v>
      </c>
      <c r="O137">
        <v>0.10576222980823299</v>
      </c>
      <c r="P137" t="str">
        <f t="shared" si="4"/>
        <v>F</v>
      </c>
      <c r="Q137" t="str">
        <f t="shared" si="5"/>
        <v>F</v>
      </c>
    </row>
    <row r="138" spans="1:17" hidden="1" x14ac:dyDescent="0.3">
      <c r="A138">
        <v>1977</v>
      </c>
      <c r="B138">
        <v>173</v>
      </c>
      <c r="C138">
        <v>29</v>
      </c>
      <c r="D138" t="s">
        <v>19</v>
      </c>
      <c r="E138" t="s">
        <v>20</v>
      </c>
      <c r="F138" t="s">
        <v>17</v>
      </c>
      <c r="G138" t="s">
        <v>22</v>
      </c>
      <c r="H138">
        <v>276.60000000000002</v>
      </c>
      <c r="I138">
        <v>256.5</v>
      </c>
      <c r="J138">
        <v>98.4</v>
      </c>
      <c r="K138">
        <v>67.5</v>
      </c>
      <c r="L138">
        <v>28.3</v>
      </c>
      <c r="M138">
        <v>8</v>
      </c>
      <c r="N138">
        <v>0.207860257176883</v>
      </c>
      <c r="O138">
        <v>7.7546580022356607E-2</v>
      </c>
      <c r="P138" t="str">
        <f t="shared" si="4"/>
        <v>F</v>
      </c>
      <c r="Q138" t="str">
        <f t="shared" si="5"/>
        <v>F</v>
      </c>
    </row>
    <row r="139" spans="1:17" hidden="1" x14ac:dyDescent="0.3">
      <c r="A139">
        <v>1978</v>
      </c>
      <c r="B139">
        <v>173</v>
      </c>
      <c r="C139">
        <v>29</v>
      </c>
      <c r="D139" t="s">
        <v>19</v>
      </c>
      <c r="E139" t="s">
        <v>20</v>
      </c>
      <c r="F139" t="s">
        <v>17</v>
      </c>
      <c r="G139" t="s">
        <v>22</v>
      </c>
      <c r="H139">
        <v>276.60000000000002</v>
      </c>
      <c r="I139">
        <v>256.5</v>
      </c>
      <c r="J139">
        <v>98.4</v>
      </c>
      <c r="K139">
        <v>67.5</v>
      </c>
      <c r="L139">
        <v>28.3</v>
      </c>
      <c r="M139">
        <v>8</v>
      </c>
      <c r="N139">
        <v>0.21317802984765399</v>
      </c>
      <c r="O139">
        <v>0.108183488421322</v>
      </c>
      <c r="P139" t="str">
        <f t="shared" si="4"/>
        <v>F</v>
      </c>
      <c r="Q139" t="str">
        <f t="shared" si="5"/>
        <v>F</v>
      </c>
    </row>
    <row r="140" spans="1:17" hidden="1" x14ac:dyDescent="0.3">
      <c r="A140">
        <v>1983</v>
      </c>
      <c r="B140">
        <v>1734</v>
      </c>
      <c r="C140">
        <v>479</v>
      </c>
      <c r="D140" t="s">
        <v>19</v>
      </c>
      <c r="E140" t="s">
        <v>20</v>
      </c>
      <c r="F140" t="s">
        <v>17</v>
      </c>
      <c r="G140" t="s">
        <v>22</v>
      </c>
      <c r="H140">
        <v>275.60000000000002</v>
      </c>
      <c r="I140">
        <v>254</v>
      </c>
      <c r="J140">
        <v>99.7</v>
      </c>
      <c r="K140">
        <v>68</v>
      </c>
      <c r="L140">
        <v>26.4</v>
      </c>
      <c r="M140">
        <v>8</v>
      </c>
      <c r="N140">
        <v>0.33433571653924798</v>
      </c>
      <c r="O140">
        <v>4.7527562725039801E-2</v>
      </c>
      <c r="P140" t="str">
        <f t="shared" si="4"/>
        <v>F</v>
      </c>
      <c r="Q140" t="str">
        <f t="shared" si="5"/>
        <v>F</v>
      </c>
    </row>
    <row r="141" spans="1:17" hidden="1" x14ac:dyDescent="0.3">
      <c r="A141">
        <v>2005</v>
      </c>
      <c r="B141">
        <v>1744</v>
      </c>
      <c r="C141">
        <v>233</v>
      </c>
      <c r="D141" t="s">
        <v>19</v>
      </c>
      <c r="E141" t="s">
        <v>20</v>
      </c>
      <c r="F141" t="s">
        <v>21</v>
      </c>
      <c r="G141" t="s">
        <v>25</v>
      </c>
      <c r="H141">
        <v>274.7</v>
      </c>
      <c r="I141">
        <v>248.5</v>
      </c>
      <c r="J141">
        <v>95.9</v>
      </c>
      <c r="K141">
        <v>63.5</v>
      </c>
      <c r="L141">
        <v>27.6</v>
      </c>
      <c r="M141">
        <v>11</v>
      </c>
      <c r="N141">
        <v>2.4080938982485301E-2</v>
      </c>
      <c r="O141">
        <v>0.113354302202548</v>
      </c>
      <c r="P141" t="str">
        <f t="shared" si="4"/>
        <v>T</v>
      </c>
      <c r="Q141" t="str">
        <f t="shared" si="5"/>
        <v>F</v>
      </c>
    </row>
    <row r="142" spans="1:17" hidden="1" x14ac:dyDescent="0.3">
      <c r="A142">
        <v>2007</v>
      </c>
      <c r="B142">
        <v>1744</v>
      </c>
      <c r="C142">
        <v>233</v>
      </c>
      <c r="D142" t="s">
        <v>19</v>
      </c>
      <c r="E142" t="s">
        <v>20</v>
      </c>
      <c r="F142" t="s">
        <v>21</v>
      </c>
      <c r="G142" t="s">
        <v>25</v>
      </c>
      <c r="H142">
        <v>274.7</v>
      </c>
      <c r="I142">
        <v>248.5</v>
      </c>
      <c r="J142">
        <v>95.9</v>
      </c>
      <c r="K142">
        <v>63.5</v>
      </c>
      <c r="L142">
        <v>27.6</v>
      </c>
      <c r="M142">
        <v>11</v>
      </c>
      <c r="N142">
        <v>2.9016929913985301E-2</v>
      </c>
      <c r="O142">
        <v>0.111943285963872</v>
      </c>
      <c r="P142" t="str">
        <f t="shared" si="4"/>
        <v>T</v>
      </c>
      <c r="Q142" t="str">
        <f t="shared" si="5"/>
        <v>F</v>
      </c>
    </row>
    <row r="143" spans="1:17" hidden="1" x14ac:dyDescent="0.3">
      <c r="A143">
        <v>2008</v>
      </c>
      <c r="B143">
        <v>1744</v>
      </c>
      <c r="C143">
        <v>233</v>
      </c>
      <c r="D143" t="s">
        <v>19</v>
      </c>
      <c r="E143" t="s">
        <v>20</v>
      </c>
      <c r="F143" t="s">
        <v>21</v>
      </c>
      <c r="G143" t="s">
        <v>25</v>
      </c>
      <c r="H143">
        <v>274.7</v>
      </c>
      <c r="I143">
        <v>248.5</v>
      </c>
      <c r="J143">
        <v>95.9</v>
      </c>
      <c r="K143">
        <v>63.5</v>
      </c>
      <c r="L143">
        <v>27.6</v>
      </c>
      <c r="M143">
        <v>11</v>
      </c>
      <c r="N143">
        <v>3.5978915134313699E-2</v>
      </c>
      <c r="O143">
        <v>0.121206185594684</v>
      </c>
      <c r="P143" t="str">
        <f t="shared" si="4"/>
        <v>T</v>
      </c>
      <c r="Q143" t="str">
        <f t="shared" si="5"/>
        <v>F</v>
      </c>
    </row>
    <row r="144" spans="1:17" hidden="1" x14ac:dyDescent="0.3">
      <c r="A144">
        <v>2009</v>
      </c>
      <c r="B144">
        <v>1745</v>
      </c>
      <c r="C144">
        <v>147</v>
      </c>
      <c r="D144" t="s">
        <v>19</v>
      </c>
      <c r="E144" t="s">
        <v>20</v>
      </c>
      <c r="F144" t="s">
        <v>17</v>
      </c>
      <c r="G144" t="s">
        <v>22</v>
      </c>
      <c r="H144">
        <v>274.7</v>
      </c>
      <c r="I144">
        <v>246</v>
      </c>
      <c r="J144">
        <v>94.8</v>
      </c>
      <c r="K144">
        <v>66.5</v>
      </c>
      <c r="L144">
        <v>23.6</v>
      </c>
      <c r="M144">
        <v>10.5</v>
      </c>
      <c r="N144">
        <v>0.13262691085991599</v>
      </c>
      <c r="O144">
        <v>0.12566718020366099</v>
      </c>
      <c r="P144" t="str">
        <f t="shared" si="4"/>
        <v>F</v>
      </c>
      <c r="Q144" t="str">
        <f t="shared" si="5"/>
        <v>F</v>
      </c>
    </row>
    <row r="145" spans="1:17" hidden="1" x14ac:dyDescent="0.3">
      <c r="A145">
        <v>2010</v>
      </c>
      <c r="B145">
        <v>1745</v>
      </c>
      <c r="C145">
        <v>147</v>
      </c>
      <c r="D145" t="s">
        <v>19</v>
      </c>
      <c r="E145" t="s">
        <v>20</v>
      </c>
      <c r="F145" t="s">
        <v>17</v>
      </c>
      <c r="G145" t="s">
        <v>22</v>
      </c>
      <c r="H145">
        <v>274.7</v>
      </c>
      <c r="I145">
        <v>246</v>
      </c>
      <c r="J145">
        <v>94.8</v>
      </c>
      <c r="K145">
        <v>66.5</v>
      </c>
      <c r="L145">
        <v>23.6</v>
      </c>
      <c r="M145">
        <v>10.5</v>
      </c>
      <c r="N145">
        <v>0.11769268381060401</v>
      </c>
      <c r="O145">
        <v>0.106214056305588</v>
      </c>
      <c r="P145" t="str">
        <f t="shared" si="4"/>
        <v>F</v>
      </c>
      <c r="Q145" t="str">
        <f t="shared" si="5"/>
        <v>F</v>
      </c>
    </row>
    <row r="146" spans="1:17" hidden="1" x14ac:dyDescent="0.3">
      <c r="A146">
        <v>2011</v>
      </c>
      <c r="B146">
        <v>1745</v>
      </c>
      <c r="C146">
        <v>147</v>
      </c>
      <c r="D146" t="s">
        <v>19</v>
      </c>
      <c r="E146" t="s">
        <v>20</v>
      </c>
      <c r="F146" t="s">
        <v>17</v>
      </c>
      <c r="G146" t="s">
        <v>22</v>
      </c>
      <c r="H146">
        <v>274.7</v>
      </c>
      <c r="I146">
        <v>246</v>
      </c>
      <c r="J146">
        <v>94.8</v>
      </c>
      <c r="K146">
        <v>66.5</v>
      </c>
      <c r="L146">
        <v>23.6</v>
      </c>
      <c r="M146">
        <v>10.5</v>
      </c>
      <c r="N146">
        <v>0.11149719869479099</v>
      </c>
      <c r="O146">
        <v>0.112294803646554</v>
      </c>
      <c r="P146" t="str">
        <f t="shared" si="4"/>
        <v>F</v>
      </c>
      <c r="Q146" t="str">
        <f t="shared" si="5"/>
        <v>F</v>
      </c>
    </row>
    <row r="147" spans="1:17" hidden="1" x14ac:dyDescent="0.3">
      <c r="A147">
        <v>2012</v>
      </c>
      <c r="B147">
        <v>1746</v>
      </c>
      <c r="C147">
        <v>480</v>
      </c>
      <c r="D147" t="s">
        <v>19</v>
      </c>
      <c r="E147" t="s">
        <v>20</v>
      </c>
      <c r="F147" t="s">
        <v>21</v>
      </c>
      <c r="G147" t="s">
        <v>25</v>
      </c>
      <c r="H147">
        <v>275.8</v>
      </c>
      <c r="I147">
        <v>244</v>
      </c>
      <c r="J147">
        <v>94.4</v>
      </c>
      <c r="K147">
        <v>67.5</v>
      </c>
      <c r="L147">
        <v>24.4</v>
      </c>
      <c r="M147">
        <v>6</v>
      </c>
      <c r="N147">
        <v>0.14701977630559501</v>
      </c>
      <c r="O147">
        <v>0.192797406372029</v>
      </c>
      <c r="P147" t="str">
        <f t="shared" si="4"/>
        <v>F</v>
      </c>
      <c r="Q147" t="str">
        <f t="shared" si="5"/>
        <v>F</v>
      </c>
    </row>
    <row r="148" spans="1:17" hidden="1" x14ac:dyDescent="0.3">
      <c r="A148">
        <v>2013</v>
      </c>
      <c r="B148">
        <v>1746</v>
      </c>
      <c r="C148">
        <v>480</v>
      </c>
      <c r="D148" t="s">
        <v>19</v>
      </c>
      <c r="E148" t="s">
        <v>20</v>
      </c>
      <c r="F148" t="s">
        <v>21</v>
      </c>
      <c r="G148" t="s">
        <v>25</v>
      </c>
      <c r="H148">
        <v>275.8</v>
      </c>
      <c r="I148">
        <v>244</v>
      </c>
      <c r="J148">
        <v>94.4</v>
      </c>
      <c r="K148">
        <v>67.5</v>
      </c>
      <c r="L148">
        <v>24.4</v>
      </c>
      <c r="M148">
        <v>6</v>
      </c>
      <c r="N148">
        <v>0.156626410082054</v>
      </c>
      <c r="O148">
        <v>0.188181214142039</v>
      </c>
      <c r="P148" t="str">
        <f t="shared" si="4"/>
        <v>F</v>
      </c>
      <c r="Q148" t="str">
        <f t="shared" si="5"/>
        <v>F</v>
      </c>
    </row>
    <row r="149" spans="1:17" hidden="1" x14ac:dyDescent="0.3">
      <c r="A149">
        <v>2031</v>
      </c>
      <c r="B149">
        <v>1752</v>
      </c>
      <c r="C149">
        <v>345</v>
      </c>
      <c r="D149" t="s">
        <v>19</v>
      </c>
      <c r="E149" t="s">
        <v>20</v>
      </c>
      <c r="F149" t="s">
        <v>17</v>
      </c>
      <c r="G149" t="s">
        <v>22</v>
      </c>
      <c r="H149">
        <v>277.60000000000002</v>
      </c>
      <c r="I149">
        <v>252.5</v>
      </c>
      <c r="J149">
        <v>98.4</v>
      </c>
      <c r="K149">
        <v>67.5</v>
      </c>
      <c r="L149">
        <v>25.8</v>
      </c>
      <c r="M149">
        <v>13.5</v>
      </c>
      <c r="N149">
        <v>9.9375022481300104E-2</v>
      </c>
      <c r="O149">
        <v>0.11610782297715599</v>
      </c>
      <c r="P149" t="str">
        <f t="shared" si="4"/>
        <v>F</v>
      </c>
      <c r="Q149" t="str">
        <f t="shared" si="5"/>
        <v>F</v>
      </c>
    </row>
    <row r="150" spans="1:17" hidden="1" x14ac:dyDescent="0.3">
      <c r="A150">
        <v>2032</v>
      </c>
      <c r="B150">
        <v>1752</v>
      </c>
      <c r="C150">
        <v>345</v>
      </c>
      <c r="D150" t="s">
        <v>19</v>
      </c>
      <c r="E150" t="s">
        <v>20</v>
      </c>
      <c r="F150" t="s">
        <v>17</v>
      </c>
      <c r="G150" t="s">
        <v>22</v>
      </c>
      <c r="H150">
        <v>277.60000000000002</v>
      </c>
      <c r="I150">
        <v>252.5</v>
      </c>
      <c r="J150">
        <v>98.4</v>
      </c>
      <c r="K150">
        <v>67.5</v>
      </c>
      <c r="L150">
        <v>25.8</v>
      </c>
      <c r="M150">
        <v>13.5</v>
      </c>
      <c r="N150">
        <v>0.103014894038491</v>
      </c>
      <c r="O150">
        <v>0.10511027057462</v>
      </c>
      <c r="P150" t="str">
        <f t="shared" si="4"/>
        <v>F</v>
      </c>
      <c r="Q150" t="str">
        <f t="shared" si="5"/>
        <v>F</v>
      </c>
    </row>
    <row r="151" spans="1:17" hidden="1" x14ac:dyDescent="0.3">
      <c r="A151">
        <v>2033</v>
      </c>
      <c r="B151">
        <v>1752</v>
      </c>
      <c r="C151">
        <v>345</v>
      </c>
      <c r="D151" t="s">
        <v>19</v>
      </c>
      <c r="E151" t="s">
        <v>20</v>
      </c>
      <c r="F151" t="s">
        <v>17</v>
      </c>
      <c r="G151" t="s">
        <v>22</v>
      </c>
      <c r="H151">
        <v>277.60000000000002</v>
      </c>
      <c r="I151">
        <v>252.5</v>
      </c>
      <c r="J151">
        <v>98.4</v>
      </c>
      <c r="K151">
        <v>67.5</v>
      </c>
      <c r="L151">
        <v>25.8</v>
      </c>
      <c r="M151">
        <v>13.5</v>
      </c>
      <c r="N151">
        <v>0.113208248327129</v>
      </c>
      <c r="O151">
        <v>0.10635816732865599</v>
      </c>
      <c r="P151" t="str">
        <f t="shared" si="4"/>
        <v>F</v>
      </c>
      <c r="Q151" t="str">
        <f t="shared" si="5"/>
        <v>F</v>
      </c>
    </row>
    <row r="152" spans="1:17" hidden="1" x14ac:dyDescent="0.3">
      <c r="A152">
        <v>2047</v>
      </c>
      <c r="B152">
        <v>1758</v>
      </c>
      <c r="C152">
        <v>314</v>
      </c>
      <c r="D152" t="s">
        <v>19</v>
      </c>
      <c r="E152" t="s">
        <v>20</v>
      </c>
      <c r="F152" t="s">
        <v>21</v>
      </c>
      <c r="G152" t="s">
        <v>25</v>
      </c>
      <c r="H152">
        <v>273.5</v>
      </c>
      <c r="I152">
        <v>251.5</v>
      </c>
      <c r="J152">
        <v>97.5</v>
      </c>
      <c r="K152">
        <v>65</v>
      </c>
      <c r="L152">
        <v>25.5</v>
      </c>
      <c r="M152">
        <v>13</v>
      </c>
      <c r="N152">
        <v>0.23194394182702999</v>
      </c>
      <c r="O152">
        <v>9.7388267591226402E-2</v>
      </c>
      <c r="P152" t="str">
        <f t="shared" si="4"/>
        <v>F</v>
      </c>
      <c r="Q152" t="str">
        <f t="shared" si="5"/>
        <v>F</v>
      </c>
    </row>
    <row r="153" spans="1:17" hidden="1" x14ac:dyDescent="0.3">
      <c r="A153">
        <v>2048</v>
      </c>
      <c r="B153">
        <v>1758</v>
      </c>
      <c r="C153">
        <v>314</v>
      </c>
      <c r="D153" t="s">
        <v>19</v>
      </c>
      <c r="E153" t="s">
        <v>20</v>
      </c>
      <c r="F153" t="s">
        <v>21</v>
      </c>
      <c r="G153" t="s">
        <v>25</v>
      </c>
      <c r="H153">
        <v>273.5</v>
      </c>
      <c r="I153">
        <v>251.5</v>
      </c>
      <c r="J153">
        <v>97.5</v>
      </c>
      <c r="K153">
        <v>65</v>
      </c>
      <c r="L153">
        <v>25.5</v>
      </c>
      <c r="M153">
        <v>13</v>
      </c>
      <c r="N153">
        <v>0.25692887673857401</v>
      </c>
      <c r="O153">
        <v>0.103607587470426</v>
      </c>
      <c r="P153" t="str">
        <f t="shared" si="4"/>
        <v>F</v>
      </c>
      <c r="Q153" t="str">
        <f t="shared" si="5"/>
        <v>F</v>
      </c>
    </row>
    <row r="154" spans="1:17" hidden="1" x14ac:dyDescent="0.3">
      <c r="A154">
        <v>2049</v>
      </c>
      <c r="B154">
        <v>1759</v>
      </c>
      <c r="C154">
        <v>323</v>
      </c>
      <c r="D154" t="s">
        <v>19</v>
      </c>
      <c r="E154" t="s">
        <v>20</v>
      </c>
      <c r="F154" t="s">
        <v>21</v>
      </c>
      <c r="G154" t="s">
        <v>22</v>
      </c>
      <c r="H154">
        <v>274.7</v>
      </c>
      <c r="I154">
        <v>257.5</v>
      </c>
      <c r="J154">
        <v>95.6</v>
      </c>
      <c r="K154">
        <v>69</v>
      </c>
      <c r="L154">
        <v>23.8</v>
      </c>
      <c r="M154">
        <v>8</v>
      </c>
      <c r="N154">
        <v>0.104379643250846</v>
      </c>
      <c r="O154">
        <v>0.190262026698791</v>
      </c>
      <c r="P154" t="str">
        <f t="shared" si="4"/>
        <v>F</v>
      </c>
      <c r="Q154" t="str">
        <f t="shared" si="5"/>
        <v>F</v>
      </c>
    </row>
    <row r="155" spans="1:17" hidden="1" x14ac:dyDescent="0.3">
      <c r="A155">
        <v>2051</v>
      </c>
      <c r="B155">
        <v>1759</v>
      </c>
      <c r="C155">
        <v>323</v>
      </c>
      <c r="D155" t="s">
        <v>19</v>
      </c>
      <c r="E155" t="s">
        <v>20</v>
      </c>
      <c r="F155" t="s">
        <v>21</v>
      </c>
      <c r="G155" t="s">
        <v>22</v>
      </c>
      <c r="H155">
        <v>274.7</v>
      </c>
      <c r="I155">
        <v>257.5</v>
      </c>
      <c r="J155">
        <v>95.6</v>
      </c>
      <c r="K155">
        <v>69</v>
      </c>
      <c r="L155">
        <v>23.8</v>
      </c>
      <c r="M155">
        <v>8</v>
      </c>
      <c r="N155">
        <v>0.11944745177326201</v>
      </c>
      <c r="O155">
        <v>0.19142669698763401</v>
      </c>
      <c r="P155" t="str">
        <f t="shared" si="4"/>
        <v>F</v>
      </c>
      <c r="Q155" t="str">
        <f t="shared" si="5"/>
        <v>F</v>
      </c>
    </row>
    <row r="156" spans="1:17" hidden="1" x14ac:dyDescent="0.3">
      <c r="A156">
        <v>2118</v>
      </c>
      <c r="B156">
        <v>1782</v>
      </c>
      <c r="C156">
        <v>233</v>
      </c>
      <c r="D156" t="s">
        <v>19</v>
      </c>
      <c r="E156" t="s">
        <v>20</v>
      </c>
      <c r="F156" t="s">
        <v>17</v>
      </c>
      <c r="G156" t="s">
        <v>24</v>
      </c>
      <c r="H156">
        <v>274.7</v>
      </c>
      <c r="I156">
        <v>248.5</v>
      </c>
      <c r="J156">
        <v>95.9</v>
      </c>
      <c r="K156">
        <v>63.5</v>
      </c>
      <c r="L156">
        <v>27.6</v>
      </c>
      <c r="M156">
        <v>11</v>
      </c>
      <c r="N156">
        <v>3.7592271338583901E-2</v>
      </c>
      <c r="O156">
        <v>0.120409157383987</v>
      </c>
      <c r="P156" t="str">
        <f t="shared" si="4"/>
        <v>T</v>
      </c>
      <c r="Q156" t="str">
        <f t="shared" si="5"/>
        <v>F</v>
      </c>
    </row>
    <row r="157" spans="1:17" hidden="1" x14ac:dyDescent="0.3">
      <c r="A157">
        <v>2119</v>
      </c>
      <c r="B157">
        <v>1782</v>
      </c>
      <c r="C157">
        <v>233</v>
      </c>
      <c r="D157" t="s">
        <v>19</v>
      </c>
      <c r="E157" t="s">
        <v>20</v>
      </c>
      <c r="F157" t="s">
        <v>17</v>
      </c>
      <c r="G157" t="s">
        <v>24</v>
      </c>
      <c r="H157">
        <v>274.7</v>
      </c>
      <c r="I157">
        <v>248.5</v>
      </c>
      <c r="J157">
        <v>95.9</v>
      </c>
      <c r="K157">
        <v>63.5</v>
      </c>
      <c r="L157">
        <v>27.6</v>
      </c>
      <c r="M157">
        <v>11</v>
      </c>
      <c r="N157">
        <v>4.0256196101016703E-2</v>
      </c>
      <c r="O157">
        <v>0.10065126354977599</v>
      </c>
      <c r="P157" t="str">
        <f t="shared" si="4"/>
        <v>T</v>
      </c>
      <c r="Q157" t="str">
        <f t="shared" si="5"/>
        <v>F</v>
      </c>
    </row>
    <row r="158" spans="1:17" hidden="1" x14ac:dyDescent="0.3">
      <c r="A158">
        <v>2120</v>
      </c>
      <c r="B158">
        <v>1782</v>
      </c>
      <c r="C158">
        <v>233</v>
      </c>
      <c r="D158" t="s">
        <v>19</v>
      </c>
      <c r="E158" t="s">
        <v>20</v>
      </c>
      <c r="F158" t="s">
        <v>17</v>
      </c>
      <c r="G158" t="s">
        <v>24</v>
      </c>
      <c r="H158">
        <v>274.7</v>
      </c>
      <c r="I158">
        <v>248.5</v>
      </c>
      <c r="J158">
        <v>95.9</v>
      </c>
      <c r="K158">
        <v>63.5</v>
      </c>
      <c r="L158">
        <v>27.6</v>
      </c>
      <c r="M158">
        <v>11</v>
      </c>
      <c r="N158">
        <v>2.1461412736364E-2</v>
      </c>
      <c r="O158">
        <v>0.10068537603167201</v>
      </c>
      <c r="P158" t="str">
        <f t="shared" si="4"/>
        <v>T</v>
      </c>
      <c r="Q158" t="str">
        <f t="shared" si="5"/>
        <v>F</v>
      </c>
    </row>
    <row r="159" spans="1:17" hidden="1" x14ac:dyDescent="0.3">
      <c r="A159">
        <v>2121</v>
      </c>
      <c r="B159">
        <v>1782</v>
      </c>
      <c r="C159">
        <v>233</v>
      </c>
      <c r="D159" t="s">
        <v>19</v>
      </c>
      <c r="E159" t="s">
        <v>20</v>
      </c>
      <c r="F159" t="s">
        <v>17</v>
      </c>
      <c r="G159" t="s">
        <v>24</v>
      </c>
      <c r="H159">
        <v>274.7</v>
      </c>
      <c r="I159">
        <v>248.5</v>
      </c>
      <c r="J159">
        <v>95.9</v>
      </c>
      <c r="K159">
        <v>63.5</v>
      </c>
      <c r="L159">
        <v>27.6</v>
      </c>
      <c r="M159">
        <v>11</v>
      </c>
      <c r="N159">
        <v>2.8912335868801299E-2</v>
      </c>
      <c r="O159">
        <v>0.107199452969456</v>
      </c>
      <c r="P159" t="str">
        <f t="shared" si="4"/>
        <v>T</v>
      </c>
      <c r="Q159" t="str">
        <f t="shared" si="5"/>
        <v>F</v>
      </c>
    </row>
    <row r="160" spans="1:17" hidden="1" x14ac:dyDescent="0.3">
      <c r="A160">
        <v>2122</v>
      </c>
      <c r="B160">
        <v>1782</v>
      </c>
      <c r="C160">
        <v>233</v>
      </c>
      <c r="D160" t="s">
        <v>19</v>
      </c>
      <c r="E160" t="s">
        <v>20</v>
      </c>
      <c r="F160" t="s">
        <v>17</v>
      </c>
      <c r="G160" t="s">
        <v>24</v>
      </c>
      <c r="H160">
        <v>274.7</v>
      </c>
      <c r="I160">
        <v>248.5</v>
      </c>
      <c r="J160">
        <v>95.9</v>
      </c>
      <c r="K160">
        <v>63.5</v>
      </c>
      <c r="L160">
        <v>27.6</v>
      </c>
      <c r="M160">
        <v>11</v>
      </c>
      <c r="N160">
        <v>2.93615881587788E-2</v>
      </c>
      <c r="O160">
        <v>0.11296666690974599</v>
      </c>
      <c r="P160" t="str">
        <f t="shared" si="4"/>
        <v>T</v>
      </c>
      <c r="Q160" t="str">
        <f t="shared" si="5"/>
        <v>F</v>
      </c>
    </row>
    <row r="161" spans="1:17" hidden="1" x14ac:dyDescent="0.3">
      <c r="A161">
        <v>2142</v>
      </c>
      <c r="B161">
        <v>179</v>
      </c>
      <c r="C161">
        <v>262</v>
      </c>
      <c r="D161" t="s">
        <v>19</v>
      </c>
      <c r="E161" t="s">
        <v>20</v>
      </c>
      <c r="F161" t="s">
        <v>17</v>
      </c>
      <c r="G161" t="s">
        <v>18</v>
      </c>
      <c r="H161">
        <v>276.2</v>
      </c>
      <c r="I161">
        <v>255</v>
      </c>
      <c r="J161">
        <v>96.1</v>
      </c>
      <c r="K161">
        <v>67.5</v>
      </c>
      <c r="L161">
        <v>28.7</v>
      </c>
      <c r="M161">
        <v>9</v>
      </c>
      <c r="N161">
        <v>0.252849570188729</v>
      </c>
      <c r="O161">
        <v>0.13164677785758799</v>
      </c>
      <c r="P161" t="str">
        <f t="shared" si="4"/>
        <v>F</v>
      </c>
      <c r="Q161" t="str">
        <f t="shared" si="5"/>
        <v>F</v>
      </c>
    </row>
    <row r="162" spans="1:17" hidden="1" x14ac:dyDescent="0.3">
      <c r="A162">
        <v>2156</v>
      </c>
      <c r="B162">
        <v>1794</v>
      </c>
      <c r="C162">
        <v>274</v>
      </c>
      <c r="D162" t="s">
        <v>19</v>
      </c>
      <c r="E162" t="s">
        <v>20</v>
      </c>
      <c r="F162" t="s">
        <v>21</v>
      </c>
      <c r="G162" t="s">
        <v>18</v>
      </c>
      <c r="H162">
        <v>270.8</v>
      </c>
      <c r="I162">
        <v>241</v>
      </c>
      <c r="J162">
        <v>93</v>
      </c>
      <c r="K162">
        <v>61.5</v>
      </c>
      <c r="L162">
        <v>24.5</v>
      </c>
      <c r="M162">
        <v>11.5</v>
      </c>
      <c r="N162">
        <v>0.127345389288643</v>
      </c>
      <c r="O162">
        <v>0.216352467202757</v>
      </c>
      <c r="P162" t="str">
        <f t="shared" si="4"/>
        <v>F</v>
      </c>
      <c r="Q162" t="str">
        <f t="shared" si="5"/>
        <v>F</v>
      </c>
    </row>
    <row r="163" spans="1:17" hidden="1" x14ac:dyDescent="0.3">
      <c r="A163">
        <v>2157</v>
      </c>
      <c r="B163">
        <v>1794</v>
      </c>
      <c r="C163">
        <v>274</v>
      </c>
      <c r="D163" t="s">
        <v>19</v>
      </c>
      <c r="E163" t="s">
        <v>20</v>
      </c>
      <c r="F163" t="s">
        <v>21</v>
      </c>
      <c r="G163" t="s">
        <v>18</v>
      </c>
      <c r="H163">
        <v>270.8</v>
      </c>
      <c r="I163">
        <v>241</v>
      </c>
      <c r="J163">
        <v>93</v>
      </c>
      <c r="K163">
        <v>61.5</v>
      </c>
      <c r="L163">
        <v>24.5</v>
      </c>
      <c r="M163">
        <v>11.5</v>
      </c>
      <c r="N163">
        <v>0.124432743455704</v>
      </c>
      <c r="O163">
        <v>0.20735451937761201</v>
      </c>
      <c r="P163" t="str">
        <f t="shared" si="4"/>
        <v>F</v>
      </c>
      <c r="Q163" t="str">
        <f t="shared" si="5"/>
        <v>F</v>
      </c>
    </row>
    <row r="164" spans="1:17" hidden="1" x14ac:dyDescent="0.3">
      <c r="A164">
        <v>2171</v>
      </c>
      <c r="B164">
        <v>18</v>
      </c>
      <c r="C164">
        <v>366</v>
      </c>
      <c r="D164" t="s">
        <v>19</v>
      </c>
      <c r="E164" t="s">
        <v>20</v>
      </c>
      <c r="F164" t="s">
        <v>17</v>
      </c>
      <c r="G164" t="s">
        <v>26</v>
      </c>
      <c r="H164">
        <v>275.89999999999998</v>
      </c>
      <c r="I164">
        <v>255</v>
      </c>
      <c r="J164">
        <v>94.9</v>
      </c>
      <c r="K164">
        <v>64</v>
      </c>
      <c r="L164">
        <v>26.8</v>
      </c>
      <c r="M164">
        <v>17</v>
      </c>
      <c r="N164">
        <v>0.16018806216800499</v>
      </c>
      <c r="O164">
        <v>0.16182791583633699</v>
      </c>
      <c r="P164" t="str">
        <f t="shared" si="4"/>
        <v>F</v>
      </c>
      <c r="Q164" t="str">
        <f t="shared" si="5"/>
        <v>F</v>
      </c>
    </row>
    <row r="165" spans="1:17" hidden="1" x14ac:dyDescent="0.3">
      <c r="A165">
        <v>2172</v>
      </c>
      <c r="B165">
        <v>18</v>
      </c>
      <c r="C165">
        <v>366</v>
      </c>
      <c r="D165" t="s">
        <v>19</v>
      </c>
      <c r="E165" t="s">
        <v>20</v>
      </c>
      <c r="F165" t="s">
        <v>17</v>
      </c>
      <c r="G165" t="s">
        <v>26</v>
      </c>
      <c r="H165">
        <v>275.89999999999998</v>
      </c>
      <c r="I165">
        <v>255</v>
      </c>
      <c r="J165">
        <v>94.9</v>
      </c>
      <c r="K165">
        <v>64</v>
      </c>
      <c r="L165">
        <v>26.8</v>
      </c>
      <c r="M165">
        <v>17</v>
      </c>
      <c r="N165">
        <v>0.15952078690850599</v>
      </c>
      <c r="O165">
        <v>0.132902865614658</v>
      </c>
      <c r="P165" t="str">
        <f t="shared" si="4"/>
        <v>F</v>
      </c>
      <c r="Q165" t="str">
        <f t="shared" si="5"/>
        <v>F</v>
      </c>
    </row>
    <row r="166" spans="1:17" hidden="1" x14ac:dyDescent="0.3">
      <c r="A166">
        <v>2207</v>
      </c>
      <c r="B166">
        <v>181</v>
      </c>
      <c r="C166">
        <v>230</v>
      </c>
      <c r="D166" t="s">
        <v>19</v>
      </c>
      <c r="E166" t="s">
        <v>20</v>
      </c>
      <c r="F166" t="s">
        <v>17</v>
      </c>
      <c r="G166" t="s">
        <v>18</v>
      </c>
      <c r="H166">
        <v>275.8</v>
      </c>
      <c r="I166">
        <v>250.5</v>
      </c>
      <c r="J166">
        <v>93.9</v>
      </c>
      <c r="K166">
        <v>67</v>
      </c>
      <c r="L166">
        <v>25.2</v>
      </c>
      <c r="M166">
        <v>10.5</v>
      </c>
      <c r="N166">
        <v>0.11941992309629899</v>
      </c>
      <c r="O166">
        <v>9.1134385779451599E-2</v>
      </c>
      <c r="P166" t="str">
        <f t="shared" si="4"/>
        <v>F</v>
      </c>
      <c r="Q166" t="str">
        <f t="shared" si="5"/>
        <v>F</v>
      </c>
    </row>
    <row r="167" spans="1:17" hidden="1" x14ac:dyDescent="0.3">
      <c r="A167">
        <v>2217</v>
      </c>
      <c r="B167">
        <v>1815</v>
      </c>
      <c r="C167">
        <v>233</v>
      </c>
      <c r="D167" t="s">
        <v>19</v>
      </c>
      <c r="E167" t="s">
        <v>20</v>
      </c>
      <c r="F167" t="s">
        <v>17</v>
      </c>
      <c r="G167" t="s">
        <v>26</v>
      </c>
      <c r="H167">
        <v>274.7</v>
      </c>
      <c r="I167">
        <v>248.5</v>
      </c>
      <c r="J167">
        <v>95.9</v>
      </c>
      <c r="K167">
        <v>63.5</v>
      </c>
      <c r="L167">
        <v>27.6</v>
      </c>
      <c r="M167">
        <v>11</v>
      </c>
      <c r="N167">
        <v>1.48718931750575E-2</v>
      </c>
      <c r="O167">
        <v>0.106263338333875</v>
      </c>
      <c r="P167" t="str">
        <f t="shared" si="4"/>
        <v>T</v>
      </c>
      <c r="Q167" t="str">
        <f t="shared" si="5"/>
        <v>F</v>
      </c>
    </row>
    <row r="168" spans="1:17" hidden="1" x14ac:dyDescent="0.3">
      <c r="A168">
        <v>2228</v>
      </c>
      <c r="B168">
        <v>182</v>
      </c>
      <c r="C168">
        <v>335</v>
      </c>
      <c r="D168" t="s">
        <v>19</v>
      </c>
      <c r="E168" t="s">
        <v>20</v>
      </c>
      <c r="F168" t="s">
        <v>21</v>
      </c>
      <c r="G168" t="s">
        <v>22</v>
      </c>
      <c r="H168">
        <v>278.5</v>
      </c>
      <c r="I168">
        <v>240.5</v>
      </c>
      <c r="J168">
        <v>94.4</v>
      </c>
      <c r="K168">
        <v>69</v>
      </c>
      <c r="L168">
        <v>25.8</v>
      </c>
      <c r="M168">
        <v>8.5</v>
      </c>
      <c r="N168">
        <v>5.5608112545976203E-2</v>
      </c>
      <c r="O168">
        <v>5.2843981160604403E-2</v>
      </c>
      <c r="P168" t="str">
        <f t="shared" si="4"/>
        <v>T</v>
      </c>
      <c r="Q168" t="str">
        <f t="shared" si="5"/>
        <v>F</v>
      </c>
    </row>
    <row r="169" spans="1:17" x14ac:dyDescent="0.3">
      <c r="A169">
        <v>2229</v>
      </c>
      <c r="B169">
        <v>182</v>
      </c>
      <c r="C169">
        <v>335</v>
      </c>
      <c r="D169" t="s">
        <v>19</v>
      </c>
      <c r="E169" t="s">
        <v>20</v>
      </c>
      <c r="F169" t="s">
        <v>21</v>
      </c>
      <c r="G169" t="s">
        <v>22</v>
      </c>
      <c r="H169">
        <v>278.5</v>
      </c>
      <c r="I169">
        <v>240.5</v>
      </c>
      <c r="J169">
        <v>94.4</v>
      </c>
      <c r="K169">
        <v>69</v>
      </c>
      <c r="L169">
        <v>25.8</v>
      </c>
      <c r="M169">
        <v>8.5</v>
      </c>
      <c r="N169">
        <v>5.9502063761305603E-2</v>
      </c>
      <c r="O169">
        <v>2.5972337568965401E-2</v>
      </c>
      <c r="P169" t="str">
        <f t="shared" si="4"/>
        <v>T</v>
      </c>
      <c r="Q169" t="str">
        <f t="shared" si="5"/>
        <v>T</v>
      </c>
    </row>
    <row r="170" spans="1:17" hidden="1" x14ac:dyDescent="0.3">
      <c r="A170">
        <v>2277</v>
      </c>
      <c r="B170">
        <v>1837</v>
      </c>
      <c r="C170">
        <v>379</v>
      </c>
      <c r="D170" t="s">
        <v>19</v>
      </c>
      <c r="E170" t="s">
        <v>20</v>
      </c>
      <c r="F170" t="s">
        <v>17</v>
      </c>
      <c r="G170" t="s">
        <v>26</v>
      </c>
      <c r="H170">
        <v>276.5</v>
      </c>
      <c r="I170">
        <v>259.5</v>
      </c>
      <c r="J170">
        <v>97.2</v>
      </c>
      <c r="K170">
        <v>68</v>
      </c>
      <c r="L170">
        <v>26.4</v>
      </c>
      <c r="M170">
        <v>4</v>
      </c>
      <c r="N170">
        <v>0.31869837844757898</v>
      </c>
      <c r="O170">
        <v>5.9116428752114397E-2</v>
      </c>
      <c r="P170" t="str">
        <f t="shared" si="4"/>
        <v>F</v>
      </c>
      <c r="Q170" t="str">
        <f t="shared" si="5"/>
        <v>F</v>
      </c>
    </row>
    <row r="171" spans="1:17" hidden="1" x14ac:dyDescent="0.3">
      <c r="A171">
        <v>2278</v>
      </c>
      <c r="B171">
        <v>1837</v>
      </c>
      <c r="C171">
        <v>379</v>
      </c>
      <c r="D171" t="s">
        <v>19</v>
      </c>
      <c r="E171" t="s">
        <v>20</v>
      </c>
      <c r="F171" t="s">
        <v>17</v>
      </c>
      <c r="G171" t="s">
        <v>26</v>
      </c>
      <c r="H171">
        <v>276.5</v>
      </c>
      <c r="I171">
        <v>259.5</v>
      </c>
      <c r="J171">
        <v>97.2</v>
      </c>
      <c r="K171">
        <v>68</v>
      </c>
      <c r="L171">
        <v>26.4</v>
      </c>
      <c r="M171">
        <v>4</v>
      </c>
      <c r="N171">
        <v>0.29816009085637102</v>
      </c>
      <c r="O171">
        <v>5.1636536059129198E-2</v>
      </c>
      <c r="P171" t="str">
        <f t="shared" si="4"/>
        <v>F</v>
      </c>
      <c r="Q171" t="str">
        <f t="shared" si="5"/>
        <v>F</v>
      </c>
    </row>
    <row r="172" spans="1:17" hidden="1" x14ac:dyDescent="0.3">
      <c r="A172">
        <v>2279</v>
      </c>
      <c r="B172">
        <v>1837</v>
      </c>
      <c r="C172">
        <v>379</v>
      </c>
      <c r="D172" t="s">
        <v>19</v>
      </c>
      <c r="E172" t="s">
        <v>20</v>
      </c>
      <c r="F172" t="s">
        <v>17</v>
      </c>
      <c r="G172" t="s">
        <v>26</v>
      </c>
      <c r="H172">
        <v>276.5</v>
      </c>
      <c r="I172">
        <v>259.5</v>
      </c>
      <c r="J172">
        <v>97.2</v>
      </c>
      <c r="K172">
        <v>68</v>
      </c>
      <c r="L172">
        <v>26.4</v>
      </c>
      <c r="M172">
        <v>4</v>
      </c>
      <c r="N172">
        <v>0.306918052583181</v>
      </c>
      <c r="O172">
        <v>6.3035813313900305E-2</v>
      </c>
      <c r="P172" t="str">
        <f t="shared" si="4"/>
        <v>F</v>
      </c>
      <c r="Q172" t="str">
        <f t="shared" si="5"/>
        <v>F</v>
      </c>
    </row>
    <row r="173" spans="1:17" hidden="1" x14ac:dyDescent="0.3">
      <c r="A173">
        <v>2302</v>
      </c>
      <c r="B173">
        <v>1845</v>
      </c>
      <c r="C173">
        <v>346</v>
      </c>
      <c r="D173" t="s">
        <v>19</v>
      </c>
      <c r="E173" t="s">
        <v>20</v>
      </c>
      <c r="F173" t="s">
        <v>21</v>
      </c>
      <c r="G173" t="s">
        <v>25</v>
      </c>
      <c r="H173">
        <v>271.60000000000002</v>
      </c>
      <c r="I173">
        <v>238</v>
      </c>
      <c r="J173">
        <v>91.3</v>
      </c>
      <c r="K173">
        <v>63</v>
      </c>
      <c r="L173">
        <v>24.7</v>
      </c>
      <c r="M173">
        <v>8</v>
      </c>
      <c r="N173">
        <v>0.19869045959696099</v>
      </c>
      <c r="O173">
        <v>5.6079979602730997E-3</v>
      </c>
      <c r="P173" t="str">
        <f t="shared" si="4"/>
        <v>F</v>
      </c>
      <c r="Q173" t="str">
        <f t="shared" si="5"/>
        <v>T</v>
      </c>
    </row>
    <row r="174" spans="1:17" hidden="1" x14ac:dyDescent="0.3">
      <c r="A174">
        <v>2303</v>
      </c>
      <c r="B174">
        <v>1845</v>
      </c>
      <c r="C174">
        <v>346</v>
      </c>
      <c r="D174" t="s">
        <v>19</v>
      </c>
      <c r="E174" t="s">
        <v>20</v>
      </c>
      <c r="F174" t="s">
        <v>21</v>
      </c>
      <c r="G174" t="s">
        <v>25</v>
      </c>
      <c r="H174">
        <v>271.60000000000002</v>
      </c>
      <c r="I174">
        <v>238</v>
      </c>
      <c r="J174">
        <v>91.3</v>
      </c>
      <c r="K174">
        <v>63</v>
      </c>
      <c r="L174">
        <v>24.7</v>
      </c>
      <c r="M174">
        <v>8</v>
      </c>
      <c r="N174">
        <v>0.18630902751468101</v>
      </c>
      <c r="O174">
        <v>2.15704183945741E-2</v>
      </c>
      <c r="P174" t="str">
        <f t="shared" si="4"/>
        <v>F</v>
      </c>
      <c r="Q174" t="str">
        <f t="shared" si="5"/>
        <v>T</v>
      </c>
    </row>
    <row r="175" spans="1:17" hidden="1" x14ac:dyDescent="0.3">
      <c r="A175">
        <v>2304</v>
      </c>
      <c r="B175">
        <v>1847</v>
      </c>
      <c r="C175">
        <v>68</v>
      </c>
      <c r="D175" t="s">
        <v>19</v>
      </c>
      <c r="E175" t="s">
        <v>20</v>
      </c>
      <c r="F175" t="s">
        <v>21</v>
      </c>
      <c r="G175" t="s">
        <v>25</v>
      </c>
      <c r="H175">
        <v>275.60000000000002</v>
      </c>
      <c r="I175">
        <v>254.5</v>
      </c>
      <c r="J175">
        <v>95.5</v>
      </c>
      <c r="K175">
        <v>65.5</v>
      </c>
      <c r="L175">
        <v>29.1</v>
      </c>
      <c r="M175">
        <v>10</v>
      </c>
      <c r="N175">
        <v>0.202243258285139</v>
      </c>
      <c r="O175">
        <v>0.183149433247148</v>
      </c>
      <c r="P175" t="str">
        <f t="shared" si="4"/>
        <v>F</v>
      </c>
      <c r="Q175" t="str">
        <f t="shared" si="5"/>
        <v>F</v>
      </c>
    </row>
    <row r="176" spans="1:17" hidden="1" x14ac:dyDescent="0.3">
      <c r="A176">
        <v>2306</v>
      </c>
      <c r="B176">
        <v>1847</v>
      </c>
      <c r="C176">
        <v>68</v>
      </c>
      <c r="D176" t="s">
        <v>19</v>
      </c>
      <c r="E176" t="s">
        <v>20</v>
      </c>
      <c r="F176" t="s">
        <v>21</v>
      </c>
      <c r="G176" t="s">
        <v>25</v>
      </c>
      <c r="H176">
        <v>275.60000000000002</v>
      </c>
      <c r="I176">
        <v>254.5</v>
      </c>
      <c r="J176">
        <v>95.5</v>
      </c>
      <c r="K176">
        <v>65.5</v>
      </c>
      <c r="L176">
        <v>29.1</v>
      </c>
      <c r="M176">
        <v>10</v>
      </c>
      <c r="N176">
        <v>0.195380344842249</v>
      </c>
      <c r="O176">
        <v>0.185789696463694</v>
      </c>
      <c r="P176" t="str">
        <f t="shared" si="4"/>
        <v>F</v>
      </c>
      <c r="Q176" t="str">
        <f t="shared" si="5"/>
        <v>F</v>
      </c>
    </row>
    <row r="177" spans="1:17" hidden="1" x14ac:dyDescent="0.3">
      <c r="A177">
        <v>2307</v>
      </c>
      <c r="B177">
        <v>1847</v>
      </c>
      <c r="C177">
        <v>68</v>
      </c>
      <c r="D177" t="s">
        <v>19</v>
      </c>
      <c r="E177" t="s">
        <v>20</v>
      </c>
      <c r="F177" t="s">
        <v>21</v>
      </c>
      <c r="G177" t="s">
        <v>25</v>
      </c>
      <c r="H177">
        <v>275.60000000000002</v>
      </c>
      <c r="I177">
        <v>254.5</v>
      </c>
      <c r="J177">
        <v>95.5</v>
      </c>
      <c r="K177">
        <v>65.5</v>
      </c>
      <c r="L177">
        <v>29.1</v>
      </c>
      <c r="M177">
        <v>10</v>
      </c>
      <c r="N177">
        <v>0.20884748554333901</v>
      </c>
      <c r="O177">
        <v>0.16378999261579699</v>
      </c>
      <c r="P177" t="str">
        <f t="shared" si="4"/>
        <v>F</v>
      </c>
      <c r="Q177" t="str">
        <f t="shared" si="5"/>
        <v>F</v>
      </c>
    </row>
    <row r="178" spans="1:17" hidden="1" x14ac:dyDescent="0.3">
      <c r="A178">
        <v>2308</v>
      </c>
      <c r="B178">
        <v>1848</v>
      </c>
      <c r="C178">
        <v>320</v>
      </c>
      <c r="D178" t="s">
        <v>19</v>
      </c>
      <c r="E178" t="s">
        <v>20</v>
      </c>
      <c r="F178" t="s">
        <v>17</v>
      </c>
      <c r="G178" t="s">
        <v>22</v>
      </c>
      <c r="H178">
        <v>279</v>
      </c>
      <c r="I178">
        <v>253.5</v>
      </c>
      <c r="J178">
        <v>97.1</v>
      </c>
      <c r="K178">
        <v>64</v>
      </c>
      <c r="L178">
        <v>24</v>
      </c>
      <c r="M178">
        <v>8</v>
      </c>
      <c r="N178">
        <v>0.15968794531296601</v>
      </c>
      <c r="O178">
        <v>4.2617596883517198E-2</v>
      </c>
      <c r="P178" t="str">
        <f t="shared" si="4"/>
        <v>F</v>
      </c>
      <c r="Q178" t="str">
        <f t="shared" si="5"/>
        <v>F</v>
      </c>
    </row>
    <row r="179" spans="1:17" hidden="1" x14ac:dyDescent="0.3">
      <c r="A179">
        <v>2333</v>
      </c>
      <c r="B179">
        <v>1855</v>
      </c>
      <c r="C179">
        <v>314</v>
      </c>
      <c r="D179" t="s">
        <v>19</v>
      </c>
      <c r="E179" t="s">
        <v>20</v>
      </c>
      <c r="F179" t="s">
        <v>17</v>
      </c>
      <c r="G179" t="s">
        <v>26</v>
      </c>
      <c r="H179">
        <v>273.5</v>
      </c>
      <c r="I179">
        <v>251.5</v>
      </c>
      <c r="J179">
        <v>97.5</v>
      </c>
      <c r="K179">
        <v>65</v>
      </c>
      <c r="L179">
        <v>25.5</v>
      </c>
      <c r="M179">
        <v>13</v>
      </c>
      <c r="N179">
        <v>0.210683607971658</v>
      </c>
      <c r="O179">
        <v>9.0180104817595599E-2</v>
      </c>
      <c r="P179" t="str">
        <f t="shared" si="4"/>
        <v>F</v>
      </c>
      <c r="Q179" t="str">
        <f t="shared" si="5"/>
        <v>F</v>
      </c>
    </row>
    <row r="180" spans="1:17" hidden="1" x14ac:dyDescent="0.3">
      <c r="A180">
        <v>2334</v>
      </c>
      <c r="B180">
        <v>1855</v>
      </c>
      <c r="C180">
        <v>314</v>
      </c>
      <c r="D180" t="s">
        <v>19</v>
      </c>
      <c r="E180" t="s">
        <v>20</v>
      </c>
      <c r="F180" t="s">
        <v>17</v>
      </c>
      <c r="G180" t="s">
        <v>26</v>
      </c>
      <c r="H180">
        <v>273.5</v>
      </c>
      <c r="I180">
        <v>251.5</v>
      </c>
      <c r="J180">
        <v>97.5</v>
      </c>
      <c r="K180">
        <v>65</v>
      </c>
      <c r="L180">
        <v>25.5</v>
      </c>
      <c r="M180">
        <v>13</v>
      </c>
      <c r="N180">
        <v>0.21678492548612799</v>
      </c>
      <c r="O180">
        <v>9.1723381071539795E-2</v>
      </c>
      <c r="P180" t="str">
        <f t="shared" si="4"/>
        <v>F</v>
      </c>
      <c r="Q180" t="str">
        <f t="shared" si="5"/>
        <v>F</v>
      </c>
    </row>
    <row r="181" spans="1:17" hidden="1" x14ac:dyDescent="0.3">
      <c r="A181">
        <v>2335</v>
      </c>
      <c r="B181">
        <v>1855</v>
      </c>
      <c r="C181">
        <v>314</v>
      </c>
      <c r="D181" t="s">
        <v>19</v>
      </c>
      <c r="E181" t="s">
        <v>20</v>
      </c>
      <c r="F181" t="s">
        <v>17</v>
      </c>
      <c r="G181" t="s">
        <v>26</v>
      </c>
      <c r="H181">
        <v>273.5</v>
      </c>
      <c r="I181">
        <v>251.5</v>
      </c>
      <c r="J181">
        <v>97.5</v>
      </c>
      <c r="K181">
        <v>65</v>
      </c>
      <c r="L181">
        <v>25.5</v>
      </c>
      <c r="M181">
        <v>13</v>
      </c>
      <c r="N181">
        <v>0.24783333695097101</v>
      </c>
      <c r="O181">
        <v>7.1965432730215204E-2</v>
      </c>
      <c r="P181" t="str">
        <f t="shared" si="4"/>
        <v>F</v>
      </c>
      <c r="Q181" t="str">
        <f t="shared" si="5"/>
        <v>F</v>
      </c>
    </row>
    <row r="182" spans="1:17" hidden="1" x14ac:dyDescent="0.3">
      <c r="A182">
        <v>2336</v>
      </c>
      <c r="B182">
        <v>1855</v>
      </c>
      <c r="C182">
        <v>314</v>
      </c>
      <c r="D182" t="s">
        <v>19</v>
      </c>
      <c r="E182" t="s">
        <v>20</v>
      </c>
      <c r="F182" t="s">
        <v>17</v>
      </c>
      <c r="G182" t="s">
        <v>26</v>
      </c>
      <c r="H182">
        <v>273.5</v>
      </c>
      <c r="I182">
        <v>251.5</v>
      </c>
      <c r="J182">
        <v>97.5</v>
      </c>
      <c r="K182">
        <v>65</v>
      </c>
      <c r="L182">
        <v>25.5</v>
      </c>
      <c r="M182">
        <v>13</v>
      </c>
      <c r="N182">
        <v>0.24720491355054899</v>
      </c>
      <c r="O182">
        <v>6.9717480430296699E-2</v>
      </c>
      <c r="P182" t="str">
        <f t="shared" si="4"/>
        <v>F</v>
      </c>
      <c r="Q182" t="str">
        <f t="shared" si="5"/>
        <v>F</v>
      </c>
    </row>
    <row r="183" spans="1:17" hidden="1" x14ac:dyDescent="0.3">
      <c r="A183">
        <v>2337</v>
      </c>
      <c r="B183">
        <v>1856</v>
      </c>
      <c r="C183">
        <v>335</v>
      </c>
      <c r="D183" t="s">
        <v>19</v>
      </c>
      <c r="E183" t="s">
        <v>20</v>
      </c>
      <c r="F183" t="s">
        <v>17</v>
      </c>
      <c r="G183" t="s">
        <v>26</v>
      </c>
      <c r="H183">
        <v>278.5</v>
      </c>
      <c r="I183">
        <v>240.5</v>
      </c>
      <c r="J183">
        <v>94.4</v>
      </c>
      <c r="K183">
        <v>69</v>
      </c>
      <c r="L183">
        <v>25.8</v>
      </c>
      <c r="M183">
        <v>8.5</v>
      </c>
      <c r="N183">
        <v>3.5044379798871199E-2</v>
      </c>
      <c r="O183">
        <v>4.67046386106032E-2</v>
      </c>
      <c r="P183" t="str">
        <f t="shared" si="4"/>
        <v>T</v>
      </c>
      <c r="Q183" t="str">
        <f t="shared" si="5"/>
        <v>F</v>
      </c>
    </row>
    <row r="184" spans="1:17" x14ac:dyDescent="0.3">
      <c r="A184">
        <v>2338</v>
      </c>
      <c r="B184">
        <v>1856</v>
      </c>
      <c r="C184">
        <v>335</v>
      </c>
      <c r="D184" t="s">
        <v>19</v>
      </c>
      <c r="E184" t="s">
        <v>20</v>
      </c>
      <c r="F184" t="s">
        <v>17</v>
      </c>
      <c r="G184" t="s">
        <v>26</v>
      </c>
      <c r="H184">
        <v>278.5</v>
      </c>
      <c r="I184">
        <v>240.5</v>
      </c>
      <c r="J184">
        <v>94.4</v>
      </c>
      <c r="K184">
        <v>69</v>
      </c>
      <c r="L184">
        <v>25.8</v>
      </c>
      <c r="M184">
        <v>8.5</v>
      </c>
      <c r="N184">
        <v>4.6472175090227497E-2</v>
      </c>
      <c r="O184">
        <v>2.3551162798950202E-2</v>
      </c>
      <c r="P184" t="str">
        <f t="shared" si="4"/>
        <v>T</v>
      </c>
      <c r="Q184" t="str">
        <f t="shared" si="5"/>
        <v>T</v>
      </c>
    </row>
    <row r="185" spans="1:17" hidden="1" x14ac:dyDescent="0.3">
      <c r="A185">
        <v>2376</v>
      </c>
      <c r="B185">
        <v>1869</v>
      </c>
      <c r="C185">
        <v>314</v>
      </c>
      <c r="D185" t="s">
        <v>19</v>
      </c>
      <c r="E185" t="s">
        <v>20</v>
      </c>
      <c r="F185" t="s">
        <v>21</v>
      </c>
      <c r="G185" t="s">
        <v>24</v>
      </c>
      <c r="H185">
        <v>273.5</v>
      </c>
      <c r="I185">
        <v>251.5</v>
      </c>
      <c r="J185">
        <v>97.5</v>
      </c>
      <c r="K185">
        <v>65</v>
      </c>
      <c r="L185">
        <v>25.5</v>
      </c>
      <c r="M185">
        <v>13</v>
      </c>
      <c r="N185">
        <v>0.24303557014909399</v>
      </c>
      <c r="O185">
        <v>7.6164390030398293E-2</v>
      </c>
      <c r="P185" t="str">
        <f t="shared" si="4"/>
        <v>F</v>
      </c>
      <c r="Q185" t="str">
        <f t="shared" si="5"/>
        <v>F</v>
      </c>
    </row>
    <row r="186" spans="1:17" hidden="1" x14ac:dyDescent="0.3">
      <c r="A186">
        <v>2377</v>
      </c>
      <c r="B186">
        <v>1869</v>
      </c>
      <c r="C186">
        <v>314</v>
      </c>
      <c r="D186" t="s">
        <v>19</v>
      </c>
      <c r="E186" t="s">
        <v>20</v>
      </c>
      <c r="F186" t="s">
        <v>21</v>
      </c>
      <c r="G186" t="s">
        <v>24</v>
      </c>
      <c r="H186">
        <v>273.5</v>
      </c>
      <c r="I186">
        <v>251.5</v>
      </c>
      <c r="J186">
        <v>97.5</v>
      </c>
      <c r="K186">
        <v>65</v>
      </c>
      <c r="L186">
        <v>25.5</v>
      </c>
      <c r="M186">
        <v>13</v>
      </c>
      <c r="N186">
        <v>0.25478599906104099</v>
      </c>
      <c r="O186">
        <v>8.7649923488720097E-2</v>
      </c>
      <c r="P186" t="str">
        <f t="shared" si="4"/>
        <v>F</v>
      </c>
      <c r="Q186" t="str">
        <f t="shared" si="5"/>
        <v>F</v>
      </c>
    </row>
    <row r="187" spans="1:17" hidden="1" x14ac:dyDescent="0.3">
      <c r="A187">
        <v>2437</v>
      </c>
      <c r="B187">
        <v>1889</v>
      </c>
      <c r="C187">
        <v>320</v>
      </c>
      <c r="D187" t="s">
        <v>19</v>
      </c>
      <c r="E187" t="s">
        <v>20</v>
      </c>
      <c r="F187" t="s">
        <v>21</v>
      </c>
      <c r="G187" t="s">
        <v>24</v>
      </c>
      <c r="H187">
        <v>279</v>
      </c>
      <c r="I187">
        <v>253.5</v>
      </c>
      <c r="J187">
        <v>97.1</v>
      </c>
      <c r="K187">
        <v>64</v>
      </c>
      <c r="L187">
        <v>24</v>
      </c>
      <c r="M187">
        <v>8</v>
      </c>
      <c r="N187">
        <v>0.17513159367155101</v>
      </c>
      <c r="O187">
        <v>4.5775778488108099E-2</v>
      </c>
      <c r="P187" t="str">
        <f t="shared" si="4"/>
        <v>F</v>
      </c>
      <c r="Q187" t="str">
        <f t="shared" si="5"/>
        <v>F</v>
      </c>
    </row>
    <row r="188" spans="1:17" hidden="1" x14ac:dyDescent="0.3">
      <c r="A188">
        <v>2438</v>
      </c>
      <c r="B188">
        <v>1889</v>
      </c>
      <c r="C188">
        <v>320</v>
      </c>
      <c r="D188" t="s">
        <v>19</v>
      </c>
      <c r="E188" t="s">
        <v>20</v>
      </c>
      <c r="F188" t="s">
        <v>21</v>
      </c>
      <c r="G188" t="s">
        <v>24</v>
      </c>
      <c r="H188">
        <v>279</v>
      </c>
      <c r="I188">
        <v>253.5</v>
      </c>
      <c r="J188">
        <v>97.1</v>
      </c>
      <c r="K188">
        <v>64</v>
      </c>
      <c r="L188">
        <v>24</v>
      </c>
      <c r="M188">
        <v>8</v>
      </c>
      <c r="N188">
        <v>0.14592958773519299</v>
      </c>
      <c r="O188">
        <v>2.65768690899017E-2</v>
      </c>
      <c r="P188" t="str">
        <f t="shared" si="4"/>
        <v>F</v>
      </c>
      <c r="Q188" t="str">
        <f t="shared" si="5"/>
        <v>T</v>
      </c>
    </row>
    <row r="189" spans="1:17" hidden="1" x14ac:dyDescent="0.3">
      <c r="A189">
        <v>2439</v>
      </c>
      <c r="B189">
        <v>1889</v>
      </c>
      <c r="C189">
        <v>320</v>
      </c>
      <c r="D189" t="s">
        <v>19</v>
      </c>
      <c r="E189" t="s">
        <v>20</v>
      </c>
      <c r="F189" t="s">
        <v>21</v>
      </c>
      <c r="G189" t="s">
        <v>24</v>
      </c>
      <c r="H189">
        <v>279</v>
      </c>
      <c r="I189">
        <v>253.5</v>
      </c>
      <c r="J189">
        <v>97.1</v>
      </c>
      <c r="K189">
        <v>64</v>
      </c>
      <c r="L189">
        <v>24</v>
      </c>
      <c r="M189">
        <v>8</v>
      </c>
      <c r="N189">
        <v>0.15491657331016501</v>
      </c>
      <c r="O189">
        <v>3.1183792615715401E-2</v>
      </c>
      <c r="P189" t="str">
        <f t="shared" si="4"/>
        <v>F</v>
      </c>
      <c r="Q189" t="str">
        <f t="shared" si="5"/>
        <v>F</v>
      </c>
    </row>
    <row r="190" spans="1:17" hidden="1" x14ac:dyDescent="0.3">
      <c r="A190">
        <v>2440</v>
      </c>
      <c r="B190">
        <v>189</v>
      </c>
      <c r="C190">
        <v>298</v>
      </c>
      <c r="D190" t="s">
        <v>19</v>
      </c>
      <c r="E190" t="s">
        <v>20</v>
      </c>
      <c r="F190" t="s">
        <v>17</v>
      </c>
      <c r="G190" t="s">
        <v>26</v>
      </c>
      <c r="H190">
        <v>275.60000000000002</v>
      </c>
      <c r="I190">
        <v>251</v>
      </c>
      <c r="J190">
        <v>95.1</v>
      </c>
      <c r="K190">
        <v>66.5</v>
      </c>
      <c r="L190">
        <v>25.3</v>
      </c>
      <c r="M190">
        <v>10.5</v>
      </c>
      <c r="N190">
        <v>0.29697834990375499</v>
      </c>
      <c r="O190">
        <v>7.2443817375381303E-2</v>
      </c>
      <c r="P190" t="str">
        <f t="shared" si="4"/>
        <v>F</v>
      </c>
      <c r="Q190" t="str">
        <f t="shared" si="5"/>
        <v>F</v>
      </c>
    </row>
    <row r="191" spans="1:17" hidden="1" x14ac:dyDescent="0.3">
      <c r="A191">
        <v>2471</v>
      </c>
      <c r="B191">
        <v>1899</v>
      </c>
      <c r="C191">
        <v>68</v>
      </c>
      <c r="D191" t="s">
        <v>19</v>
      </c>
      <c r="E191" t="s">
        <v>20</v>
      </c>
      <c r="F191" t="s">
        <v>17</v>
      </c>
      <c r="G191" t="s">
        <v>18</v>
      </c>
      <c r="H191">
        <v>275.60000000000002</v>
      </c>
      <c r="I191">
        <v>254.5</v>
      </c>
      <c r="J191">
        <v>95.5</v>
      </c>
      <c r="K191">
        <v>65.5</v>
      </c>
      <c r="L191">
        <v>29.1</v>
      </c>
      <c r="M191">
        <v>10</v>
      </c>
      <c r="N191">
        <v>0.22242869350931299</v>
      </c>
      <c r="O191">
        <v>0.17688642222260401</v>
      </c>
      <c r="P191" t="str">
        <f t="shared" si="4"/>
        <v>F</v>
      </c>
      <c r="Q191" t="str">
        <f t="shared" si="5"/>
        <v>F</v>
      </c>
    </row>
    <row r="192" spans="1:17" hidden="1" x14ac:dyDescent="0.3">
      <c r="A192">
        <v>2490</v>
      </c>
      <c r="B192">
        <v>1904</v>
      </c>
      <c r="C192">
        <v>269</v>
      </c>
      <c r="D192" t="s">
        <v>19</v>
      </c>
      <c r="E192" t="s">
        <v>20</v>
      </c>
      <c r="F192" t="s">
        <v>17</v>
      </c>
      <c r="G192" t="s">
        <v>24</v>
      </c>
      <c r="H192">
        <v>273.8</v>
      </c>
      <c r="I192">
        <v>243</v>
      </c>
      <c r="J192">
        <v>91.5</v>
      </c>
      <c r="K192">
        <v>66</v>
      </c>
      <c r="L192">
        <v>24.8</v>
      </c>
      <c r="M192">
        <v>8.5</v>
      </c>
      <c r="N192">
        <v>6.3076322496874504E-2</v>
      </c>
      <c r="O192">
        <v>0.12888555245215999</v>
      </c>
      <c r="P192" t="str">
        <f t="shared" si="4"/>
        <v>T</v>
      </c>
      <c r="Q192" t="str">
        <f t="shared" si="5"/>
        <v>F</v>
      </c>
    </row>
    <row r="193" spans="1:17" hidden="1" x14ac:dyDescent="0.3">
      <c r="A193">
        <v>2491</v>
      </c>
      <c r="B193">
        <v>1904</v>
      </c>
      <c r="C193">
        <v>269</v>
      </c>
      <c r="D193" t="s">
        <v>19</v>
      </c>
      <c r="E193" t="s">
        <v>20</v>
      </c>
      <c r="F193" t="s">
        <v>17</v>
      </c>
      <c r="G193" t="s">
        <v>24</v>
      </c>
      <c r="H193">
        <v>273.8</v>
      </c>
      <c r="I193">
        <v>243</v>
      </c>
      <c r="J193">
        <v>91.5</v>
      </c>
      <c r="K193">
        <v>66</v>
      </c>
      <c r="L193">
        <v>24.8</v>
      </c>
      <c r="M193">
        <v>8.5</v>
      </c>
      <c r="N193">
        <v>7.5201012609107706E-2</v>
      </c>
      <c r="O193">
        <v>0.112135997177213</v>
      </c>
      <c r="P193" t="str">
        <f t="shared" si="4"/>
        <v>F</v>
      </c>
      <c r="Q193" t="str">
        <f t="shared" si="5"/>
        <v>F</v>
      </c>
    </row>
    <row r="194" spans="1:17" hidden="1" x14ac:dyDescent="0.3">
      <c r="A194">
        <v>2492</v>
      </c>
      <c r="B194">
        <v>1904</v>
      </c>
      <c r="C194">
        <v>269</v>
      </c>
      <c r="D194" t="s">
        <v>19</v>
      </c>
      <c r="E194" t="s">
        <v>20</v>
      </c>
      <c r="F194" t="s">
        <v>17</v>
      </c>
      <c r="G194" t="s">
        <v>24</v>
      </c>
      <c r="H194">
        <v>273.8</v>
      </c>
      <c r="I194">
        <v>243</v>
      </c>
      <c r="J194">
        <v>91.5</v>
      </c>
      <c r="K194">
        <v>66</v>
      </c>
      <c r="L194">
        <v>24.8</v>
      </c>
      <c r="M194">
        <v>8.5</v>
      </c>
      <c r="N194">
        <v>8.9089754574797106E-2</v>
      </c>
      <c r="O194">
        <v>0.11391309329490699</v>
      </c>
      <c r="P194" t="str">
        <f t="shared" si="4"/>
        <v>F</v>
      </c>
      <c r="Q194" t="str">
        <f t="shared" si="5"/>
        <v>F</v>
      </c>
    </row>
    <row r="195" spans="1:17" hidden="1" x14ac:dyDescent="0.3">
      <c r="A195">
        <v>2493</v>
      </c>
      <c r="B195">
        <v>1904</v>
      </c>
      <c r="C195">
        <v>269</v>
      </c>
      <c r="D195" t="s">
        <v>19</v>
      </c>
      <c r="E195" t="s">
        <v>20</v>
      </c>
      <c r="F195" t="s">
        <v>17</v>
      </c>
      <c r="G195" t="s">
        <v>24</v>
      </c>
      <c r="H195">
        <v>273.8</v>
      </c>
      <c r="I195">
        <v>243</v>
      </c>
      <c r="J195">
        <v>91.5</v>
      </c>
      <c r="K195">
        <v>66</v>
      </c>
      <c r="L195">
        <v>24.8</v>
      </c>
      <c r="M195">
        <v>8.5</v>
      </c>
      <c r="N195">
        <v>8.3876636671691596E-2</v>
      </c>
      <c r="O195">
        <v>0.11404857360774601</v>
      </c>
      <c r="P195" t="str">
        <f t="shared" ref="P195:P258" si="6">IF(N195&lt;0.06641, "T", "F")</f>
        <v>F</v>
      </c>
      <c r="Q195" t="str">
        <f t="shared" ref="Q195:Q258" si="7">IF(O195&lt;0.027899, "T", "F")</f>
        <v>F</v>
      </c>
    </row>
    <row r="196" spans="1:17" hidden="1" x14ac:dyDescent="0.3">
      <c r="A196">
        <v>2494</v>
      </c>
      <c r="B196">
        <v>1904</v>
      </c>
      <c r="C196">
        <v>269</v>
      </c>
      <c r="D196" t="s">
        <v>19</v>
      </c>
      <c r="E196" t="s">
        <v>20</v>
      </c>
      <c r="F196" t="s">
        <v>17</v>
      </c>
      <c r="G196" t="s">
        <v>24</v>
      </c>
      <c r="H196">
        <v>273.8</v>
      </c>
      <c r="I196">
        <v>243</v>
      </c>
      <c r="J196">
        <v>91.5</v>
      </c>
      <c r="K196">
        <v>66</v>
      </c>
      <c r="L196">
        <v>24.8</v>
      </c>
      <c r="M196">
        <v>8.5</v>
      </c>
      <c r="N196">
        <v>7.4936374503696807E-2</v>
      </c>
      <c r="O196">
        <v>0.13087154747551599</v>
      </c>
      <c r="P196" t="str">
        <f t="shared" si="6"/>
        <v>F</v>
      </c>
      <c r="Q196" t="str">
        <f t="shared" si="7"/>
        <v>F</v>
      </c>
    </row>
    <row r="197" spans="1:17" hidden="1" x14ac:dyDescent="0.3">
      <c r="A197">
        <v>2495</v>
      </c>
      <c r="B197">
        <v>1904</v>
      </c>
      <c r="C197">
        <v>269</v>
      </c>
      <c r="D197" t="s">
        <v>19</v>
      </c>
      <c r="E197" t="s">
        <v>20</v>
      </c>
      <c r="F197" t="s">
        <v>17</v>
      </c>
      <c r="G197" t="s">
        <v>24</v>
      </c>
      <c r="H197">
        <v>273.8</v>
      </c>
      <c r="I197">
        <v>243</v>
      </c>
      <c r="J197">
        <v>91.5</v>
      </c>
      <c r="K197">
        <v>66</v>
      </c>
      <c r="L197">
        <v>24.8</v>
      </c>
      <c r="M197">
        <v>8.5</v>
      </c>
      <c r="N197">
        <v>7.6709797881503394E-2</v>
      </c>
      <c r="O197">
        <v>0.11961355995978901</v>
      </c>
      <c r="P197" t="str">
        <f t="shared" si="6"/>
        <v>F</v>
      </c>
      <c r="Q197" t="str">
        <f t="shared" si="7"/>
        <v>F</v>
      </c>
    </row>
    <row r="198" spans="1:17" hidden="1" x14ac:dyDescent="0.3">
      <c r="A198">
        <v>2533</v>
      </c>
      <c r="B198">
        <v>1917</v>
      </c>
      <c r="C198">
        <v>149</v>
      </c>
      <c r="D198" t="s">
        <v>19</v>
      </c>
      <c r="E198" t="s">
        <v>20</v>
      </c>
      <c r="F198" t="s">
        <v>17</v>
      </c>
      <c r="G198" t="s">
        <v>26</v>
      </c>
      <c r="H198">
        <v>275.8</v>
      </c>
      <c r="I198">
        <v>245.5</v>
      </c>
      <c r="J198">
        <v>93.1</v>
      </c>
      <c r="K198">
        <v>67</v>
      </c>
      <c r="L198">
        <v>28.1</v>
      </c>
      <c r="M198">
        <v>7</v>
      </c>
      <c r="N198">
        <v>0.147377222957179</v>
      </c>
      <c r="O198">
        <v>9.8504339486082004E-2</v>
      </c>
      <c r="P198" t="str">
        <f t="shared" si="6"/>
        <v>F</v>
      </c>
      <c r="Q198" t="str">
        <f t="shared" si="7"/>
        <v>F</v>
      </c>
    </row>
    <row r="199" spans="1:17" hidden="1" x14ac:dyDescent="0.3">
      <c r="A199">
        <v>2534</v>
      </c>
      <c r="B199">
        <v>1917</v>
      </c>
      <c r="C199">
        <v>149</v>
      </c>
      <c r="D199" t="s">
        <v>19</v>
      </c>
      <c r="E199" t="s">
        <v>20</v>
      </c>
      <c r="F199" t="s">
        <v>17</v>
      </c>
      <c r="G199" t="s">
        <v>26</v>
      </c>
      <c r="H199">
        <v>275.8</v>
      </c>
      <c r="I199">
        <v>245.5</v>
      </c>
      <c r="J199">
        <v>93.1</v>
      </c>
      <c r="K199">
        <v>67</v>
      </c>
      <c r="L199">
        <v>28.1</v>
      </c>
      <c r="M199">
        <v>7</v>
      </c>
      <c r="N199">
        <v>0.167825379798788</v>
      </c>
      <c r="O199">
        <v>0.109943261162813</v>
      </c>
      <c r="P199" t="str">
        <f t="shared" si="6"/>
        <v>F</v>
      </c>
      <c r="Q199" t="str">
        <f t="shared" si="7"/>
        <v>F</v>
      </c>
    </row>
    <row r="200" spans="1:17" hidden="1" x14ac:dyDescent="0.3">
      <c r="A200">
        <v>2535</v>
      </c>
      <c r="B200">
        <v>1917</v>
      </c>
      <c r="C200">
        <v>149</v>
      </c>
      <c r="D200" t="s">
        <v>19</v>
      </c>
      <c r="E200" t="s">
        <v>20</v>
      </c>
      <c r="F200" t="s">
        <v>17</v>
      </c>
      <c r="G200" t="s">
        <v>26</v>
      </c>
      <c r="H200">
        <v>275.8</v>
      </c>
      <c r="I200">
        <v>245.5</v>
      </c>
      <c r="J200">
        <v>93.1</v>
      </c>
      <c r="K200">
        <v>67</v>
      </c>
      <c r="L200">
        <v>28.1</v>
      </c>
      <c r="M200">
        <v>7</v>
      </c>
      <c r="N200">
        <v>0.15656288680737299</v>
      </c>
      <c r="O200">
        <v>7.8095566922262299E-2</v>
      </c>
      <c r="P200" t="str">
        <f t="shared" si="6"/>
        <v>F</v>
      </c>
      <c r="Q200" t="str">
        <f t="shared" si="7"/>
        <v>F</v>
      </c>
    </row>
    <row r="201" spans="1:17" hidden="1" x14ac:dyDescent="0.3">
      <c r="A201">
        <v>2536</v>
      </c>
      <c r="B201">
        <v>1917</v>
      </c>
      <c r="C201">
        <v>149</v>
      </c>
      <c r="D201" t="s">
        <v>19</v>
      </c>
      <c r="E201" t="s">
        <v>20</v>
      </c>
      <c r="F201" t="s">
        <v>17</v>
      </c>
      <c r="G201" t="s">
        <v>26</v>
      </c>
      <c r="H201">
        <v>275.8</v>
      </c>
      <c r="I201">
        <v>245.5</v>
      </c>
      <c r="J201">
        <v>93.1</v>
      </c>
      <c r="K201">
        <v>67</v>
      </c>
      <c r="L201">
        <v>28.1</v>
      </c>
      <c r="M201">
        <v>7</v>
      </c>
      <c r="N201">
        <v>0.155525408677157</v>
      </c>
      <c r="O201">
        <v>0.107486676313417</v>
      </c>
      <c r="P201" t="str">
        <f t="shared" si="6"/>
        <v>F</v>
      </c>
      <c r="Q201" t="str">
        <f t="shared" si="7"/>
        <v>F</v>
      </c>
    </row>
    <row r="202" spans="1:17" hidden="1" x14ac:dyDescent="0.3">
      <c r="A202">
        <v>2692</v>
      </c>
      <c r="B202">
        <v>1978</v>
      </c>
      <c r="C202">
        <v>298</v>
      </c>
      <c r="D202" t="s">
        <v>19</v>
      </c>
      <c r="E202" t="s">
        <v>20</v>
      </c>
      <c r="F202" t="s">
        <v>17</v>
      </c>
      <c r="G202" t="s">
        <v>26</v>
      </c>
      <c r="H202">
        <v>275.60000000000002</v>
      </c>
      <c r="I202">
        <v>251</v>
      </c>
      <c r="J202">
        <v>95.1</v>
      </c>
      <c r="K202">
        <v>66.5</v>
      </c>
      <c r="L202">
        <v>25.3</v>
      </c>
      <c r="M202">
        <v>10.5</v>
      </c>
      <c r="N202">
        <v>0.29201374659317098</v>
      </c>
      <c r="O202">
        <v>7.0658239535374104E-2</v>
      </c>
      <c r="P202" t="str">
        <f t="shared" si="6"/>
        <v>F</v>
      </c>
      <c r="Q202" t="str">
        <f t="shared" si="7"/>
        <v>F</v>
      </c>
    </row>
    <row r="203" spans="1:17" hidden="1" x14ac:dyDescent="0.3">
      <c r="A203">
        <v>2699</v>
      </c>
      <c r="B203">
        <v>1980</v>
      </c>
      <c r="C203">
        <v>366</v>
      </c>
      <c r="D203" t="s">
        <v>19</v>
      </c>
      <c r="E203" t="s">
        <v>20</v>
      </c>
      <c r="F203" t="s">
        <v>21</v>
      </c>
      <c r="G203" t="s">
        <v>26</v>
      </c>
      <c r="H203">
        <v>275.89999999999998</v>
      </c>
      <c r="I203">
        <v>255</v>
      </c>
      <c r="J203">
        <v>94.9</v>
      </c>
      <c r="K203">
        <v>64</v>
      </c>
      <c r="L203">
        <v>26.8</v>
      </c>
      <c r="M203">
        <v>17</v>
      </c>
      <c r="N203">
        <v>0.17924312794292999</v>
      </c>
      <c r="O203">
        <v>0.138422358035548</v>
      </c>
      <c r="P203" t="str">
        <f t="shared" si="6"/>
        <v>F</v>
      </c>
      <c r="Q203" t="str">
        <f t="shared" si="7"/>
        <v>F</v>
      </c>
    </row>
    <row r="204" spans="1:17" hidden="1" x14ac:dyDescent="0.3">
      <c r="A204">
        <v>2700</v>
      </c>
      <c r="B204">
        <v>1980</v>
      </c>
      <c r="C204">
        <v>366</v>
      </c>
      <c r="D204" t="s">
        <v>19</v>
      </c>
      <c r="E204" t="s">
        <v>20</v>
      </c>
      <c r="F204" t="s">
        <v>21</v>
      </c>
      <c r="G204" t="s">
        <v>26</v>
      </c>
      <c r="H204">
        <v>275.89999999999998</v>
      </c>
      <c r="I204">
        <v>255</v>
      </c>
      <c r="J204">
        <v>94.9</v>
      </c>
      <c r="K204">
        <v>64</v>
      </c>
      <c r="L204">
        <v>26.8</v>
      </c>
      <c r="M204">
        <v>17</v>
      </c>
      <c r="N204">
        <v>0.173058469421637</v>
      </c>
      <c r="O204">
        <v>0.142912905195759</v>
      </c>
      <c r="P204" t="str">
        <f t="shared" si="6"/>
        <v>F</v>
      </c>
      <c r="Q204" t="str">
        <f t="shared" si="7"/>
        <v>F</v>
      </c>
    </row>
    <row r="205" spans="1:17" hidden="1" x14ac:dyDescent="0.3">
      <c r="A205">
        <v>2701</v>
      </c>
      <c r="B205">
        <v>1980</v>
      </c>
      <c r="C205">
        <v>366</v>
      </c>
      <c r="D205" t="s">
        <v>19</v>
      </c>
      <c r="E205" t="s">
        <v>20</v>
      </c>
      <c r="F205" t="s">
        <v>21</v>
      </c>
      <c r="G205" t="s">
        <v>26</v>
      </c>
      <c r="H205">
        <v>275.89999999999998</v>
      </c>
      <c r="I205">
        <v>255</v>
      </c>
      <c r="J205">
        <v>94.9</v>
      </c>
      <c r="K205">
        <v>64</v>
      </c>
      <c r="L205">
        <v>26.8</v>
      </c>
      <c r="M205">
        <v>17</v>
      </c>
      <c r="N205">
        <v>0.15854728601120799</v>
      </c>
      <c r="O205">
        <v>0.17155454456670299</v>
      </c>
      <c r="P205" t="str">
        <f t="shared" si="6"/>
        <v>F</v>
      </c>
      <c r="Q205" t="str">
        <f t="shared" si="7"/>
        <v>F</v>
      </c>
    </row>
    <row r="206" spans="1:17" hidden="1" x14ac:dyDescent="0.3">
      <c r="A206">
        <v>2711</v>
      </c>
      <c r="B206">
        <v>1984</v>
      </c>
      <c r="C206">
        <v>102</v>
      </c>
      <c r="D206" t="s">
        <v>19</v>
      </c>
      <c r="E206" t="s">
        <v>20</v>
      </c>
      <c r="F206" t="s">
        <v>21</v>
      </c>
      <c r="G206" t="s">
        <v>26</v>
      </c>
      <c r="H206">
        <v>273.60000000000002</v>
      </c>
      <c r="I206">
        <v>246</v>
      </c>
      <c r="J206">
        <v>93.6</v>
      </c>
      <c r="K206">
        <v>64.5</v>
      </c>
      <c r="L206">
        <v>25.6</v>
      </c>
      <c r="M206">
        <v>1.5</v>
      </c>
      <c r="N206">
        <v>0.174084037965339</v>
      </c>
      <c r="O206">
        <v>0.17953263972258501</v>
      </c>
      <c r="P206" t="str">
        <f t="shared" si="6"/>
        <v>F</v>
      </c>
      <c r="Q206" t="str">
        <f t="shared" si="7"/>
        <v>F</v>
      </c>
    </row>
    <row r="207" spans="1:17" hidden="1" x14ac:dyDescent="0.3">
      <c r="A207">
        <v>2751</v>
      </c>
      <c r="B207">
        <v>1999</v>
      </c>
      <c r="C207">
        <v>367</v>
      </c>
      <c r="D207" t="s">
        <v>19</v>
      </c>
      <c r="E207" t="s">
        <v>20</v>
      </c>
      <c r="F207" t="s">
        <v>17</v>
      </c>
      <c r="G207" t="s">
        <v>25</v>
      </c>
      <c r="H207">
        <v>272.10000000000002</v>
      </c>
      <c r="I207">
        <v>232</v>
      </c>
      <c r="J207">
        <v>91</v>
      </c>
      <c r="K207">
        <v>65.5</v>
      </c>
      <c r="L207">
        <v>23.9</v>
      </c>
      <c r="M207">
        <v>7.5</v>
      </c>
      <c r="N207">
        <v>0.12614427712297799</v>
      </c>
      <c r="O207">
        <v>0.116962619057385</v>
      </c>
      <c r="P207" t="str">
        <f t="shared" si="6"/>
        <v>F</v>
      </c>
      <c r="Q207" t="str">
        <f t="shared" si="7"/>
        <v>F</v>
      </c>
    </row>
    <row r="208" spans="1:17" hidden="1" x14ac:dyDescent="0.3">
      <c r="A208">
        <v>2752</v>
      </c>
      <c r="B208">
        <v>1999</v>
      </c>
      <c r="C208">
        <v>367</v>
      </c>
      <c r="D208" t="s">
        <v>19</v>
      </c>
      <c r="E208" t="s">
        <v>20</v>
      </c>
      <c r="F208" t="s">
        <v>17</v>
      </c>
      <c r="G208" t="s">
        <v>25</v>
      </c>
      <c r="H208">
        <v>272.10000000000002</v>
      </c>
      <c r="I208">
        <v>232</v>
      </c>
      <c r="J208">
        <v>91</v>
      </c>
      <c r="K208">
        <v>65.5</v>
      </c>
      <c r="L208">
        <v>23.9</v>
      </c>
      <c r="M208">
        <v>7.5</v>
      </c>
      <c r="N208">
        <v>0.14288677765039701</v>
      </c>
      <c r="O208">
        <v>7.9983440309170498E-2</v>
      </c>
      <c r="P208" t="str">
        <f t="shared" si="6"/>
        <v>F</v>
      </c>
      <c r="Q208" t="str">
        <f t="shared" si="7"/>
        <v>F</v>
      </c>
    </row>
    <row r="209" spans="1:17" hidden="1" x14ac:dyDescent="0.3">
      <c r="A209">
        <v>2753</v>
      </c>
      <c r="B209">
        <v>1999</v>
      </c>
      <c r="C209">
        <v>367</v>
      </c>
      <c r="D209" t="s">
        <v>19</v>
      </c>
      <c r="E209" t="s">
        <v>20</v>
      </c>
      <c r="F209" t="s">
        <v>17</v>
      </c>
      <c r="G209" t="s">
        <v>25</v>
      </c>
      <c r="H209">
        <v>272.10000000000002</v>
      </c>
      <c r="I209">
        <v>232</v>
      </c>
      <c r="J209">
        <v>91</v>
      </c>
      <c r="K209">
        <v>65.5</v>
      </c>
      <c r="L209">
        <v>23.9</v>
      </c>
      <c r="M209">
        <v>7.5</v>
      </c>
      <c r="N209">
        <v>0.130254310747314</v>
      </c>
      <c r="O209">
        <v>0.102868467437479</v>
      </c>
      <c r="P209" t="str">
        <f t="shared" si="6"/>
        <v>F</v>
      </c>
      <c r="Q209" t="str">
        <f t="shared" si="7"/>
        <v>F</v>
      </c>
    </row>
    <row r="210" spans="1:17" hidden="1" x14ac:dyDescent="0.3">
      <c r="A210">
        <v>2754</v>
      </c>
      <c r="B210">
        <v>1999</v>
      </c>
      <c r="C210">
        <v>367</v>
      </c>
      <c r="D210" t="s">
        <v>19</v>
      </c>
      <c r="E210" t="s">
        <v>20</v>
      </c>
      <c r="F210" t="s">
        <v>17</v>
      </c>
      <c r="G210" t="s">
        <v>25</v>
      </c>
      <c r="H210">
        <v>272.10000000000002</v>
      </c>
      <c r="I210">
        <v>232</v>
      </c>
      <c r="J210">
        <v>91</v>
      </c>
      <c r="K210">
        <v>65.5</v>
      </c>
      <c r="L210">
        <v>23.9</v>
      </c>
      <c r="M210">
        <v>7.5</v>
      </c>
      <c r="N210">
        <v>0.12845039993408999</v>
      </c>
      <c r="O210">
        <v>9.1344194882176905E-2</v>
      </c>
      <c r="P210" t="str">
        <f t="shared" si="6"/>
        <v>F</v>
      </c>
      <c r="Q210" t="str">
        <f t="shared" si="7"/>
        <v>F</v>
      </c>
    </row>
    <row r="211" spans="1:17" hidden="1" x14ac:dyDescent="0.3">
      <c r="A211">
        <v>2760</v>
      </c>
      <c r="B211">
        <v>20</v>
      </c>
      <c r="C211">
        <v>149</v>
      </c>
      <c r="D211" t="s">
        <v>19</v>
      </c>
      <c r="E211" t="s">
        <v>20</v>
      </c>
      <c r="F211" t="s">
        <v>21</v>
      </c>
      <c r="G211" t="s">
        <v>25</v>
      </c>
      <c r="H211">
        <v>275.8</v>
      </c>
      <c r="I211">
        <v>245.5</v>
      </c>
      <c r="J211">
        <v>93.1</v>
      </c>
      <c r="K211">
        <v>67</v>
      </c>
      <c r="L211">
        <v>28.1</v>
      </c>
      <c r="M211">
        <v>7</v>
      </c>
      <c r="N211">
        <v>0.14698031084927099</v>
      </c>
      <c r="O211">
        <v>7.9550840107745699E-2</v>
      </c>
      <c r="P211" t="str">
        <f t="shared" si="6"/>
        <v>F</v>
      </c>
      <c r="Q211" t="str">
        <f t="shared" si="7"/>
        <v>F</v>
      </c>
    </row>
    <row r="212" spans="1:17" hidden="1" x14ac:dyDescent="0.3">
      <c r="A212">
        <v>2779</v>
      </c>
      <c r="B212">
        <v>2006</v>
      </c>
      <c r="C212">
        <v>443</v>
      </c>
      <c r="D212" t="s">
        <v>19</v>
      </c>
      <c r="E212" t="s">
        <v>20</v>
      </c>
      <c r="F212" t="s">
        <v>17</v>
      </c>
      <c r="G212" t="s">
        <v>22</v>
      </c>
      <c r="H212">
        <v>272.5</v>
      </c>
      <c r="I212">
        <v>239.5</v>
      </c>
      <c r="J212">
        <v>96</v>
      </c>
      <c r="K212">
        <v>64.5</v>
      </c>
      <c r="L212">
        <v>20.399999999999999</v>
      </c>
      <c r="M212">
        <v>10</v>
      </c>
      <c r="N212">
        <v>0.23522344231202499</v>
      </c>
      <c r="O212">
        <v>5.1591546303186901E-2</v>
      </c>
      <c r="P212" t="str">
        <f t="shared" si="6"/>
        <v>F</v>
      </c>
      <c r="Q212" t="str">
        <f t="shared" si="7"/>
        <v>F</v>
      </c>
    </row>
    <row r="213" spans="1:17" hidden="1" x14ac:dyDescent="0.3">
      <c r="A213">
        <v>2780</v>
      </c>
      <c r="B213">
        <v>2006</v>
      </c>
      <c r="C213">
        <v>443</v>
      </c>
      <c r="D213" t="s">
        <v>19</v>
      </c>
      <c r="E213" t="s">
        <v>20</v>
      </c>
      <c r="F213" t="s">
        <v>17</v>
      </c>
      <c r="G213" t="s">
        <v>22</v>
      </c>
      <c r="H213">
        <v>272.5</v>
      </c>
      <c r="I213">
        <v>239.5</v>
      </c>
      <c r="J213">
        <v>96</v>
      </c>
      <c r="K213">
        <v>64.5</v>
      </c>
      <c r="L213">
        <v>20.399999999999999</v>
      </c>
      <c r="M213">
        <v>10</v>
      </c>
      <c r="N213">
        <v>0.24122194221874299</v>
      </c>
      <c r="O213">
        <v>5.0595349559916701E-2</v>
      </c>
      <c r="P213" t="str">
        <f t="shared" si="6"/>
        <v>F</v>
      </c>
      <c r="Q213" t="str">
        <f t="shared" si="7"/>
        <v>F</v>
      </c>
    </row>
    <row r="214" spans="1:17" hidden="1" x14ac:dyDescent="0.3">
      <c r="A214">
        <v>2862</v>
      </c>
      <c r="B214">
        <v>2034</v>
      </c>
      <c r="C214">
        <v>400</v>
      </c>
      <c r="D214" t="s">
        <v>19</v>
      </c>
      <c r="E214" t="s">
        <v>20</v>
      </c>
      <c r="F214" t="s">
        <v>21</v>
      </c>
      <c r="G214" t="s">
        <v>26</v>
      </c>
      <c r="H214">
        <v>274.10000000000002</v>
      </c>
      <c r="I214">
        <v>253</v>
      </c>
      <c r="J214">
        <v>96.6</v>
      </c>
      <c r="K214">
        <v>66.5</v>
      </c>
      <c r="L214">
        <v>25.5</v>
      </c>
      <c r="M214">
        <v>12</v>
      </c>
      <c r="N214">
        <v>6.7598051273732696E-2</v>
      </c>
      <c r="O214">
        <v>8.82743830360503E-2</v>
      </c>
      <c r="P214" t="str">
        <f t="shared" si="6"/>
        <v>F</v>
      </c>
      <c r="Q214" t="str">
        <f t="shared" si="7"/>
        <v>F</v>
      </c>
    </row>
    <row r="215" spans="1:17" hidden="1" x14ac:dyDescent="0.3">
      <c r="A215">
        <v>2863</v>
      </c>
      <c r="B215">
        <v>2034</v>
      </c>
      <c r="C215">
        <v>400</v>
      </c>
      <c r="D215" t="s">
        <v>19</v>
      </c>
      <c r="E215" t="s">
        <v>20</v>
      </c>
      <c r="F215" t="s">
        <v>21</v>
      </c>
      <c r="G215" t="s">
        <v>26</v>
      </c>
      <c r="H215">
        <v>274.10000000000002</v>
      </c>
      <c r="I215">
        <v>253</v>
      </c>
      <c r="J215">
        <v>96.6</v>
      </c>
      <c r="K215">
        <v>66.5</v>
      </c>
      <c r="L215">
        <v>25.5</v>
      </c>
      <c r="M215">
        <v>12</v>
      </c>
      <c r="N215">
        <v>6.4403861507895094E-2</v>
      </c>
      <c r="O215">
        <v>8.7876249673638496E-2</v>
      </c>
      <c r="P215" t="str">
        <f t="shared" si="6"/>
        <v>T</v>
      </c>
      <c r="Q215" t="str">
        <f t="shared" si="7"/>
        <v>F</v>
      </c>
    </row>
    <row r="216" spans="1:17" hidden="1" x14ac:dyDescent="0.3">
      <c r="A216">
        <v>2864</v>
      </c>
      <c r="B216">
        <v>2034</v>
      </c>
      <c r="C216">
        <v>400</v>
      </c>
      <c r="D216" t="s">
        <v>19</v>
      </c>
      <c r="E216" t="s">
        <v>20</v>
      </c>
      <c r="F216" t="s">
        <v>21</v>
      </c>
      <c r="G216" t="s">
        <v>26</v>
      </c>
      <c r="H216">
        <v>274.10000000000002</v>
      </c>
      <c r="I216">
        <v>253</v>
      </c>
      <c r="J216">
        <v>96.6</v>
      </c>
      <c r="K216">
        <v>66.5</v>
      </c>
      <c r="L216">
        <v>25.5</v>
      </c>
      <c r="M216">
        <v>12</v>
      </c>
      <c r="N216">
        <v>6.1438487449242497E-2</v>
      </c>
      <c r="O216">
        <v>9.8832216708343495E-2</v>
      </c>
      <c r="P216" t="str">
        <f t="shared" si="6"/>
        <v>T</v>
      </c>
      <c r="Q216" t="str">
        <f t="shared" si="7"/>
        <v>F</v>
      </c>
    </row>
    <row r="217" spans="1:17" hidden="1" x14ac:dyDescent="0.3">
      <c r="A217">
        <v>2865</v>
      </c>
      <c r="B217">
        <v>2034</v>
      </c>
      <c r="C217">
        <v>400</v>
      </c>
      <c r="D217" t="s">
        <v>19</v>
      </c>
      <c r="E217" t="s">
        <v>20</v>
      </c>
      <c r="F217" t="s">
        <v>21</v>
      </c>
      <c r="G217" t="s">
        <v>26</v>
      </c>
      <c r="H217">
        <v>274.10000000000002</v>
      </c>
      <c r="I217">
        <v>253</v>
      </c>
      <c r="J217">
        <v>96.6</v>
      </c>
      <c r="K217">
        <v>66.5</v>
      </c>
      <c r="L217">
        <v>25.5</v>
      </c>
      <c r="M217">
        <v>12</v>
      </c>
      <c r="N217">
        <v>7.8692260629122407E-2</v>
      </c>
      <c r="O217">
        <v>0.101487423920203</v>
      </c>
      <c r="P217" t="str">
        <f t="shared" si="6"/>
        <v>F</v>
      </c>
      <c r="Q217" t="str">
        <f t="shared" si="7"/>
        <v>F</v>
      </c>
    </row>
    <row r="218" spans="1:17" hidden="1" x14ac:dyDescent="0.3">
      <c r="A218">
        <v>2871</v>
      </c>
      <c r="B218">
        <v>2037</v>
      </c>
      <c r="C218">
        <v>341</v>
      </c>
      <c r="D218" t="s">
        <v>19</v>
      </c>
      <c r="E218" t="s">
        <v>20</v>
      </c>
      <c r="F218" t="s">
        <v>17</v>
      </c>
      <c r="G218" t="s">
        <v>26</v>
      </c>
      <c r="H218">
        <v>273</v>
      </c>
      <c r="I218">
        <v>246.5</v>
      </c>
      <c r="J218">
        <v>95.4</v>
      </c>
      <c r="K218">
        <v>66.5</v>
      </c>
      <c r="L218">
        <v>26.4</v>
      </c>
      <c r="M218">
        <v>11</v>
      </c>
      <c r="N218">
        <v>0.30712481061250002</v>
      </c>
      <c r="O218">
        <v>7.8978671857824201E-2</v>
      </c>
      <c r="P218" t="str">
        <f t="shared" si="6"/>
        <v>F</v>
      </c>
      <c r="Q218" t="str">
        <f t="shared" si="7"/>
        <v>F</v>
      </c>
    </row>
    <row r="219" spans="1:17" hidden="1" x14ac:dyDescent="0.3">
      <c r="A219">
        <v>2872</v>
      </c>
      <c r="B219">
        <v>2037</v>
      </c>
      <c r="C219">
        <v>341</v>
      </c>
      <c r="D219" t="s">
        <v>19</v>
      </c>
      <c r="E219" t="s">
        <v>20</v>
      </c>
      <c r="F219" t="s">
        <v>17</v>
      </c>
      <c r="G219" t="s">
        <v>26</v>
      </c>
      <c r="H219">
        <v>273</v>
      </c>
      <c r="I219">
        <v>246.5</v>
      </c>
      <c r="J219">
        <v>95.4</v>
      </c>
      <c r="K219">
        <v>66.5</v>
      </c>
      <c r="L219">
        <v>26.4</v>
      </c>
      <c r="M219">
        <v>11</v>
      </c>
      <c r="N219">
        <v>0.30193011316580198</v>
      </c>
      <c r="O219">
        <v>6.1847248758236002E-2</v>
      </c>
      <c r="P219" t="str">
        <f t="shared" si="6"/>
        <v>F</v>
      </c>
      <c r="Q219" t="str">
        <f t="shared" si="7"/>
        <v>F</v>
      </c>
    </row>
    <row r="220" spans="1:17" hidden="1" x14ac:dyDescent="0.3">
      <c r="A220">
        <v>2884</v>
      </c>
      <c r="B220">
        <v>2042</v>
      </c>
      <c r="C220">
        <v>495</v>
      </c>
      <c r="D220" t="s">
        <v>19</v>
      </c>
      <c r="E220" t="s">
        <v>20</v>
      </c>
      <c r="F220" t="s">
        <v>21</v>
      </c>
      <c r="G220" t="s">
        <v>24</v>
      </c>
      <c r="H220">
        <v>276.8</v>
      </c>
      <c r="I220">
        <v>243</v>
      </c>
      <c r="J220">
        <v>94.5</v>
      </c>
      <c r="K220">
        <v>64.5</v>
      </c>
      <c r="L220">
        <v>27.6</v>
      </c>
      <c r="M220">
        <v>5.5</v>
      </c>
      <c r="N220">
        <v>0.16168402343774399</v>
      </c>
      <c r="O220">
        <v>5.7525341125504503E-2</v>
      </c>
      <c r="P220" t="str">
        <f t="shared" si="6"/>
        <v>F</v>
      </c>
      <c r="Q220" t="str">
        <f t="shared" si="7"/>
        <v>F</v>
      </c>
    </row>
    <row r="221" spans="1:17" hidden="1" x14ac:dyDescent="0.3">
      <c r="A221">
        <v>2885</v>
      </c>
      <c r="B221">
        <v>2042</v>
      </c>
      <c r="C221">
        <v>495</v>
      </c>
      <c r="D221" t="s">
        <v>19</v>
      </c>
      <c r="E221" t="s">
        <v>20</v>
      </c>
      <c r="F221" t="s">
        <v>21</v>
      </c>
      <c r="G221" t="s">
        <v>24</v>
      </c>
      <c r="H221">
        <v>276.8</v>
      </c>
      <c r="I221">
        <v>243</v>
      </c>
      <c r="J221">
        <v>94.5</v>
      </c>
      <c r="K221">
        <v>64.5</v>
      </c>
      <c r="L221">
        <v>27.6</v>
      </c>
      <c r="M221">
        <v>5.5</v>
      </c>
      <c r="N221">
        <v>0.15425302839367899</v>
      </c>
      <c r="O221">
        <v>8.7282521648682401E-2</v>
      </c>
      <c r="P221" t="str">
        <f t="shared" si="6"/>
        <v>F</v>
      </c>
      <c r="Q221" t="str">
        <f t="shared" si="7"/>
        <v>F</v>
      </c>
    </row>
    <row r="222" spans="1:17" hidden="1" x14ac:dyDescent="0.3">
      <c r="A222">
        <v>2886</v>
      </c>
      <c r="B222">
        <v>2042</v>
      </c>
      <c r="C222">
        <v>495</v>
      </c>
      <c r="D222" t="s">
        <v>19</v>
      </c>
      <c r="E222" t="s">
        <v>20</v>
      </c>
      <c r="F222" t="s">
        <v>21</v>
      </c>
      <c r="G222" t="s">
        <v>24</v>
      </c>
      <c r="H222">
        <v>276.8</v>
      </c>
      <c r="I222">
        <v>243</v>
      </c>
      <c r="J222">
        <v>94.5</v>
      </c>
      <c r="K222">
        <v>64.5</v>
      </c>
      <c r="L222">
        <v>27.6</v>
      </c>
      <c r="M222">
        <v>5.5</v>
      </c>
      <c r="N222">
        <v>0.172331209242712</v>
      </c>
      <c r="O222">
        <v>7.9601254795209894E-2</v>
      </c>
      <c r="P222" t="str">
        <f t="shared" si="6"/>
        <v>F</v>
      </c>
      <c r="Q222" t="str">
        <f t="shared" si="7"/>
        <v>F</v>
      </c>
    </row>
    <row r="223" spans="1:17" hidden="1" x14ac:dyDescent="0.3">
      <c r="A223">
        <v>2887</v>
      </c>
      <c r="B223">
        <v>2042</v>
      </c>
      <c r="C223">
        <v>495</v>
      </c>
      <c r="D223" t="s">
        <v>19</v>
      </c>
      <c r="E223" t="s">
        <v>20</v>
      </c>
      <c r="F223" t="s">
        <v>21</v>
      </c>
      <c r="G223" t="s">
        <v>24</v>
      </c>
      <c r="H223">
        <v>276.8</v>
      </c>
      <c r="I223">
        <v>243</v>
      </c>
      <c r="J223">
        <v>94.5</v>
      </c>
      <c r="K223">
        <v>64.5</v>
      </c>
      <c r="L223">
        <v>27.6</v>
      </c>
      <c r="M223">
        <v>5.5</v>
      </c>
      <c r="N223">
        <v>0.171970564305994</v>
      </c>
      <c r="O223">
        <v>7.6854311354494095E-2</v>
      </c>
      <c r="P223" t="str">
        <f t="shared" si="6"/>
        <v>F</v>
      </c>
      <c r="Q223" t="str">
        <f t="shared" si="7"/>
        <v>F</v>
      </c>
    </row>
    <row r="224" spans="1:17" hidden="1" x14ac:dyDescent="0.3">
      <c r="A224">
        <v>2888</v>
      </c>
      <c r="B224">
        <v>2042</v>
      </c>
      <c r="C224">
        <v>495</v>
      </c>
      <c r="D224" t="s">
        <v>19</v>
      </c>
      <c r="E224" t="s">
        <v>20</v>
      </c>
      <c r="F224" t="s">
        <v>21</v>
      </c>
      <c r="G224" t="s">
        <v>24</v>
      </c>
      <c r="H224">
        <v>276.8</v>
      </c>
      <c r="I224">
        <v>243</v>
      </c>
      <c r="J224">
        <v>94.5</v>
      </c>
      <c r="K224">
        <v>64.5</v>
      </c>
      <c r="L224">
        <v>27.6</v>
      </c>
      <c r="M224">
        <v>5.5</v>
      </c>
      <c r="N224">
        <v>0.140093844319408</v>
      </c>
      <c r="O224">
        <v>8.8977261479205094E-2</v>
      </c>
      <c r="P224" t="str">
        <f t="shared" si="6"/>
        <v>F</v>
      </c>
      <c r="Q224" t="str">
        <f t="shared" si="7"/>
        <v>F</v>
      </c>
    </row>
    <row r="225" spans="1:17" hidden="1" x14ac:dyDescent="0.3">
      <c r="A225">
        <v>2999</v>
      </c>
      <c r="B225">
        <v>2082</v>
      </c>
      <c r="C225">
        <v>102</v>
      </c>
      <c r="D225" t="s">
        <v>19</v>
      </c>
      <c r="E225" t="s">
        <v>20</v>
      </c>
      <c r="F225" t="s">
        <v>17</v>
      </c>
      <c r="G225" t="s">
        <v>22</v>
      </c>
      <c r="H225">
        <v>273.60000000000002</v>
      </c>
      <c r="I225">
        <v>246</v>
      </c>
      <c r="J225">
        <v>93.6</v>
      </c>
      <c r="K225">
        <v>64.5</v>
      </c>
      <c r="L225">
        <v>25.6</v>
      </c>
      <c r="M225">
        <v>1.5</v>
      </c>
      <c r="N225">
        <v>0.15419446067511799</v>
      </c>
      <c r="O225">
        <v>0.207895950336284</v>
      </c>
      <c r="P225" t="str">
        <f t="shared" si="6"/>
        <v>F</v>
      </c>
      <c r="Q225" t="str">
        <f t="shared" si="7"/>
        <v>F</v>
      </c>
    </row>
    <row r="226" spans="1:17" hidden="1" x14ac:dyDescent="0.3">
      <c r="A226">
        <v>3000</v>
      </c>
      <c r="B226">
        <v>2082</v>
      </c>
      <c r="C226">
        <v>102</v>
      </c>
      <c r="D226" t="s">
        <v>19</v>
      </c>
      <c r="E226" t="s">
        <v>20</v>
      </c>
      <c r="F226" t="s">
        <v>17</v>
      </c>
      <c r="G226" t="s">
        <v>22</v>
      </c>
      <c r="H226">
        <v>273.60000000000002</v>
      </c>
      <c r="I226">
        <v>246</v>
      </c>
      <c r="J226">
        <v>93.6</v>
      </c>
      <c r="K226">
        <v>64.5</v>
      </c>
      <c r="L226">
        <v>25.6</v>
      </c>
      <c r="M226">
        <v>1.5</v>
      </c>
      <c r="N226">
        <v>0.16773202465897999</v>
      </c>
      <c r="O226">
        <v>0.187225990371994</v>
      </c>
      <c r="P226" t="str">
        <f t="shared" si="6"/>
        <v>F</v>
      </c>
      <c r="Q226" t="str">
        <f t="shared" si="7"/>
        <v>F</v>
      </c>
    </row>
    <row r="227" spans="1:17" hidden="1" x14ac:dyDescent="0.3">
      <c r="A227">
        <v>3001</v>
      </c>
      <c r="B227">
        <v>2082</v>
      </c>
      <c r="C227">
        <v>102</v>
      </c>
      <c r="D227" t="s">
        <v>19</v>
      </c>
      <c r="E227" t="s">
        <v>20</v>
      </c>
      <c r="F227" t="s">
        <v>17</v>
      </c>
      <c r="G227" t="s">
        <v>22</v>
      </c>
      <c r="H227">
        <v>273.60000000000002</v>
      </c>
      <c r="I227">
        <v>246</v>
      </c>
      <c r="J227">
        <v>93.6</v>
      </c>
      <c r="K227">
        <v>64.5</v>
      </c>
      <c r="L227">
        <v>25.6</v>
      </c>
      <c r="M227">
        <v>1.5</v>
      </c>
      <c r="N227">
        <v>0.15368256479527101</v>
      </c>
      <c r="O227">
        <v>0.18844826248431801</v>
      </c>
      <c r="P227" t="str">
        <f t="shared" si="6"/>
        <v>F</v>
      </c>
      <c r="Q227" t="str">
        <f t="shared" si="7"/>
        <v>F</v>
      </c>
    </row>
    <row r="228" spans="1:17" hidden="1" x14ac:dyDescent="0.3">
      <c r="A228">
        <v>3043</v>
      </c>
      <c r="B228">
        <v>2099</v>
      </c>
      <c r="C228">
        <v>366</v>
      </c>
      <c r="D228" t="s">
        <v>19</v>
      </c>
      <c r="E228" t="s">
        <v>20</v>
      </c>
      <c r="F228" t="s">
        <v>21</v>
      </c>
      <c r="G228" t="s">
        <v>26</v>
      </c>
      <c r="H228">
        <v>275.89999999999998</v>
      </c>
      <c r="I228">
        <v>255</v>
      </c>
      <c r="J228">
        <v>94.9</v>
      </c>
      <c r="K228">
        <v>64</v>
      </c>
      <c r="L228">
        <v>26.8</v>
      </c>
      <c r="M228">
        <v>17</v>
      </c>
      <c r="N228">
        <v>0.18493242632381099</v>
      </c>
      <c r="O228">
        <v>0.154322837369052</v>
      </c>
      <c r="P228" t="str">
        <f t="shared" si="6"/>
        <v>F</v>
      </c>
      <c r="Q228" t="str">
        <f t="shared" si="7"/>
        <v>F</v>
      </c>
    </row>
    <row r="229" spans="1:17" hidden="1" x14ac:dyDescent="0.3">
      <c r="A229">
        <v>3044</v>
      </c>
      <c r="B229">
        <v>2099</v>
      </c>
      <c r="C229">
        <v>366</v>
      </c>
      <c r="D229" t="s">
        <v>19</v>
      </c>
      <c r="E229" t="s">
        <v>20</v>
      </c>
      <c r="F229" t="s">
        <v>21</v>
      </c>
      <c r="G229" t="s">
        <v>26</v>
      </c>
      <c r="H229">
        <v>275.89999999999998</v>
      </c>
      <c r="I229">
        <v>255</v>
      </c>
      <c r="J229">
        <v>94.9</v>
      </c>
      <c r="K229">
        <v>64</v>
      </c>
      <c r="L229">
        <v>26.8</v>
      </c>
      <c r="M229">
        <v>17</v>
      </c>
      <c r="N229">
        <v>0.17478896966583299</v>
      </c>
      <c r="O229">
        <v>0.15714518642221301</v>
      </c>
      <c r="P229" t="str">
        <f t="shared" si="6"/>
        <v>F</v>
      </c>
      <c r="Q229" t="str">
        <f t="shared" si="7"/>
        <v>F</v>
      </c>
    </row>
    <row r="230" spans="1:17" hidden="1" x14ac:dyDescent="0.3">
      <c r="A230">
        <v>3099</v>
      </c>
      <c r="B230">
        <v>2119</v>
      </c>
      <c r="C230">
        <v>298</v>
      </c>
      <c r="D230" t="s">
        <v>19</v>
      </c>
      <c r="E230" t="s">
        <v>20</v>
      </c>
      <c r="F230" t="s">
        <v>17</v>
      </c>
      <c r="G230" t="s">
        <v>22</v>
      </c>
      <c r="H230">
        <v>275.60000000000002</v>
      </c>
      <c r="I230">
        <v>251</v>
      </c>
      <c r="J230">
        <v>95.1</v>
      </c>
      <c r="K230">
        <v>66.5</v>
      </c>
      <c r="L230">
        <v>25.3</v>
      </c>
      <c r="M230">
        <v>10.5</v>
      </c>
      <c r="N230">
        <v>0.27117916114991802</v>
      </c>
      <c r="O230">
        <v>5.8682094745902802E-2</v>
      </c>
      <c r="P230" t="str">
        <f t="shared" si="6"/>
        <v>F</v>
      </c>
      <c r="Q230" t="str">
        <f t="shared" si="7"/>
        <v>F</v>
      </c>
    </row>
    <row r="231" spans="1:17" hidden="1" x14ac:dyDescent="0.3">
      <c r="A231">
        <v>3100</v>
      </c>
      <c r="B231">
        <v>2119</v>
      </c>
      <c r="C231">
        <v>298</v>
      </c>
      <c r="D231" t="s">
        <v>19</v>
      </c>
      <c r="E231" t="s">
        <v>20</v>
      </c>
      <c r="F231" t="s">
        <v>17</v>
      </c>
      <c r="G231" t="s">
        <v>22</v>
      </c>
      <c r="H231">
        <v>275.60000000000002</v>
      </c>
      <c r="I231">
        <v>251</v>
      </c>
      <c r="J231">
        <v>95.1</v>
      </c>
      <c r="K231">
        <v>66.5</v>
      </c>
      <c r="L231">
        <v>25.3</v>
      </c>
      <c r="M231">
        <v>10.5</v>
      </c>
      <c r="N231">
        <v>0.28932669852234599</v>
      </c>
      <c r="O231">
        <v>4.70981775250379E-2</v>
      </c>
      <c r="P231" t="str">
        <f t="shared" si="6"/>
        <v>F</v>
      </c>
      <c r="Q231" t="str">
        <f t="shared" si="7"/>
        <v>F</v>
      </c>
    </row>
    <row r="232" spans="1:17" hidden="1" x14ac:dyDescent="0.3">
      <c r="A232">
        <v>3101</v>
      </c>
      <c r="B232">
        <v>2119</v>
      </c>
      <c r="C232">
        <v>298</v>
      </c>
      <c r="D232" t="s">
        <v>19</v>
      </c>
      <c r="E232" t="s">
        <v>20</v>
      </c>
      <c r="F232" t="s">
        <v>17</v>
      </c>
      <c r="G232" t="s">
        <v>22</v>
      </c>
      <c r="H232">
        <v>275.60000000000002</v>
      </c>
      <c r="I232">
        <v>251</v>
      </c>
      <c r="J232">
        <v>95.1</v>
      </c>
      <c r="K232">
        <v>66.5</v>
      </c>
      <c r="L232">
        <v>25.3</v>
      </c>
      <c r="M232">
        <v>10.5</v>
      </c>
      <c r="N232">
        <v>0.28731771745492102</v>
      </c>
      <c r="O232">
        <v>7.0819620674553996E-2</v>
      </c>
      <c r="P232" t="str">
        <f t="shared" si="6"/>
        <v>F</v>
      </c>
      <c r="Q232" t="str">
        <f t="shared" si="7"/>
        <v>F</v>
      </c>
    </row>
    <row r="233" spans="1:17" hidden="1" x14ac:dyDescent="0.3">
      <c r="A233">
        <v>3102</v>
      </c>
      <c r="B233">
        <v>2119</v>
      </c>
      <c r="C233">
        <v>298</v>
      </c>
      <c r="D233" t="s">
        <v>19</v>
      </c>
      <c r="E233" t="s">
        <v>20</v>
      </c>
      <c r="F233" t="s">
        <v>17</v>
      </c>
      <c r="G233" t="s">
        <v>22</v>
      </c>
      <c r="H233">
        <v>275.60000000000002</v>
      </c>
      <c r="I233">
        <v>251</v>
      </c>
      <c r="J233">
        <v>95.1</v>
      </c>
      <c r="K233">
        <v>66.5</v>
      </c>
      <c r="L233">
        <v>25.3</v>
      </c>
      <c r="M233">
        <v>10.5</v>
      </c>
      <c r="N233">
        <v>0.29822695146115702</v>
      </c>
      <c r="O233">
        <v>4.5402416272165402E-2</v>
      </c>
      <c r="P233" t="str">
        <f t="shared" si="6"/>
        <v>F</v>
      </c>
      <c r="Q233" t="str">
        <f t="shared" si="7"/>
        <v>F</v>
      </c>
    </row>
    <row r="234" spans="1:17" hidden="1" x14ac:dyDescent="0.3">
      <c r="A234">
        <v>3140</v>
      </c>
      <c r="B234">
        <v>2133</v>
      </c>
      <c r="C234">
        <v>366</v>
      </c>
      <c r="D234" t="s">
        <v>19</v>
      </c>
      <c r="E234" t="s">
        <v>20</v>
      </c>
      <c r="F234" t="s">
        <v>21</v>
      </c>
      <c r="G234" t="s">
        <v>22</v>
      </c>
      <c r="H234">
        <v>275.89999999999998</v>
      </c>
      <c r="I234">
        <v>255</v>
      </c>
      <c r="J234">
        <v>94.9</v>
      </c>
      <c r="K234">
        <v>64</v>
      </c>
      <c r="L234">
        <v>26.8</v>
      </c>
      <c r="M234">
        <v>17</v>
      </c>
      <c r="N234">
        <v>0.18466692548578101</v>
      </c>
      <c r="O234">
        <v>0.16140479463180199</v>
      </c>
      <c r="P234" t="str">
        <f t="shared" si="6"/>
        <v>F</v>
      </c>
      <c r="Q234" t="str">
        <f t="shared" si="7"/>
        <v>F</v>
      </c>
    </row>
    <row r="235" spans="1:17" hidden="1" x14ac:dyDescent="0.3">
      <c r="A235">
        <v>3141</v>
      </c>
      <c r="B235">
        <v>2133</v>
      </c>
      <c r="C235">
        <v>366</v>
      </c>
      <c r="D235" t="s">
        <v>19</v>
      </c>
      <c r="E235" t="s">
        <v>20</v>
      </c>
      <c r="F235" t="s">
        <v>21</v>
      </c>
      <c r="G235" t="s">
        <v>22</v>
      </c>
      <c r="H235">
        <v>275.89999999999998</v>
      </c>
      <c r="I235">
        <v>255</v>
      </c>
      <c r="J235">
        <v>94.9</v>
      </c>
      <c r="K235">
        <v>64</v>
      </c>
      <c r="L235">
        <v>26.8</v>
      </c>
      <c r="M235">
        <v>17</v>
      </c>
      <c r="N235">
        <v>0.15131575536436501</v>
      </c>
      <c r="O235">
        <v>0.16567319165264099</v>
      </c>
      <c r="P235" t="str">
        <f t="shared" si="6"/>
        <v>F</v>
      </c>
      <c r="Q235" t="str">
        <f t="shared" si="7"/>
        <v>F</v>
      </c>
    </row>
    <row r="236" spans="1:17" hidden="1" x14ac:dyDescent="0.3">
      <c r="A236">
        <v>3142</v>
      </c>
      <c r="B236">
        <v>2133</v>
      </c>
      <c r="C236">
        <v>366</v>
      </c>
      <c r="D236" t="s">
        <v>19</v>
      </c>
      <c r="E236" t="s">
        <v>20</v>
      </c>
      <c r="F236" t="s">
        <v>21</v>
      </c>
      <c r="G236" t="s">
        <v>22</v>
      </c>
      <c r="H236">
        <v>275.89999999999998</v>
      </c>
      <c r="I236">
        <v>255</v>
      </c>
      <c r="J236">
        <v>94.9</v>
      </c>
      <c r="K236">
        <v>64</v>
      </c>
      <c r="L236">
        <v>26.8</v>
      </c>
      <c r="M236">
        <v>17</v>
      </c>
      <c r="N236">
        <v>0.167927417566686</v>
      </c>
      <c r="O236">
        <v>0.144870801811396</v>
      </c>
      <c r="P236" t="str">
        <f t="shared" si="6"/>
        <v>F</v>
      </c>
      <c r="Q236" t="str">
        <f t="shared" si="7"/>
        <v>F</v>
      </c>
    </row>
    <row r="237" spans="1:17" hidden="1" x14ac:dyDescent="0.3">
      <c r="A237">
        <v>3143</v>
      </c>
      <c r="B237">
        <v>2133</v>
      </c>
      <c r="C237">
        <v>366</v>
      </c>
      <c r="D237" t="s">
        <v>19</v>
      </c>
      <c r="E237" t="s">
        <v>20</v>
      </c>
      <c r="F237" t="s">
        <v>21</v>
      </c>
      <c r="G237" t="s">
        <v>22</v>
      </c>
      <c r="H237">
        <v>275.89999999999998</v>
      </c>
      <c r="I237">
        <v>255</v>
      </c>
      <c r="J237">
        <v>94.9</v>
      </c>
      <c r="K237">
        <v>64</v>
      </c>
      <c r="L237">
        <v>26.8</v>
      </c>
      <c r="M237">
        <v>17</v>
      </c>
      <c r="N237">
        <v>0.156187850014357</v>
      </c>
      <c r="O237">
        <v>0.154739586616819</v>
      </c>
      <c r="P237" t="str">
        <f t="shared" si="6"/>
        <v>F</v>
      </c>
      <c r="Q237" t="str">
        <f t="shared" si="7"/>
        <v>F</v>
      </c>
    </row>
    <row r="238" spans="1:17" hidden="1" x14ac:dyDescent="0.3">
      <c r="A238">
        <v>3144</v>
      </c>
      <c r="B238">
        <v>2133</v>
      </c>
      <c r="C238">
        <v>366</v>
      </c>
      <c r="D238" t="s">
        <v>19</v>
      </c>
      <c r="E238" t="s">
        <v>20</v>
      </c>
      <c r="F238" t="s">
        <v>21</v>
      </c>
      <c r="G238" t="s">
        <v>22</v>
      </c>
      <c r="H238">
        <v>275.89999999999998</v>
      </c>
      <c r="I238">
        <v>255</v>
      </c>
      <c r="J238">
        <v>94.9</v>
      </c>
      <c r="K238">
        <v>64</v>
      </c>
      <c r="L238">
        <v>26.8</v>
      </c>
      <c r="M238">
        <v>17</v>
      </c>
      <c r="N238">
        <v>0.170015213511544</v>
      </c>
      <c r="O238">
        <v>0.175611550082</v>
      </c>
      <c r="P238" t="str">
        <f t="shared" si="6"/>
        <v>F</v>
      </c>
      <c r="Q238" t="str">
        <f t="shared" si="7"/>
        <v>F</v>
      </c>
    </row>
    <row r="239" spans="1:17" hidden="1" x14ac:dyDescent="0.3">
      <c r="A239">
        <v>3145</v>
      </c>
      <c r="B239">
        <v>2133</v>
      </c>
      <c r="C239">
        <v>366</v>
      </c>
      <c r="D239" t="s">
        <v>19</v>
      </c>
      <c r="E239" t="s">
        <v>20</v>
      </c>
      <c r="F239" t="s">
        <v>21</v>
      </c>
      <c r="G239" t="s">
        <v>22</v>
      </c>
      <c r="H239">
        <v>275.89999999999998</v>
      </c>
      <c r="I239">
        <v>255</v>
      </c>
      <c r="J239">
        <v>94.9</v>
      </c>
      <c r="K239">
        <v>64</v>
      </c>
      <c r="L239">
        <v>26.8</v>
      </c>
      <c r="M239">
        <v>17</v>
      </c>
      <c r="N239">
        <v>0.185042236051949</v>
      </c>
      <c r="O239">
        <v>0.14152735983002601</v>
      </c>
      <c r="P239" t="str">
        <f t="shared" si="6"/>
        <v>F</v>
      </c>
      <c r="Q239" t="str">
        <f t="shared" si="7"/>
        <v>F</v>
      </c>
    </row>
    <row r="240" spans="1:17" hidden="1" x14ac:dyDescent="0.3">
      <c r="A240">
        <v>3159</v>
      </c>
      <c r="B240">
        <v>214</v>
      </c>
      <c r="C240">
        <v>112</v>
      </c>
      <c r="D240" t="s">
        <v>19</v>
      </c>
      <c r="E240" t="s">
        <v>20</v>
      </c>
      <c r="F240" t="s">
        <v>17</v>
      </c>
      <c r="G240" t="s">
        <v>25</v>
      </c>
      <c r="H240">
        <v>277.2</v>
      </c>
      <c r="I240">
        <v>249</v>
      </c>
      <c r="J240">
        <v>95</v>
      </c>
      <c r="K240">
        <v>64</v>
      </c>
      <c r="L240">
        <v>29.1</v>
      </c>
      <c r="M240">
        <v>7</v>
      </c>
      <c r="N240">
        <v>0.14598265073252001</v>
      </c>
      <c r="O240">
        <v>8.8102311621286594E-2</v>
      </c>
      <c r="P240" t="str">
        <f t="shared" si="6"/>
        <v>F</v>
      </c>
      <c r="Q240" t="str">
        <f t="shared" si="7"/>
        <v>F</v>
      </c>
    </row>
    <row r="241" spans="1:17" hidden="1" x14ac:dyDescent="0.3">
      <c r="A241">
        <v>3160</v>
      </c>
      <c r="B241">
        <v>214</v>
      </c>
      <c r="C241">
        <v>112</v>
      </c>
      <c r="D241" t="s">
        <v>19</v>
      </c>
      <c r="E241" t="s">
        <v>20</v>
      </c>
      <c r="F241" t="s">
        <v>17</v>
      </c>
      <c r="G241" t="s">
        <v>25</v>
      </c>
      <c r="H241">
        <v>277.2</v>
      </c>
      <c r="I241">
        <v>249</v>
      </c>
      <c r="J241">
        <v>95</v>
      </c>
      <c r="K241">
        <v>64</v>
      </c>
      <c r="L241">
        <v>29.1</v>
      </c>
      <c r="M241">
        <v>7</v>
      </c>
      <c r="N241">
        <v>0.14778561630357401</v>
      </c>
      <c r="O241">
        <v>9.6113180098457998E-2</v>
      </c>
      <c r="P241" t="str">
        <f t="shared" si="6"/>
        <v>F</v>
      </c>
      <c r="Q241" t="str">
        <f t="shared" si="7"/>
        <v>F</v>
      </c>
    </row>
    <row r="242" spans="1:17" hidden="1" x14ac:dyDescent="0.3">
      <c r="A242">
        <v>3162</v>
      </c>
      <c r="B242">
        <v>2141</v>
      </c>
      <c r="C242">
        <v>102</v>
      </c>
      <c r="D242" t="s">
        <v>19</v>
      </c>
      <c r="E242" t="s">
        <v>20</v>
      </c>
      <c r="F242" t="s">
        <v>17</v>
      </c>
      <c r="G242" t="s">
        <v>24</v>
      </c>
      <c r="H242">
        <v>273.60000000000002</v>
      </c>
      <c r="I242">
        <v>246</v>
      </c>
      <c r="J242">
        <v>93.6</v>
      </c>
      <c r="K242">
        <v>64.5</v>
      </c>
      <c r="L242">
        <v>25.6</v>
      </c>
      <c r="M242">
        <v>1.5</v>
      </c>
      <c r="N242">
        <v>0.174051539523642</v>
      </c>
      <c r="O242">
        <v>0.19833913926663599</v>
      </c>
      <c r="P242" t="str">
        <f t="shared" si="6"/>
        <v>F</v>
      </c>
      <c r="Q242" t="str">
        <f t="shared" si="7"/>
        <v>F</v>
      </c>
    </row>
    <row r="243" spans="1:17" hidden="1" x14ac:dyDescent="0.3">
      <c r="A243">
        <v>3163</v>
      </c>
      <c r="B243">
        <v>2141</v>
      </c>
      <c r="C243">
        <v>102</v>
      </c>
      <c r="D243" t="s">
        <v>19</v>
      </c>
      <c r="E243" t="s">
        <v>20</v>
      </c>
      <c r="F243" t="s">
        <v>17</v>
      </c>
      <c r="G243" t="s">
        <v>24</v>
      </c>
      <c r="H243">
        <v>273.60000000000002</v>
      </c>
      <c r="I243">
        <v>246</v>
      </c>
      <c r="J243">
        <v>93.6</v>
      </c>
      <c r="K243">
        <v>64.5</v>
      </c>
      <c r="L243">
        <v>25.6</v>
      </c>
      <c r="M243">
        <v>1.5</v>
      </c>
      <c r="N243">
        <v>0.14654064694641</v>
      </c>
      <c r="O243">
        <v>0.18891147272704401</v>
      </c>
      <c r="P243" t="str">
        <f t="shared" si="6"/>
        <v>F</v>
      </c>
      <c r="Q243" t="str">
        <f t="shared" si="7"/>
        <v>F</v>
      </c>
    </row>
    <row r="244" spans="1:17" hidden="1" x14ac:dyDescent="0.3">
      <c r="A244">
        <v>3164</v>
      </c>
      <c r="B244">
        <v>2141</v>
      </c>
      <c r="C244">
        <v>102</v>
      </c>
      <c r="D244" t="s">
        <v>19</v>
      </c>
      <c r="E244" t="s">
        <v>20</v>
      </c>
      <c r="F244" t="s">
        <v>17</v>
      </c>
      <c r="G244" t="s">
        <v>24</v>
      </c>
      <c r="H244">
        <v>273.60000000000002</v>
      </c>
      <c r="I244">
        <v>246</v>
      </c>
      <c r="J244">
        <v>93.6</v>
      </c>
      <c r="K244">
        <v>64.5</v>
      </c>
      <c r="L244">
        <v>25.6</v>
      </c>
      <c r="M244">
        <v>1.5</v>
      </c>
      <c r="N244">
        <v>0.16174418569694299</v>
      </c>
      <c r="O244">
        <v>0.178882582593445</v>
      </c>
      <c r="P244" t="str">
        <f t="shared" si="6"/>
        <v>F</v>
      </c>
      <c r="Q244" t="str">
        <f t="shared" si="7"/>
        <v>F</v>
      </c>
    </row>
    <row r="245" spans="1:17" hidden="1" x14ac:dyDescent="0.3">
      <c r="A245">
        <v>3165</v>
      </c>
      <c r="B245">
        <v>2141</v>
      </c>
      <c r="C245">
        <v>102</v>
      </c>
      <c r="D245" t="s">
        <v>19</v>
      </c>
      <c r="E245" t="s">
        <v>20</v>
      </c>
      <c r="F245" t="s">
        <v>17</v>
      </c>
      <c r="G245" t="s">
        <v>24</v>
      </c>
      <c r="H245">
        <v>273.60000000000002</v>
      </c>
      <c r="I245">
        <v>246</v>
      </c>
      <c r="J245">
        <v>93.6</v>
      </c>
      <c r="K245">
        <v>64.5</v>
      </c>
      <c r="L245">
        <v>25.6</v>
      </c>
      <c r="M245">
        <v>1.5</v>
      </c>
      <c r="N245">
        <v>0.176125866176257</v>
      </c>
      <c r="O245">
        <v>0.204742913619643</v>
      </c>
      <c r="P245" t="str">
        <f t="shared" si="6"/>
        <v>F</v>
      </c>
      <c r="Q245" t="str">
        <f t="shared" si="7"/>
        <v>F</v>
      </c>
    </row>
    <row r="246" spans="1:17" hidden="1" x14ac:dyDescent="0.3">
      <c r="A246">
        <v>3166</v>
      </c>
      <c r="B246">
        <v>2142</v>
      </c>
      <c r="C246">
        <v>320</v>
      </c>
      <c r="D246" t="s">
        <v>19</v>
      </c>
      <c r="E246" t="s">
        <v>20</v>
      </c>
      <c r="F246" t="s">
        <v>21</v>
      </c>
      <c r="G246" t="s">
        <v>18</v>
      </c>
      <c r="H246">
        <v>279</v>
      </c>
      <c r="I246">
        <v>253.5</v>
      </c>
      <c r="J246">
        <v>97.1</v>
      </c>
      <c r="K246">
        <v>64</v>
      </c>
      <c r="L246">
        <v>24</v>
      </c>
      <c r="M246">
        <v>8</v>
      </c>
      <c r="N246">
        <v>0.16178766547374501</v>
      </c>
      <c r="O246">
        <v>2.88138705496182E-2</v>
      </c>
      <c r="P246" t="str">
        <f t="shared" si="6"/>
        <v>F</v>
      </c>
      <c r="Q246" t="str">
        <f t="shared" si="7"/>
        <v>F</v>
      </c>
    </row>
    <row r="247" spans="1:17" hidden="1" x14ac:dyDescent="0.3">
      <c r="A247">
        <v>3222</v>
      </c>
      <c r="B247">
        <v>2165</v>
      </c>
      <c r="C247">
        <v>367</v>
      </c>
      <c r="D247" t="s">
        <v>19</v>
      </c>
      <c r="E247" t="s">
        <v>20</v>
      </c>
      <c r="F247" t="s">
        <v>21</v>
      </c>
      <c r="G247" t="s">
        <v>24</v>
      </c>
      <c r="H247">
        <v>272.10000000000002</v>
      </c>
      <c r="I247">
        <v>232</v>
      </c>
      <c r="J247">
        <v>91</v>
      </c>
      <c r="K247">
        <v>65.5</v>
      </c>
      <c r="L247">
        <v>23.9</v>
      </c>
      <c r="M247">
        <v>7.5</v>
      </c>
      <c r="N247">
        <v>0.14999138184114999</v>
      </c>
      <c r="O247">
        <v>8.8462752809085402E-2</v>
      </c>
      <c r="P247" t="str">
        <f t="shared" si="6"/>
        <v>F</v>
      </c>
      <c r="Q247" t="str">
        <f t="shared" si="7"/>
        <v>F</v>
      </c>
    </row>
    <row r="248" spans="1:17" hidden="1" x14ac:dyDescent="0.3">
      <c r="A248">
        <v>3223</v>
      </c>
      <c r="B248">
        <v>2165</v>
      </c>
      <c r="C248">
        <v>367</v>
      </c>
      <c r="D248" t="s">
        <v>19</v>
      </c>
      <c r="E248" t="s">
        <v>20</v>
      </c>
      <c r="F248" t="s">
        <v>21</v>
      </c>
      <c r="G248" t="s">
        <v>24</v>
      </c>
      <c r="H248">
        <v>272.10000000000002</v>
      </c>
      <c r="I248">
        <v>232</v>
      </c>
      <c r="J248">
        <v>91</v>
      </c>
      <c r="K248">
        <v>65.5</v>
      </c>
      <c r="L248">
        <v>23.9</v>
      </c>
      <c r="M248">
        <v>7.5</v>
      </c>
      <c r="N248">
        <v>0.14055171675054501</v>
      </c>
      <c r="O248">
        <v>0.118204806009593</v>
      </c>
      <c r="P248" t="str">
        <f t="shared" si="6"/>
        <v>F</v>
      </c>
      <c r="Q248" t="str">
        <f t="shared" si="7"/>
        <v>F</v>
      </c>
    </row>
    <row r="249" spans="1:17" hidden="1" x14ac:dyDescent="0.3">
      <c r="A249">
        <v>3224</v>
      </c>
      <c r="B249">
        <v>2165</v>
      </c>
      <c r="C249">
        <v>367</v>
      </c>
      <c r="D249" t="s">
        <v>19</v>
      </c>
      <c r="E249" t="s">
        <v>20</v>
      </c>
      <c r="F249" t="s">
        <v>21</v>
      </c>
      <c r="G249" t="s">
        <v>24</v>
      </c>
      <c r="H249">
        <v>272.10000000000002</v>
      </c>
      <c r="I249">
        <v>232</v>
      </c>
      <c r="J249">
        <v>91</v>
      </c>
      <c r="K249">
        <v>65.5</v>
      </c>
      <c r="L249">
        <v>23.9</v>
      </c>
      <c r="M249">
        <v>7.5</v>
      </c>
      <c r="N249">
        <v>0.16225948259774101</v>
      </c>
      <c r="O249">
        <v>0.12400248616256</v>
      </c>
      <c r="P249" t="str">
        <f t="shared" si="6"/>
        <v>F</v>
      </c>
      <c r="Q249" t="str">
        <f t="shared" si="7"/>
        <v>F</v>
      </c>
    </row>
    <row r="250" spans="1:17" hidden="1" x14ac:dyDescent="0.3">
      <c r="A250">
        <v>3225</v>
      </c>
      <c r="B250">
        <v>2165</v>
      </c>
      <c r="C250">
        <v>367</v>
      </c>
      <c r="D250" t="s">
        <v>19</v>
      </c>
      <c r="E250" t="s">
        <v>20</v>
      </c>
      <c r="F250" t="s">
        <v>21</v>
      </c>
      <c r="G250" t="s">
        <v>24</v>
      </c>
      <c r="H250">
        <v>272.10000000000002</v>
      </c>
      <c r="I250">
        <v>232</v>
      </c>
      <c r="J250">
        <v>91</v>
      </c>
      <c r="K250">
        <v>65.5</v>
      </c>
      <c r="L250">
        <v>23.9</v>
      </c>
      <c r="M250">
        <v>7.5</v>
      </c>
      <c r="N250">
        <v>0.15730137428531399</v>
      </c>
      <c r="O250">
        <v>0.108702269777066</v>
      </c>
      <c r="P250" t="str">
        <f t="shared" si="6"/>
        <v>F</v>
      </c>
      <c r="Q250" t="str">
        <f t="shared" si="7"/>
        <v>F</v>
      </c>
    </row>
    <row r="251" spans="1:17" hidden="1" x14ac:dyDescent="0.3">
      <c r="A251">
        <v>3235</v>
      </c>
      <c r="B251">
        <v>2168</v>
      </c>
      <c r="C251">
        <v>366</v>
      </c>
      <c r="D251" t="s">
        <v>19</v>
      </c>
      <c r="E251" t="s">
        <v>20</v>
      </c>
      <c r="F251" t="s">
        <v>21</v>
      </c>
      <c r="G251" t="s">
        <v>18</v>
      </c>
      <c r="H251">
        <v>275.89999999999998</v>
      </c>
      <c r="I251">
        <v>255</v>
      </c>
      <c r="J251">
        <v>94.9</v>
      </c>
      <c r="K251">
        <v>64</v>
      </c>
      <c r="L251">
        <v>26.8</v>
      </c>
      <c r="M251">
        <v>17</v>
      </c>
      <c r="N251">
        <v>0.16745492526254699</v>
      </c>
      <c r="O251">
        <v>0.15851170620147201</v>
      </c>
      <c r="P251" t="str">
        <f t="shared" si="6"/>
        <v>F</v>
      </c>
      <c r="Q251" t="str">
        <f t="shared" si="7"/>
        <v>F</v>
      </c>
    </row>
    <row r="252" spans="1:17" hidden="1" x14ac:dyDescent="0.3">
      <c r="A252">
        <v>3245</v>
      </c>
      <c r="B252">
        <v>2171</v>
      </c>
      <c r="C252">
        <v>314</v>
      </c>
      <c r="D252" t="s">
        <v>19</v>
      </c>
      <c r="E252" t="s">
        <v>20</v>
      </c>
      <c r="F252" t="s">
        <v>17</v>
      </c>
      <c r="G252" t="s">
        <v>26</v>
      </c>
      <c r="H252">
        <v>273.5</v>
      </c>
      <c r="I252">
        <v>251.5</v>
      </c>
      <c r="J252">
        <v>97.5</v>
      </c>
      <c r="K252">
        <v>65</v>
      </c>
      <c r="L252">
        <v>25.5</v>
      </c>
      <c r="M252">
        <v>13</v>
      </c>
      <c r="N252">
        <v>0.23217367349217799</v>
      </c>
      <c r="O252">
        <v>9.3751721728697501E-2</v>
      </c>
      <c r="P252" t="str">
        <f t="shared" si="6"/>
        <v>F</v>
      </c>
      <c r="Q252" t="str">
        <f t="shared" si="7"/>
        <v>F</v>
      </c>
    </row>
    <row r="253" spans="1:17" hidden="1" x14ac:dyDescent="0.3">
      <c r="A253">
        <v>3246</v>
      </c>
      <c r="B253">
        <v>2171</v>
      </c>
      <c r="C253">
        <v>314</v>
      </c>
      <c r="D253" t="s">
        <v>19</v>
      </c>
      <c r="E253" t="s">
        <v>20</v>
      </c>
      <c r="F253" t="s">
        <v>17</v>
      </c>
      <c r="G253" t="s">
        <v>26</v>
      </c>
      <c r="H253">
        <v>273.5</v>
      </c>
      <c r="I253">
        <v>251.5</v>
      </c>
      <c r="J253">
        <v>97.5</v>
      </c>
      <c r="K253">
        <v>65</v>
      </c>
      <c r="L253">
        <v>25.5</v>
      </c>
      <c r="M253">
        <v>13</v>
      </c>
      <c r="N253">
        <v>0.24364660241414299</v>
      </c>
      <c r="O253">
        <v>6.9184920270085298E-2</v>
      </c>
      <c r="P253" t="str">
        <f t="shared" si="6"/>
        <v>F</v>
      </c>
      <c r="Q253" t="str">
        <f t="shared" si="7"/>
        <v>F</v>
      </c>
    </row>
    <row r="254" spans="1:17" hidden="1" x14ac:dyDescent="0.3">
      <c r="A254">
        <v>3247</v>
      </c>
      <c r="B254">
        <v>2171</v>
      </c>
      <c r="C254">
        <v>314</v>
      </c>
      <c r="D254" t="s">
        <v>19</v>
      </c>
      <c r="E254" t="s">
        <v>20</v>
      </c>
      <c r="F254" t="s">
        <v>17</v>
      </c>
      <c r="G254" t="s">
        <v>26</v>
      </c>
      <c r="H254">
        <v>273.5</v>
      </c>
      <c r="I254">
        <v>251.5</v>
      </c>
      <c r="J254">
        <v>97.5</v>
      </c>
      <c r="K254">
        <v>65</v>
      </c>
      <c r="L254">
        <v>25.5</v>
      </c>
      <c r="M254">
        <v>13</v>
      </c>
      <c r="N254">
        <v>0.24945424026276</v>
      </c>
      <c r="O254">
        <v>7.4390591802748901E-2</v>
      </c>
      <c r="P254" t="str">
        <f t="shared" si="6"/>
        <v>F</v>
      </c>
      <c r="Q254" t="str">
        <f t="shared" si="7"/>
        <v>F</v>
      </c>
    </row>
    <row r="255" spans="1:17" hidden="1" x14ac:dyDescent="0.3">
      <c r="A255">
        <v>3280</v>
      </c>
      <c r="B255">
        <v>2189</v>
      </c>
      <c r="C255">
        <v>298</v>
      </c>
      <c r="D255" t="s">
        <v>19</v>
      </c>
      <c r="E255" t="s">
        <v>20</v>
      </c>
      <c r="F255" t="s">
        <v>21</v>
      </c>
      <c r="G255" t="s">
        <v>26</v>
      </c>
      <c r="H255">
        <v>275.60000000000002</v>
      </c>
      <c r="I255">
        <v>251</v>
      </c>
      <c r="J255">
        <v>95.1</v>
      </c>
      <c r="K255">
        <v>66.5</v>
      </c>
      <c r="L255">
        <v>25.3</v>
      </c>
      <c r="M255">
        <v>10.5</v>
      </c>
      <c r="N255">
        <v>0.29562939655311499</v>
      </c>
      <c r="O255">
        <v>6.3660626941947601E-2</v>
      </c>
      <c r="P255" t="str">
        <f t="shared" si="6"/>
        <v>F</v>
      </c>
      <c r="Q255" t="str">
        <f t="shared" si="7"/>
        <v>F</v>
      </c>
    </row>
    <row r="256" spans="1:17" hidden="1" x14ac:dyDescent="0.3">
      <c r="A256">
        <v>3281</v>
      </c>
      <c r="B256">
        <v>2189</v>
      </c>
      <c r="C256">
        <v>298</v>
      </c>
      <c r="D256" t="s">
        <v>19</v>
      </c>
      <c r="E256" t="s">
        <v>20</v>
      </c>
      <c r="F256" t="s">
        <v>21</v>
      </c>
      <c r="G256" t="s">
        <v>26</v>
      </c>
      <c r="H256">
        <v>275.60000000000002</v>
      </c>
      <c r="I256">
        <v>251</v>
      </c>
      <c r="J256">
        <v>95.1</v>
      </c>
      <c r="K256">
        <v>66.5</v>
      </c>
      <c r="L256">
        <v>25.3</v>
      </c>
      <c r="M256">
        <v>10.5</v>
      </c>
      <c r="N256">
        <v>0.303481951290827</v>
      </c>
      <c r="O256">
        <v>5.0240336978668601E-2</v>
      </c>
      <c r="P256" t="str">
        <f t="shared" si="6"/>
        <v>F</v>
      </c>
      <c r="Q256" t="str">
        <f t="shared" si="7"/>
        <v>F</v>
      </c>
    </row>
    <row r="257" spans="1:17" hidden="1" x14ac:dyDescent="0.3">
      <c r="A257">
        <v>3282</v>
      </c>
      <c r="B257">
        <v>2189</v>
      </c>
      <c r="C257">
        <v>298</v>
      </c>
      <c r="D257" t="s">
        <v>19</v>
      </c>
      <c r="E257" t="s">
        <v>20</v>
      </c>
      <c r="F257" t="s">
        <v>21</v>
      </c>
      <c r="G257" t="s">
        <v>26</v>
      </c>
      <c r="H257">
        <v>275.60000000000002</v>
      </c>
      <c r="I257">
        <v>251</v>
      </c>
      <c r="J257">
        <v>95.1</v>
      </c>
      <c r="K257">
        <v>66.5</v>
      </c>
      <c r="L257">
        <v>25.3</v>
      </c>
      <c r="M257">
        <v>10.5</v>
      </c>
      <c r="N257">
        <v>0.30713191602809597</v>
      </c>
      <c r="O257">
        <v>4.4870281276728999E-2</v>
      </c>
      <c r="P257" t="str">
        <f t="shared" si="6"/>
        <v>F</v>
      </c>
      <c r="Q257" t="str">
        <f t="shared" si="7"/>
        <v>F</v>
      </c>
    </row>
    <row r="258" spans="1:17" hidden="1" x14ac:dyDescent="0.3">
      <c r="A258">
        <v>3294</v>
      </c>
      <c r="B258">
        <v>2196</v>
      </c>
      <c r="C258">
        <v>99</v>
      </c>
      <c r="D258" t="s">
        <v>19</v>
      </c>
      <c r="E258" t="s">
        <v>20</v>
      </c>
      <c r="F258" t="s">
        <v>21</v>
      </c>
      <c r="G258" t="s">
        <v>22</v>
      </c>
      <c r="H258">
        <v>277</v>
      </c>
      <c r="I258">
        <v>257</v>
      </c>
      <c r="J258">
        <v>99.7</v>
      </c>
      <c r="K258">
        <v>69</v>
      </c>
      <c r="L258">
        <v>26.4</v>
      </c>
      <c r="M258">
        <v>7.5</v>
      </c>
      <c r="N258">
        <v>0.114187159391219</v>
      </c>
      <c r="O258">
        <v>2.7453427062471999E-2</v>
      </c>
      <c r="P258" t="str">
        <f t="shared" si="6"/>
        <v>F</v>
      </c>
      <c r="Q258" t="str">
        <f t="shared" si="7"/>
        <v>T</v>
      </c>
    </row>
    <row r="259" spans="1:17" hidden="1" x14ac:dyDescent="0.3">
      <c r="A259">
        <v>3295</v>
      </c>
      <c r="B259">
        <v>2196</v>
      </c>
      <c r="C259">
        <v>99</v>
      </c>
      <c r="D259" t="s">
        <v>19</v>
      </c>
      <c r="E259" t="s">
        <v>20</v>
      </c>
      <c r="F259" t="s">
        <v>21</v>
      </c>
      <c r="G259" t="s">
        <v>22</v>
      </c>
      <c r="H259">
        <v>277</v>
      </c>
      <c r="I259">
        <v>257</v>
      </c>
      <c r="J259">
        <v>99.7</v>
      </c>
      <c r="K259">
        <v>69</v>
      </c>
      <c r="L259">
        <v>26.4</v>
      </c>
      <c r="M259">
        <v>7.5</v>
      </c>
      <c r="N259">
        <v>0.10242170937765301</v>
      </c>
      <c r="O259">
        <v>4.5617689677274399E-2</v>
      </c>
      <c r="P259" t="str">
        <f t="shared" ref="P259:P322" si="8">IF(N259&lt;0.06641, "T", "F")</f>
        <v>F</v>
      </c>
      <c r="Q259" t="str">
        <f t="shared" ref="Q259:Q322" si="9">IF(O259&lt;0.027899, "T", "F")</f>
        <v>F</v>
      </c>
    </row>
    <row r="260" spans="1:17" hidden="1" x14ac:dyDescent="0.3">
      <c r="A260">
        <v>3309</v>
      </c>
      <c r="B260">
        <v>2201</v>
      </c>
      <c r="C260">
        <v>320</v>
      </c>
      <c r="D260" t="s">
        <v>19</v>
      </c>
      <c r="E260" t="s">
        <v>20</v>
      </c>
      <c r="F260" t="s">
        <v>17</v>
      </c>
      <c r="G260" t="s">
        <v>18</v>
      </c>
      <c r="H260">
        <v>279</v>
      </c>
      <c r="I260">
        <v>253.5</v>
      </c>
      <c r="J260">
        <v>97.1</v>
      </c>
      <c r="K260">
        <v>64</v>
      </c>
      <c r="L260">
        <v>24</v>
      </c>
      <c r="M260">
        <v>8</v>
      </c>
      <c r="N260">
        <v>0.12917837126100601</v>
      </c>
      <c r="O260">
        <v>3.7661910838876003E-2</v>
      </c>
      <c r="P260" t="str">
        <f t="shared" si="8"/>
        <v>F</v>
      </c>
      <c r="Q260" t="str">
        <f t="shared" si="9"/>
        <v>F</v>
      </c>
    </row>
    <row r="261" spans="1:17" hidden="1" x14ac:dyDescent="0.3">
      <c r="A261">
        <v>3310</v>
      </c>
      <c r="B261">
        <v>2201</v>
      </c>
      <c r="C261">
        <v>320</v>
      </c>
      <c r="D261" t="s">
        <v>19</v>
      </c>
      <c r="E261" t="s">
        <v>20</v>
      </c>
      <c r="F261" t="s">
        <v>17</v>
      </c>
      <c r="G261" t="s">
        <v>18</v>
      </c>
      <c r="H261">
        <v>279</v>
      </c>
      <c r="I261">
        <v>253.5</v>
      </c>
      <c r="J261">
        <v>97.1</v>
      </c>
      <c r="K261">
        <v>64</v>
      </c>
      <c r="L261">
        <v>24</v>
      </c>
      <c r="M261">
        <v>8</v>
      </c>
      <c r="N261">
        <v>0.12932119062158501</v>
      </c>
      <c r="O261">
        <v>3.5524322759447197E-2</v>
      </c>
      <c r="P261" t="str">
        <f t="shared" si="8"/>
        <v>F</v>
      </c>
      <c r="Q261" t="str">
        <f t="shared" si="9"/>
        <v>F</v>
      </c>
    </row>
    <row r="262" spans="1:17" hidden="1" x14ac:dyDescent="0.3">
      <c r="A262">
        <v>3333</v>
      </c>
      <c r="B262">
        <v>2212</v>
      </c>
      <c r="C262">
        <v>99</v>
      </c>
      <c r="D262" t="s">
        <v>19</v>
      </c>
      <c r="E262" t="s">
        <v>20</v>
      </c>
      <c r="F262" t="s">
        <v>17</v>
      </c>
      <c r="G262" t="s">
        <v>18</v>
      </c>
      <c r="H262">
        <v>277</v>
      </c>
      <c r="I262">
        <v>257</v>
      </c>
      <c r="J262">
        <v>99.7</v>
      </c>
      <c r="K262">
        <v>69</v>
      </c>
      <c r="L262">
        <v>26.4</v>
      </c>
      <c r="M262">
        <v>7.5</v>
      </c>
      <c r="N262">
        <v>0.113199079664989</v>
      </c>
      <c r="O262">
        <v>3.5283208565715402E-2</v>
      </c>
      <c r="P262" t="str">
        <f t="shared" si="8"/>
        <v>F</v>
      </c>
      <c r="Q262" t="str">
        <f t="shared" si="9"/>
        <v>F</v>
      </c>
    </row>
    <row r="263" spans="1:17" hidden="1" x14ac:dyDescent="0.3">
      <c r="A263">
        <v>3334</v>
      </c>
      <c r="B263">
        <v>2212</v>
      </c>
      <c r="C263">
        <v>99</v>
      </c>
      <c r="D263" t="s">
        <v>19</v>
      </c>
      <c r="E263" t="s">
        <v>20</v>
      </c>
      <c r="F263" t="s">
        <v>17</v>
      </c>
      <c r="G263" t="s">
        <v>18</v>
      </c>
      <c r="H263">
        <v>277</v>
      </c>
      <c r="I263">
        <v>257</v>
      </c>
      <c r="J263">
        <v>99.7</v>
      </c>
      <c r="K263">
        <v>69</v>
      </c>
      <c r="L263">
        <v>26.4</v>
      </c>
      <c r="M263">
        <v>7.5</v>
      </c>
      <c r="N263">
        <v>0.10962999731890601</v>
      </c>
      <c r="O263">
        <v>5.6962406174526997E-2</v>
      </c>
      <c r="P263" t="str">
        <f t="shared" si="8"/>
        <v>F</v>
      </c>
      <c r="Q263" t="str">
        <f t="shared" si="9"/>
        <v>F</v>
      </c>
    </row>
    <row r="264" spans="1:17" hidden="1" x14ac:dyDescent="0.3">
      <c r="A264">
        <v>3341</v>
      </c>
      <c r="B264">
        <v>2215</v>
      </c>
      <c r="C264">
        <v>269</v>
      </c>
      <c r="D264" t="s">
        <v>19</v>
      </c>
      <c r="E264" t="s">
        <v>20</v>
      </c>
      <c r="F264" t="s">
        <v>17</v>
      </c>
      <c r="G264" t="s">
        <v>25</v>
      </c>
      <c r="H264">
        <v>273.8</v>
      </c>
      <c r="I264">
        <v>243</v>
      </c>
      <c r="J264">
        <v>91.5</v>
      </c>
      <c r="K264">
        <v>66</v>
      </c>
      <c r="L264">
        <v>24.8</v>
      </c>
      <c r="M264">
        <v>8.5</v>
      </c>
      <c r="N264">
        <v>0.100473906799228</v>
      </c>
      <c r="O264">
        <v>0.121334480055896</v>
      </c>
      <c r="P264" t="str">
        <f t="shared" si="8"/>
        <v>F</v>
      </c>
      <c r="Q264" t="str">
        <f t="shared" si="9"/>
        <v>F</v>
      </c>
    </row>
    <row r="265" spans="1:17" hidden="1" x14ac:dyDescent="0.3">
      <c r="A265">
        <v>3342</v>
      </c>
      <c r="B265">
        <v>2215</v>
      </c>
      <c r="C265">
        <v>269</v>
      </c>
      <c r="D265" t="s">
        <v>19</v>
      </c>
      <c r="E265" t="s">
        <v>20</v>
      </c>
      <c r="F265" t="s">
        <v>17</v>
      </c>
      <c r="G265" t="s">
        <v>25</v>
      </c>
      <c r="H265">
        <v>273.8</v>
      </c>
      <c r="I265">
        <v>243</v>
      </c>
      <c r="J265">
        <v>91.5</v>
      </c>
      <c r="K265">
        <v>66</v>
      </c>
      <c r="L265">
        <v>24.8</v>
      </c>
      <c r="M265">
        <v>8.5</v>
      </c>
      <c r="N265">
        <v>0.101734100638762</v>
      </c>
      <c r="O265">
        <v>0.13662838125069099</v>
      </c>
      <c r="P265" t="str">
        <f t="shared" si="8"/>
        <v>F</v>
      </c>
      <c r="Q265" t="str">
        <f t="shared" si="9"/>
        <v>F</v>
      </c>
    </row>
    <row r="266" spans="1:17" hidden="1" x14ac:dyDescent="0.3">
      <c r="A266">
        <v>3343</v>
      </c>
      <c r="B266">
        <v>2216</v>
      </c>
      <c r="C266">
        <v>32</v>
      </c>
      <c r="D266" t="s">
        <v>19</v>
      </c>
      <c r="E266" t="s">
        <v>20</v>
      </c>
      <c r="F266" t="s">
        <v>17</v>
      </c>
      <c r="G266" t="s">
        <v>26</v>
      </c>
      <c r="H266">
        <v>274.8</v>
      </c>
      <c r="I266">
        <v>261</v>
      </c>
      <c r="J266">
        <v>101</v>
      </c>
      <c r="K266">
        <v>66</v>
      </c>
      <c r="L266">
        <v>24.4</v>
      </c>
      <c r="M266">
        <v>8.5</v>
      </c>
      <c r="N266">
        <v>0.10844712443975001</v>
      </c>
      <c r="O266">
        <v>0.15046313449771601</v>
      </c>
      <c r="P266" t="str">
        <f t="shared" si="8"/>
        <v>F</v>
      </c>
      <c r="Q266" t="str">
        <f t="shared" si="9"/>
        <v>F</v>
      </c>
    </row>
    <row r="267" spans="1:17" hidden="1" x14ac:dyDescent="0.3">
      <c r="A267">
        <v>3344</v>
      </c>
      <c r="B267">
        <v>2216</v>
      </c>
      <c r="C267">
        <v>32</v>
      </c>
      <c r="D267" t="s">
        <v>19</v>
      </c>
      <c r="E267" t="s">
        <v>20</v>
      </c>
      <c r="F267" t="s">
        <v>17</v>
      </c>
      <c r="G267" t="s">
        <v>26</v>
      </c>
      <c r="H267">
        <v>274.8</v>
      </c>
      <c r="I267">
        <v>261</v>
      </c>
      <c r="J267">
        <v>101</v>
      </c>
      <c r="K267">
        <v>66</v>
      </c>
      <c r="L267">
        <v>24.4</v>
      </c>
      <c r="M267">
        <v>8.5</v>
      </c>
      <c r="N267">
        <v>9.7964652977103203E-2</v>
      </c>
      <c r="O267">
        <v>0.123089032106094</v>
      </c>
      <c r="P267" t="str">
        <f t="shared" si="8"/>
        <v>F</v>
      </c>
      <c r="Q267" t="str">
        <f t="shared" si="9"/>
        <v>F</v>
      </c>
    </row>
    <row r="268" spans="1:17" hidden="1" x14ac:dyDescent="0.3">
      <c r="A268">
        <v>3385</v>
      </c>
      <c r="B268">
        <v>2228</v>
      </c>
      <c r="C268">
        <v>233</v>
      </c>
      <c r="D268" t="s">
        <v>19</v>
      </c>
      <c r="E268" t="s">
        <v>20</v>
      </c>
      <c r="F268" t="s">
        <v>21</v>
      </c>
      <c r="G268" t="s">
        <v>18</v>
      </c>
      <c r="H268">
        <v>274.7</v>
      </c>
      <c r="I268">
        <v>248.5</v>
      </c>
      <c r="J268">
        <v>95.9</v>
      </c>
      <c r="K268">
        <v>63.5</v>
      </c>
      <c r="L268">
        <v>27.6</v>
      </c>
      <c r="M268">
        <v>11</v>
      </c>
      <c r="N268">
        <v>3.6211126601326402E-2</v>
      </c>
      <c r="O268">
        <v>0.114975089377087</v>
      </c>
      <c r="P268" t="str">
        <f t="shared" si="8"/>
        <v>T</v>
      </c>
      <c r="Q268" t="str">
        <f t="shared" si="9"/>
        <v>F</v>
      </c>
    </row>
    <row r="269" spans="1:17" hidden="1" x14ac:dyDescent="0.3">
      <c r="A269">
        <v>3387</v>
      </c>
      <c r="B269">
        <v>2228</v>
      </c>
      <c r="C269">
        <v>233</v>
      </c>
      <c r="D269" t="s">
        <v>19</v>
      </c>
      <c r="E269" t="s">
        <v>20</v>
      </c>
      <c r="F269" t="s">
        <v>21</v>
      </c>
      <c r="G269" t="s">
        <v>18</v>
      </c>
      <c r="H269">
        <v>274.7</v>
      </c>
      <c r="I269">
        <v>248.5</v>
      </c>
      <c r="J269">
        <v>95.9</v>
      </c>
      <c r="K269">
        <v>63.5</v>
      </c>
      <c r="L269">
        <v>27.6</v>
      </c>
      <c r="M269">
        <v>11</v>
      </c>
      <c r="N269">
        <v>3.9082632684283698E-2</v>
      </c>
      <c r="O269">
        <v>0.114363289269256</v>
      </c>
      <c r="P269" t="str">
        <f t="shared" si="8"/>
        <v>T</v>
      </c>
      <c r="Q269" t="str">
        <f t="shared" si="9"/>
        <v>F</v>
      </c>
    </row>
    <row r="270" spans="1:17" hidden="1" x14ac:dyDescent="0.3">
      <c r="A270">
        <v>3389</v>
      </c>
      <c r="B270">
        <v>2229</v>
      </c>
      <c r="C270">
        <v>18</v>
      </c>
      <c r="D270" t="s">
        <v>19</v>
      </c>
      <c r="E270" t="s">
        <v>20</v>
      </c>
      <c r="F270" t="s">
        <v>21</v>
      </c>
      <c r="G270" t="s">
        <v>25</v>
      </c>
      <c r="H270">
        <v>271.39999999999998</v>
      </c>
      <c r="I270">
        <v>244</v>
      </c>
      <c r="J270">
        <v>97.3</v>
      </c>
      <c r="K270">
        <v>64</v>
      </c>
      <c r="L270">
        <v>23.3</v>
      </c>
      <c r="M270">
        <v>6.5</v>
      </c>
      <c r="N270">
        <v>0.25815019815770801</v>
      </c>
      <c r="O270">
        <v>2.6167680385230398E-2</v>
      </c>
      <c r="P270" t="str">
        <f t="shared" si="8"/>
        <v>F</v>
      </c>
      <c r="Q270" t="str">
        <f t="shared" si="9"/>
        <v>T</v>
      </c>
    </row>
    <row r="271" spans="1:17" hidden="1" x14ac:dyDescent="0.3">
      <c r="A271">
        <v>3390</v>
      </c>
      <c r="B271">
        <v>2229</v>
      </c>
      <c r="C271">
        <v>18</v>
      </c>
      <c r="D271" t="s">
        <v>19</v>
      </c>
      <c r="E271" t="s">
        <v>20</v>
      </c>
      <c r="F271" t="s">
        <v>21</v>
      </c>
      <c r="G271" t="s">
        <v>25</v>
      </c>
      <c r="H271">
        <v>271.39999999999998</v>
      </c>
      <c r="I271">
        <v>244</v>
      </c>
      <c r="J271">
        <v>97.3</v>
      </c>
      <c r="K271">
        <v>64</v>
      </c>
      <c r="L271">
        <v>23.3</v>
      </c>
      <c r="M271">
        <v>6.5</v>
      </c>
      <c r="N271">
        <v>0.246302351693686</v>
      </c>
      <c r="O271">
        <v>2.4094467749893999E-2</v>
      </c>
      <c r="P271" t="str">
        <f t="shared" si="8"/>
        <v>F</v>
      </c>
      <c r="Q271" t="str">
        <f t="shared" si="9"/>
        <v>T</v>
      </c>
    </row>
    <row r="272" spans="1:17" hidden="1" x14ac:dyDescent="0.3">
      <c r="A272">
        <v>3391</v>
      </c>
      <c r="B272">
        <v>2229</v>
      </c>
      <c r="C272">
        <v>18</v>
      </c>
      <c r="D272" t="s">
        <v>19</v>
      </c>
      <c r="E272" t="s">
        <v>20</v>
      </c>
      <c r="F272" t="s">
        <v>21</v>
      </c>
      <c r="G272" t="s">
        <v>25</v>
      </c>
      <c r="H272">
        <v>271.39999999999998</v>
      </c>
      <c r="I272">
        <v>244</v>
      </c>
      <c r="J272">
        <v>97.3</v>
      </c>
      <c r="K272">
        <v>64</v>
      </c>
      <c r="L272">
        <v>23.3</v>
      </c>
      <c r="M272">
        <v>6.5</v>
      </c>
      <c r="N272">
        <v>0.23514788951566201</v>
      </c>
      <c r="O272">
        <v>2.6425859543060801E-2</v>
      </c>
      <c r="P272" t="str">
        <f t="shared" si="8"/>
        <v>F</v>
      </c>
      <c r="Q272" t="str">
        <f t="shared" si="9"/>
        <v>T</v>
      </c>
    </row>
    <row r="273" spans="1:17" hidden="1" x14ac:dyDescent="0.3">
      <c r="A273">
        <v>3392</v>
      </c>
      <c r="B273">
        <v>223</v>
      </c>
      <c r="C273">
        <v>147</v>
      </c>
      <c r="D273" t="s">
        <v>19</v>
      </c>
      <c r="E273" t="s">
        <v>20</v>
      </c>
      <c r="F273" t="s">
        <v>21</v>
      </c>
      <c r="G273" t="s">
        <v>26</v>
      </c>
      <c r="H273">
        <v>274.7</v>
      </c>
      <c r="I273">
        <v>246</v>
      </c>
      <c r="J273">
        <v>94.8</v>
      </c>
      <c r="K273">
        <v>66.5</v>
      </c>
      <c r="L273">
        <v>23.6</v>
      </c>
      <c r="M273">
        <v>10.5</v>
      </c>
      <c r="N273">
        <v>0.12265834061289201</v>
      </c>
      <c r="O273">
        <v>0.119680580478623</v>
      </c>
      <c r="P273" t="str">
        <f t="shared" si="8"/>
        <v>F</v>
      </c>
      <c r="Q273" t="str">
        <f t="shared" si="9"/>
        <v>F</v>
      </c>
    </row>
    <row r="274" spans="1:17" hidden="1" x14ac:dyDescent="0.3">
      <c r="A274">
        <v>3393</v>
      </c>
      <c r="B274">
        <v>223</v>
      </c>
      <c r="C274">
        <v>147</v>
      </c>
      <c r="D274" t="s">
        <v>19</v>
      </c>
      <c r="E274" t="s">
        <v>20</v>
      </c>
      <c r="F274" t="s">
        <v>21</v>
      </c>
      <c r="G274" t="s">
        <v>26</v>
      </c>
      <c r="H274">
        <v>274.7</v>
      </c>
      <c r="I274">
        <v>246</v>
      </c>
      <c r="J274">
        <v>94.8</v>
      </c>
      <c r="K274">
        <v>66.5</v>
      </c>
      <c r="L274">
        <v>23.6</v>
      </c>
      <c r="M274">
        <v>10.5</v>
      </c>
      <c r="N274">
        <v>0.13710704419665801</v>
      </c>
      <c r="O274">
        <v>0.13382908575698199</v>
      </c>
      <c r="P274" t="str">
        <f t="shared" si="8"/>
        <v>F</v>
      </c>
      <c r="Q274" t="str">
        <f t="shared" si="9"/>
        <v>F</v>
      </c>
    </row>
    <row r="275" spans="1:17" hidden="1" x14ac:dyDescent="0.3">
      <c r="A275">
        <v>3422</v>
      </c>
      <c r="B275">
        <v>2239</v>
      </c>
      <c r="C275">
        <v>320</v>
      </c>
      <c r="D275" t="s">
        <v>19</v>
      </c>
      <c r="E275" t="s">
        <v>20</v>
      </c>
      <c r="F275" t="s">
        <v>17</v>
      </c>
      <c r="G275" t="s">
        <v>25</v>
      </c>
      <c r="H275">
        <v>279</v>
      </c>
      <c r="I275">
        <v>253.5</v>
      </c>
      <c r="J275">
        <v>97.1</v>
      </c>
      <c r="K275">
        <v>64</v>
      </c>
      <c r="L275">
        <v>24</v>
      </c>
      <c r="M275">
        <v>8</v>
      </c>
      <c r="N275">
        <v>0.16620472373718501</v>
      </c>
      <c r="O275">
        <v>2.2520169939257598E-2</v>
      </c>
      <c r="P275" t="str">
        <f t="shared" si="8"/>
        <v>F</v>
      </c>
      <c r="Q275" t="str">
        <f t="shared" si="9"/>
        <v>T</v>
      </c>
    </row>
    <row r="276" spans="1:17" x14ac:dyDescent="0.3">
      <c r="A276">
        <v>3439</v>
      </c>
      <c r="B276">
        <v>2245</v>
      </c>
      <c r="C276">
        <v>335</v>
      </c>
      <c r="D276" t="s">
        <v>19</v>
      </c>
      <c r="E276" t="s">
        <v>20</v>
      </c>
      <c r="F276" t="s">
        <v>17</v>
      </c>
      <c r="G276" t="s">
        <v>18</v>
      </c>
      <c r="H276">
        <v>278.5</v>
      </c>
      <c r="I276">
        <v>240.5</v>
      </c>
      <c r="J276">
        <v>94.4</v>
      </c>
      <c r="K276">
        <v>69</v>
      </c>
      <c r="L276">
        <v>25.8</v>
      </c>
      <c r="M276">
        <v>8.5</v>
      </c>
      <c r="N276">
        <v>4.8925979690897403E-2</v>
      </c>
      <c r="O276">
        <v>1.4346637782757601E-2</v>
      </c>
      <c r="P276" t="str">
        <f t="shared" si="8"/>
        <v>T</v>
      </c>
      <c r="Q276" t="str">
        <f t="shared" si="9"/>
        <v>T</v>
      </c>
    </row>
    <row r="277" spans="1:17" x14ac:dyDescent="0.3">
      <c r="A277">
        <v>3440</v>
      </c>
      <c r="B277">
        <v>2245</v>
      </c>
      <c r="C277">
        <v>335</v>
      </c>
      <c r="D277" t="s">
        <v>19</v>
      </c>
      <c r="E277" t="s">
        <v>20</v>
      </c>
      <c r="F277" t="s">
        <v>17</v>
      </c>
      <c r="G277" t="s">
        <v>18</v>
      </c>
      <c r="H277">
        <v>278.5</v>
      </c>
      <c r="I277">
        <v>240.5</v>
      </c>
      <c r="J277">
        <v>94.4</v>
      </c>
      <c r="K277">
        <v>69</v>
      </c>
      <c r="L277">
        <v>25.8</v>
      </c>
      <c r="M277">
        <v>8.5</v>
      </c>
      <c r="N277">
        <v>5.1392306472359699E-2</v>
      </c>
      <c r="O277">
        <v>1.8170950937080502E-2</v>
      </c>
      <c r="P277" t="str">
        <f t="shared" si="8"/>
        <v>T</v>
      </c>
      <c r="Q277" t="str">
        <f t="shared" si="9"/>
        <v>T</v>
      </c>
    </row>
    <row r="278" spans="1:17" hidden="1" x14ac:dyDescent="0.3">
      <c r="A278">
        <v>3441</v>
      </c>
      <c r="B278">
        <v>2245</v>
      </c>
      <c r="C278">
        <v>335</v>
      </c>
      <c r="D278" t="s">
        <v>19</v>
      </c>
      <c r="E278" t="s">
        <v>20</v>
      </c>
      <c r="F278" t="s">
        <v>17</v>
      </c>
      <c r="G278" t="s">
        <v>18</v>
      </c>
      <c r="H278">
        <v>278.5</v>
      </c>
      <c r="I278">
        <v>240.5</v>
      </c>
      <c r="J278">
        <v>94.4</v>
      </c>
      <c r="K278">
        <v>69</v>
      </c>
      <c r="L278">
        <v>25.8</v>
      </c>
      <c r="M278">
        <v>8.5</v>
      </c>
      <c r="N278">
        <v>1.78652227068428E-2</v>
      </c>
      <c r="O278">
        <v>3.2304523732242699E-2</v>
      </c>
      <c r="P278" t="str">
        <f t="shared" si="8"/>
        <v>T</v>
      </c>
      <c r="Q278" t="str">
        <f t="shared" si="9"/>
        <v>F</v>
      </c>
    </row>
    <row r="279" spans="1:17" x14ac:dyDescent="0.3">
      <c r="A279">
        <v>3442</v>
      </c>
      <c r="B279">
        <v>2245</v>
      </c>
      <c r="C279">
        <v>335</v>
      </c>
      <c r="D279" t="s">
        <v>19</v>
      </c>
      <c r="E279" t="s">
        <v>20</v>
      </c>
      <c r="F279" t="s">
        <v>17</v>
      </c>
      <c r="G279" t="s">
        <v>18</v>
      </c>
      <c r="H279">
        <v>278.5</v>
      </c>
      <c r="I279">
        <v>240.5</v>
      </c>
      <c r="J279">
        <v>94.4</v>
      </c>
      <c r="K279">
        <v>69</v>
      </c>
      <c r="L279">
        <v>25.8</v>
      </c>
      <c r="M279">
        <v>8.5</v>
      </c>
      <c r="N279">
        <v>3.81104639987929E-2</v>
      </c>
      <c r="O279">
        <v>1.88217221024073E-2</v>
      </c>
      <c r="P279" t="str">
        <f t="shared" si="8"/>
        <v>T</v>
      </c>
      <c r="Q279" t="str">
        <f t="shared" si="9"/>
        <v>T</v>
      </c>
    </row>
    <row r="280" spans="1:17" hidden="1" x14ac:dyDescent="0.3">
      <c r="A280">
        <v>3445</v>
      </c>
      <c r="B280">
        <v>2249</v>
      </c>
      <c r="C280">
        <v>335</v>
      </c>
      <c r="D280" t="s">
        <v>19</v>
      </c>
      <c r="E280" t="s">
        <v>20</v>
      </c>
      <c r="F280" t="s">
        <v>21</v>
      </c>
      <c r="G280" t="s">
        <v>18</v>
      </c>
      <c r="H280">
        <v>278.5</v>
      </c>
      <c r="I280">
        <v>240.5</v>
      </c>
      <c r="J280">
        <v>94.4</v>
      </c>
      <c r="K280">
        <v>69</v>
      </c>
      <c r="L280">
        <v>25.8</v>
      </c>
      <c r="M280">
        <v>8.5</v>
      </c>
      <c r="N280">
        <v>5.1312093956539802E-2</v>
      </c>
      <c r="O280">
        <v>4.1989803782290697E-2</v>
      </c>
      <c r="P280" t="str">
        <f t="shared" si="8"/>
        <v>T</v>
      </c>
      <c r="Q280" t="str">
        <f t="shared" si="9"/>
        <v>F</v>
      </c>
    </row>
    <row r="281" spans="1:17" hidden="1" x14ac:dyDescent="0.3">
      <c r="A281">
        <v>3446</v>
      </c>
      <c r="B281">
        <v>2249</v>
      </c>
      <c r="C281">
        <v>335</v>
      </c>
      <c r="D281" t="s">
        <v>19</v>
      </c>
      <c r="E281" t="s">
        <v>20</v>
      </c>
      <c r="F281" t="s">
        <v>21</v>
      </c>
      <c r="G281" t="s">
        <v>18</v>
      </c>
      <c r="H281">
        <v>278.5</v>
      </c>
      <c r="I281">
        <v>240.5</v>
      </c>
      <c r="J281">
        <v>94.4</v>
      </c>
      <c r="K281">
        <v>69</v>
      </c>
      <c r="L281">
        <v>25.8</v>
      </c>
      <c r="M281">
        <v>8.5</v>
      </c>
      <c r="N281">
        <v>2.6763856904728101E-2</v>
      </c>
      <c r="O281">
        <v>3.3191416375437301E-2</v>
      </c>
      <c r="P281" t="str">
        <f t="shared" si="8"/>
        <v>T</v>
      </c>
      <c r="Q281" t="str">
        <f t="shared" si="9"/>
        <v>F</v>
      </c>
    </row>
    <row r="282" spans="1:17" hidden="1" x14ac:dyDescent="0.3">
      <c r="A282">
        <v>3450</v>
      </c>
      <c r="B282">
        <v>2253</v>
      </c>
      <c r="C282">
        <v>147</v>
      </c>
      <c r="D282" t="s">
        <v>19</v>
      </c>
      <c r="E282" t="s">
        <v>20</v>
      </c>
      <c r="F282" t="s">
        <v>17</v>
      </c>
      <c r="G282" t="s">
        <v>22</v>
      </c>
      <c r="H282">
        <v>274.7</v>
      </c>
      <c r="I282">
        <v>246</v>
      </c>
      <c r="J282">
        <v>94.8</v>
      </c>
      <c r="K282">
        <v>66.5</v>
      </c>
      <c r="L282">
        <v>23.6</v>
      </c>
      <c r="M282">
        <v>10.5</v>
      </c>
      <c r="N282">
        <v>0.125535890063842</v>
      </c>
      <c r="O282">
        <v>0.12991250985755201</v>
      </c>
      <c r="P282" t="str">
        <f t="shared" si="8"/>
        <v>F</v>
      </c>
      <c r="Q282" t="str">
        <f t="shared" si="9"/>
        <v>F</v>
      </c>
    </row>
    <row r="283" spans="1:17" hidden="1" x14ac:dyDescent="0.3">
      <c r="A283">
        <v>3453</v>
      </c>
      <c r="B283">
        <v>2255</v>
      </c>
      <c r="C283">
        <v>32</v>
      </c>
      <c r="D283" t="s">
        <v>19</v>
      </c>
      <c r="E283" t="s">
        <v>20</v>
      </c>
      <c r="F283" t="s">
        <v>21</v>
      </c>
      <c r="G283" t="s">
        <v>22</v>
      </c>
      <c r="H283">
        <v>274.8</v>
      </c>
      <c r="I283">
        <v>261</v>
      </c>
      <c r="J283">
        <v>101</v>
      </c>
      <c r="K283">
        <v>66</v>
      </c>
      <c r="L283">
        <v>24.4</v>
      </c>
      <c r="M283">
        <v>8.5</v>
      </c>
      <c r="N283">
        <v>0.12474513402584</v>
      </c>
      <c r="O283">
        <v>0.16118010393543999</v>
      </c>
      <c r="P283" t="str">
        <f t="shared" si="8"/>
        <v>F</v>
      </c>
      <c r="Q283" t="str">
        <f t="shared" si="9"/>
        <v>F</v>
      </c>
    </row>
    <row r="284" spans="1:17" hidden="1" x14ac:dyDescent="0.3">
      <c r="A284">
        <v>3454</v>
      </c>
      <c r="B284">
        <v>2255</v>
      </c>
      <c r="C284">
        <v>32</v>
      </c>
      <c r="D284" t="s">
        <v>19</v>
      </c>
      <c r="E284" t="s">
        <v>20</v>
      </c>
      <c r="F284" t="s">
        <v>21</v>
      </c>
      <c r="G284" t="s">
        <v>22</v>
      </c>
      <c r="H284">
        <v>274.8</v>
      </c>
      <c r="I284">
        <v>261</v>
      </c>
      <c r="J284">
        <v>101</v>
      </c>
      <c r="K284">
        <v>66</v>
      </c>
      <c r="L284">
        <v>24.4</v>
      </c>
      <c r="M284">
        <v>8.5</v>
      </c>
      <c r="N284">
        <v>0.13425427993816899</v>
      </c>
      <c r="O284">
        <v>0.159324093786128</v>
      </c>
      <c r="P284" t="str">
        <f t="shared" si="8"/>
        <v>F</v>
      </c>
      <c r="Q284" t="str">
        <f t="shared" si="9"/>
        <v>F</v>
      </c>
    </row>
    <row r="285" spans="1:17" hidden="1" x14ac:dyDescent="0.3">
      <c r="A285">
        <v>3455</v>
      </c>
      <c r="B285">
        <v>2255</v>
      </c>
      <c r="C285">
        <v>32</v>
      </c>
      <c r="D285" t="s">
        <v>19</v>
      </c>
      <c r="E285" t="s">
        <v>20</v>
      </c>
      <c r="F285" t="s">
        <v>21</v>
      </c>
      <c r="G285" t="s">
        <v>22</v>
      </c>
      <c r="H285">
        <v>274.8</v>
      </c>
      <c r="I285">
        <v>261</v>
      </c>
      <c r="J285">
        <v>101</v>
      </c>
      <c r="K285">
        <v>66</v>
      </c>
      <c r="L285">
        <v>24.4</v>
      </c>
      <c r="M285">
        <v>8.5</v>
      </c>
      <c r="N285">
        <v>0.14079984740926199</v>
      </c>
      <c r="O285">
        <v>0.15718038076693799</v>
      </c>
      <c r="P285" t="str">
        <f t="shared" si="8"/>
        <v>F</v>
      </c>
      <c r="Q285" t="str">
        <f t="shared" si="9"/>
        <v>F</v>
      </c>
    </row>
    <row r="286" spans="1:17" hidden="1" x14ac:dyDescent="0.3">
      <c r="A286">
        <v>3520</v>
      </c>
      <c r="B286">
        <v>2273</v>
      </c>
      <c r="C286">
        <v>28</v>
      </c>
      <c r="D286" t="s">
        <v>19</v>
      </c>
      <c r="E286" t="s">
        <v>20</v>
      </c>
      <c r="F286" t="s">
        <v>21</v>
      </c>
      <c r="G286" t="s">
        <v>24</v>
      </c>
      <c r="H286">
        <v>274.39999999999998</v>
      </c>
      <c r="I286">
        <v>243.5</v>
      </c>
      <c r="J286">
        <v>94.3</v>
      </c>
      <c r="K286">
        <v>65.5</v>
      </c>
      <c r="L286">
        <v>28</v>
      </c>
      <c r="M286">
        <v>5.5</v>
      </c>
      <c r="N286">
        <v>0.30171157897341699</v>
      </c>
      <c r="O286">
        <v>8.3169094072532104E-2</v>
      </c>
      <c r="P286" t="str">
        <f t="shared" si="8"/>
        <v>F</v>
      </c>
      <c r="Q286" t="str">
        <f t="shared" si="9"/>
        <v>F</v>
      </c>
    </row>
    <row r="287" spans="1:17" hidden="1" x14ac:dyDescent="0.3">
      <c r="A287">
        <v>3521</v>
      </c>
      <c r="B287">
        <v>2274</v>
      </c>
      <c r="C287">
        <v>443</v>
      </c>
      <c r="D287" t="s">
        <v>19</v>
      </c>
      <c r="E287" t="s">
        <v>20</v>
      </c>
      <c r="F287" t="s">
        <v>21</v>
      </c>
      <c r="G287" t="s">
        <v>25</v>
      </c>
      <c r="H287">
        <v>272.5</v>
      </c>
      <c r="I287">
        <v>239.5</v>
      </c>
      <c r="J287">
        <v>96</v>
      </c>
      <c r="K287">
        <v>64.5</v>
      </c>
      <c r="L287">
        <v>20.399999999999999</v>
      </c>
      <c r="M287">
        <v>10</v>
      </c>
      <c r="N287">
        <v>0.241432795887976</v>
      </c>
      <c r="O287">
        <v>7.3450351350585599E-2</v>
      </c>
      <c r="P287" t="str">
        <f t="shared" si="8"/>
        <v>F</v>
      </c>
      <c r="Q287" t="str">
        <f t="shared" si="9"/>
        <v>F</v>
      </c>
    </row>
    <row r="288" spans="1:17" hidden="1" x14ac:dyDescent="0.3">
      <c r="A288">
        <v>3522</v>
      </c>
      <c r="B288">
        <v>2274</v>
      </c>
      <c r="C288">
        <v>443</v>
      </c>
      <c r="D288" t="s">
        <v>19</v>
      </c>
      <c r="E288" t="s">
        <v>20</v>
      </c>
      <c r="F288" t="s">
        <v>21</v>
      </c>
      <c r="G288" t="s">
        <v>25</v>
      </c>
      <c r="H288">
        <v>272.5</v>
      </c>
      <c r="I288">
        <v>239.5</v>
      </c>
      <c r="J288">
        <v>96</v>
      </c>
      <c r="K288">
        <v>64.5</v>
      </c>
      <c r="L288">
        <v>20.399999999999999</v>
      </c>
      <c r="M288">
        <v>10</v>
      </c>
      <c r="N288">
        <v>0.266732786658887</v>
      </c>
      <c r="O288">
        <v>6.1181170342153403E-2</v>
      </c>
      <c r="P288" t="str">
        <f t="shared" si="8"/>
        <v>F</v>
      </c>
      <c r="Q288" t="str">
        <f t="shared" si="9"/>
        <v>F</v>
      </c>
    </row>
    <row r="289" spans="1:17" hidden="1" x14ac:dyDescent="0.3">
      <c r="A289">
        <v>3523</v>
      </c>
      <c r="B289">
        <v>2274</v>
      </c>
      <c r="C289">
        <v>443</v>
      </c>
      <c r="D289" t="s">
        <v>19</v>
      </c>
      <c r="E289" t="s">
        <v>20</v>
      </c>
      <c r="F289" t="s">
        <v>21</v>
      </c>
      <c r="G289" t="s">
        <v>25</v>
      </c>
      <c r="H289">
        <v>272.5</v>
      </c>
      <c r="I289">
        <v>239.5</v>
      </c>
      <c r="J289">
        <v>96</v>
      </c>
      <c r="K289">
        <v>64.5</v>
      </c>
      <c r="L289">
        <v>20.399999999999999</v>
      </c>
      <c r="M289">
        <v>10</v>
      </c>
      <c r="N289">
        <v>0.256443847975037</v>
      </c>
      <c r="O289">
        <v>6.1167037690188601E-2</v>
      </c>
      <c r="P289" t="str">
        <f t="shared" si="8"/>
        <v>F</v>
      </c>
      <c r="Q289" t="str">
        <f t="shared" si="9"/>
        <v>F</v>
      </c>
    </row>
    <row r="290" spans="1:17" hidden="1" x14ac:dyDescent="0.3">
      <c r="A290">
        <v>3524</v>
      </c>
      <c r="B290">
        <v>2274</v>
      </c>
      <c r="C290">
        <v>443</v>
      </c>
      <c r="D290" t="s">
        <v>19</v>
      </c>
      <c r="E290" t="s">
        <v>20</v>
      </c>
      <c r="F290" t="s">
        <v>21</v>
      </c>
      <c r="G290" t="s">
        <v>25</v>
      </c>
      <c r="H290">
        <v>272.5</v>
      </c>
      <c r="I290">
        <v>239.5</v>
      </c>
      <c r="J290">
        <v>96</v>
      </c>
      <c r="K290">
        <v>64.5</v>
      </c>
      <c r="L290">
        <v>20.399999999999999</v>
      </c>
      <c r="M290">
        <v>10</v>
      </c>
      <c r="N290">
        <v>0.26872876450385802</v>
      </c>
      <c r="O290">
        <v>6.2258278825967801E-2</v>
      </c>
      <c r="P290" t="str">
        <f t="shared" si="8"/>
        <v>F</v>
      </c>
      <c r="Q290" t="str">
        <f t="shared" si="9"/>
        <v>F</v>
      </c>
    </row>
    <row r="291" spans="1:17" hidden="1" x14ac:dyDescent="0.3">
      <c r="A291">
        <v>3572</v>
      </c>
      <c r="B291">
        <v>2288</v>
      </c>
      <c r="C291">
        <v>89</v>
      </c>
      <c r="D291" t="s">
        <v>19</v>
      </c>
      <c r="E291" t="s">
        <v>20</v>
      </c>
      <c r="F291" t="s">
        <v>17</v>
      </c>
      <c r="G291" t="s">
        <v>22</v>
      </c>
      <c r="H291">
        <v>275.89999999999998</v>
      </c>
      <c r="I291">
        <v>245.5</v>
      </c>
      <c r="J291">
        <v>92.8</v>
      </c>
      <c r="K291">
        <v>66.5</v>
      </c>
      <c r="L291">
        <v>26.7</v>
      </c>
      <c r="M291">
        <v>12.5</v>
      </c>
      <c r="N291">
        <v>7.1958741951835298E-2</v>
      </c>
      <c r="O291">
        <v>9.4821807279160994E-2</v>
      </c>
      <c r="P291" t="str">
        <f t="shared" si="8"/>
        <v>F</v>
      </c>
      <c r="Q291" t="str">
        <f t="shared" si="9"/>
        <v>F</v>
      </c>
    </row>
    <row r="292" spans="1:17" hidden="1" x14ac:dyDescent="0.3">
      <c r="A292">
        <v>3573</v>
      </c>
      <c r="B292">
        <v>2288</v>
      </c>
      <c r="C292">
        <v>89</v>
      </c>
      <c r="D292" t="s">
        <v>19</v>
      </c>
      <c r="E292" t="s">
        <v>20</v>
      </c>
      <c r="F292" t="s">
        <v>17</v>
      </c>
      <c r="G292" t="s">
        <v>22</v>
      </c>
      <c r="H292">
        <v>275.89999999999998</v>
      </c>
      <c r="I292">
        <v>245.5</v>
      </c>
      <c r="J292">
        <v>92.8</v>
      </c>
      <c r="K292">
        <v>66.5</v>
      </c>
      <c r="L292">
        <v>26.7</v>
      </c>
      <c r="M292">
        <v>12.5</v>
      </c>
      <c r="N292">
        <v>6.7549447398719903E-2</v>
      </c>
      <c r="O292">
        <v>8.6792965308209097E-2</v>
      </c>
      <c r="P292" t="str">
        <f t="shared" si="8"/>
        <v>F</v>
      </c>
      <c r="Q292" t="str">
        <f t="shared" si="9"/>
        <v>F</v>
      </c>
    </row>
    <row r="293" spans="1:17" hidden="1" x14ac:dyDescent="0.3">
      <c r="A293">
        <v>3574</v>
      </c>
      <c r="B293">
        <v>2288</v>
      </c>
      <c r="C293">
        <v>89</v>
      </c>
      <c r="D293" t="s">
        <v>19</v>
      </c>
      <c r="E293" t="s">
        <v>20</v>
      </c>
      <c r="F293" t="s">
        <v>17</v>
      </c>
      <c r="G293" t="s">
        <v>22</v>
      </c>
      <c r="H293">
        <v>275.89999999999998</v>
      </c>
      <c r="I293">
        <v>245.5</v>
      </c>
      <c r="J293">
        <v>92.8</v>
      </c>
      <c r="K293">
        <v>66.5</v>
      </c>
      <c r="L293">
        <v>26.7</v>
      </c>
      <c r="M293">
        <v>12.5</v>
      </c>
      <c r="N293">
        <v>6.4355135155274898E-2</v>
      </c>
      <c r="O293">
        <v>0.101635733936791</v>
      </c>
      <c r="P293" t="str">
        <f t="shared" si="8"/>
        <v>T</v>
      </c>
      <c r="Q293" t="str">
        <f t="shared" si="9"/>
        <v>F</v>
      </c>
    </row>
    <row r="294" spans="1:17" hidden="1" x14ac:dyDescent="0.3">
      <c r="A294">
        <v>3600</v>
      </c>
      <c r="B294">
        <v>23</v>
      </c>
      <c r="C294">
        <v>298</v>
      </c>
      <c r="D294" t="s">
        <v>19</v>
      </c>
      <c r="E294" t="s">
        <v>20</v>
      </c>
      <c r="F294" t="s">
        <v>17</v>
      </c>
      <c r="G294" t="s">
        <v>22</v>
      </c>
      <c r="H294">
        <v>275.60000000000002</v>
      </c>
      <c r="I294">
        <v>251</v>
      </c>
      <c r="J294">
        <v>95.1</v>
      </c>
      <c r="K294">
        <v>66.5</v>
      </c>
      <c r="L294">
        <v>25.3</v>
      </c>
      <c r="M294">
        <v>10.5</v>
      </c>
      <c r="N294">
        <v>0.27216209590228102</v>
      </c>
      <c r="O294">
        <v>4.6809697428582098E-2</v>
      </c>
      <c r="P294" t="str">
        <f t="shared" si="8"/>
        <v>F</v>
      </c>
      <c r="Q294" t="str">
        <f t="shared" si="9"/>
        <v>F</v>
      </c>
    </row>
    <row r="295" spans="1:17" hidden="1" x14ac:dyDescent="0.3">
      <c r="A295">
        <v>3615</v>
      </c>
      <c r="B295">
        <v>2307</v>
      </c>
      <c r="C295">
        <v>68</v>
      </c>
      <c r="D295" t="s">
        <v>19</v>
      </c>
      <c r="E295" t="s">
        <v>20</v>
      </c>
      <c r="F295" t="s">
        <v>17</v>
      </c>
      <c r="G295" t="s">
        <v>22</v>
      </c>
      <c r="H295">
        <v>275.60000000000002</v>
      </c>
      <c r="I295">
        <v>254.5</v>
      </c>
      <c r="J295">
        <v>95.5</v>
      </c>
      <c r="K295">
        <v>65.5</v>
      </c>
      <c r="L295">
        <v>29.1</v>
      </c>
      <c r="M295">
        <v>10</v>
      </c>
      <c r="N295">
        <v>0.21954231065877899</v>
      </c>
      <c r="O295">
        <v>0.17572462640387601</v>
      </c>
      <c r="P295" t="str">
        <f t="shared" si="8"/>
        <v>F</v>
      </c>
      <c r="Q295" t="str">
        <f t="shared" si="9"/>
        <v>F</v>
      </c>
    </row>
    <row r="296" spans="1:17" hidden="1" x14ac:dyDescent="0.3">
      <c r="A296">
        <v>3616</v>
      </c>
      <c r="B296">
        <v>2307</v>
      </c>
      <c r="C296">
        <v>68</v>
      </c>
      <c r="D296" t="s">
        <v>19</v>
      </c>
      <c r="E296" t="s">
        <v>20</v>
      </c>
      <c r="F296" t="s">
        <v>17</v>
      </c>
      <c r="G296" t="s">
        <v>22</v>
      </c>
      <c r="H296">
        <v>275.60000000000002</v>
      </c>
      <c r="I296">
        <v>254.5</v>
      </c>
      <c r="J296">
        <v>95.5</v>
      </c>
      <c r="K296">
        <v>65.5</v>
      </c>
      <c r="L296">
        <v>29.1</v>
      </c>
      <c r="M296">
        <v>10</v>
      </c>
      <c r="N296">
        <v>0.22122082247958</v>
      </c>
      <c r="O296">
        <v>0.17432243327233499</v>
      </c>
      <c r="P296" t="str">
        <f t="shared" si="8"/>
        <v>F</v>
      </c>
      <c r="Q296" t="str">
        <f t="shared" si="9"/>
        <v>F</v>
      </c>
    </row>
    <row r="297" spans="1:17" hidden="1" x14ac:dyDescent="0.3">
      <c r="A297">
        <v>3644</v>
      </c>
      <c r="B297">
        <v>2318</v>
      </c>
      <c r="C297">
        <v>310</v>
      </c>
      <c r="D297" t="s">
        <v>19</v>
      </c>
      <c r="E297" t="s">
        <v>20</v>
      </c>
      <c r="F297" t="s">
        <v>21</v>
      </c>
      <c r="G297" t="s">
        <v>25</v>
      </c>
      <c r="H297">
        <v>273.60000000000002</v>
      </c>
      <c r="I297">
        <v>255</v>
      </c>
      <c r="J297">
        <v>95.2</v>
      </c>
      <c r="K297">
        <v>63.5</v>
      </c>
      <c r="L297">
        <v>27</v>
      </c>
      <c r="M297">
        <v>11.5</v>
      </c>
      <c r="N297">
        <v>4.5573182009900799E-2</v>
      </c>
      <c r="O297">
        <v>0.103675542126328</v>
      </c>
      <c r="P297" t="str">
        <f t="shared" si="8"/>
        <v>T</v>
      </c>
      <c r="Q297" t="str">
        <f t="shared" si="9"/>
        <v>F</v>
      </c>
    </row>
    <row r="298" spans="1:17" hidden="1" x14ac:dyDescent="0.3">
      <c r="A298">
        <v>3645</v>
      </c>
      <c r="B298">
        <v>2318</v>
      </c>
      <c r="C298">
        <v>310</v>
      </c>
      <c r="D298" t="s">
        <v>19</v>
      </c>
      <c r="E298" t="s">
        <v>20</v>
      </c>
      <c r="F298" t="s">
        <v>21</v>
      </c>
      <c r="G298" t="s">
        <v>25</v>
      </c>
      <c r="H298">
        <v>273.60000000000002</v>
      </c>
      <c r="I298">
        <v>255</v>
      </c>
      <c r="J298">
        <v>95.2</v>
      </c>
      <c r="K298">
        <v>63.5</v>
      </c>
      <c r="L298">
        <v>27</v>
      </c>
      <c r="M298">
        <v>11.5</v>
      </c>
      <c r="N298">
        <v>6.4182154160994001E-2</v>
      </c>
      <c r="O298">
        <v>0.105503710225783</v>
      </c>
      <c r="P298" t="str">
        <f t="shared" si="8"/>
        <v>T</v>
      </c>
      <c r="Q298" t="str">
        <f t="shared" si="9"/>
        <v>F</v>
      </c>
    </row>
    <row r="299" spans="1:17" hidden="1" x14ac:dyDescent="0.3">
      <c r="A299">
        <v>3646</v>
      </c>
      <c r="B299">
        <v>2318</v>
      </c>
      <c r="C299">
        <v>310</v>
      </c>
      <c r="D299" t="s">
        <v>19</v>
      </c>
      <c r="E299" t="s">
        <v>20</v>
      </c>
      <c r="F299" t="s">
        <v>21</v>
      </c>
      <c r="G299" t="s">
        <v>25</v>
      </c>
      <c r="H299">
        <v>273.60000000000002</v>
      </c>
      <c r="I299">
        <v>255</v>
      </c>
      <c r="J299">
        <v>95.2</v>
      </c>
      <c r="K299">
        <v>63.5</v>
      </c>
      <c r="L299">
        <v>27</v>
      </c>
      <c r="M299">
        <v>11.5</v>
      </c>
      <c r="N299">
        <v>5.71427764409769E-2</v>
      </c>
      <c r="O299">
        <v>0.132223514554516</v>
      </c>
      <c r="P299" t="str">
        <f t="shared" si="8"/>
        <v>T</v>
      </c>
      <c r="Q299" t="str">
        <f t="shared" si="9"/>
        <v>F</v>
      </c>
    </row>
    <row r="300" spans="1:17" hidden="1" x14ac:dyDescent="0.3">
      <c r="A300">
        <v>3687</v>
      </c>
      <c r="B300">
        <v>2335</v>
      </c>
      <c r="C300">
        <v>197</v>
      </c>
      <c r="D300" t="s">
        <v>19</v>
      </c>
      <c r="E300" t="s">
        <v>20</v>
      </c>
      <c r="F300" t="s">
        <v>17</v>
      </c>
      <c r="G300" t="s">
        <v>25</v>
      </c>
      <c r="H300">
        <v>280.10000000000002</v>
      </c>
      <c r="I300">
        <v>249.5</v>
      </c>
      <c r="J300">
        <v>95.8</v>
      </c>
      <c r="K300">
        <v>69.5</v>
      </c>
      <c r="L300">
        <v>26.6</v>
      </c>
      <c r="M300">
        <v>6.5</v>
      </c>
      <c r="N300">
        <v>0.16824742374677301</v>
      </c>
      <c r="O300">
        <v>2.9619710065565099E-2</v>
      </c>
      <c r="P300" t="str">
        <f t="shared" si="8"/>
        <v>F</v>
      </c>
      <c r="Q300" t="str">
        <f t="shared" si="9"/>
        <v>F</v>
      </c>
    </row>
    <row r="301" spans="1:17" hidden="1" x14ac:dyDescent="0.3">
      <c r="A301">
        <v>3688</v>
      </c>
      <c r="B301">
        <v>2335</v>
      </c>
      <c r="C301">
        <v>197</v>
      </c>
      <c r="D301" t="s">
        <v>19</v>
      </c>
      <c r="E301" t="s">
        <v>20</v>
      </c>
      <c r="F301" t="s">
        <v>17</v>
      </c>
      <c r="G301" t="s">
        <v>25</v>
      </c>
      <c r="H301">
        <v>280.10000000000002</v>
      </c>
      <c r="I301">
        <v>249.5</v>
      </c>
      <c r="J301">
        <v>95.8</v>
      </c>
      <c r="K301">
        <v>69.5</v>
      </c>
      <c r="L301">
        <v>26.6</v>
      </c>
      <c r="M301">
        <v>6.5</v>
      </c>
      <c r="N301">
        <v>0.18329609164195099</v>
      </c>
      <c r="O301">
        <v>1.8662877372717102E-2</v>
      </c>
      <c r="P301" t="str">
        <f t="shared" si="8"/>
        <v>F</v>
      </c>
      <c r="Q301" t="str">
        <f t="shared" si="9"/>
        <v>T</v>
      </c>
    </row>
    <row r="302" spans="1:17" hidden="1" x14ac:dyDescent="0.3">
      <c r="A302">
        <v>3689</v>
      </c>
      <c r="B302">
        <v>2335</v>
      </c>
      <c r="C302">
        <v>197</v>
      </c>
      <c r="D302" t="s">
        <v>19</v>
      </c>
      <c r="E302" t="s">
        <v>20</v>
      </c>
      <c r="F302" t="s">
        <v>17</v>
      </c>
      <c r="G302" t="s">
        <v>25</v>
      </c>
      <c r="H302">
        <v>280.10000000000002</v>
      </c>
      <c r="I302">
        <v>249.5</v>
      </c>
      <c r="J302">
        <v>95.8</v>
      </c>
      <c r="K302">
        <v>69.5</v>
      </c>
      <c r="L302">
        <v>26.6</v>
      </c>
      <c r="M302">
        <v>6.5</v>
      </c>
      <c r="N302">
        <v>0.182267150622344</v>
      </c>
      <c r="O302">
        <v>4.0306861170957102E-2</v>
      </c>
      <c r="P302" t="str">
        <f t="shared" si="8"/>
        <v>F</v>
      </c>
      <c r="Q302" t="str">
        <f t="shared" si="9"/>
        <v>F</v>
      </c>
    </row>
    <row r="303" spans="1:17" hidden="1" x14ac:dyDescent="0.3">
      <c r="A303">
        <v>3690</v>
      </c>
      <c r="B303">
        <v>2335</v>
      </c>
      <c r="C303">
        <v>197</v>
      </c>
      <c r="D303" t="s">
        <v>19</v>
      </c>
      <c r="E303" t="s">
        <v>20</v>
      </c>
      <c r="F303" t="s">
        <v>17</v>
      </c>
      <c r="G303" t="s">
        <v>25</v>
      </c>
      <c r="H303">
        <v>280.10000000000002</v>
      </c>
      <c r="I303">
        <v>249.5</v>
      </c>
      <c r="J303">
        <v>95.8</v>
      </c>
      <c r="K303">
        <v>69.5</v>
      </c>
      <c r="L303">
        <v>26.6</v>
      </c>
      <c r="M303">
        <v>6.5</v>
      </c>
      <c r="N303">
        <v>0.19552080098539501</v>
      </c>
      <c r="O303">
        <v>4.3465642045370699E-2</v>
      </c>
      <c r="P303" t="str">
        <f t="shared" si="8"/>
        <v>F</v>
      </c>
      <c r="Q303" t="str">
        <f t="shared" si="9"/>
        <v>F</v>
      </c>
    </row>
    <row r="304" spans="1:17" hidden="1" x14ac:dyDescent="0.3">
      <c r="A304">
        <v>3691</v>
      </c>
      <c r="B304">
        <v>2335</v>
      </c>
      <c r="C304">
        <v>197</v>
      </c>
      <c r="D304" t="s">
        <v>19</v>
      </c>
      <c r="E304" t="s">
        <v>20</v>
      </c>
      <c r="F304" t="s">
        <v>17</v>
      </c>
      <c r="G304" t="s">
        <v>25</v>
      </c>
      <c r="H304">
        <v>280.10000000000002</v>
      </c>
      <c r="I304">
        <v>249.5</v>
      </c>
      <c r="J304">
        <v>95.8</v>
      </c>
      <c r="K304">
        <v>69.5</v>
      </c>
      <c r="L304">
        <v>26.6</v>
      </c>
      <c r="M304">
        <v>6.5</v>
      </c>
      <c r="N304">
        <v>0.16582246599363001</v>
      </c>
      <c r="O304">
        <v>4.7371150240346202E-2</v>
      </c>
      <c r="P304" t="str">
        <f t="shared" si="8"/>
        <v>F</v>
      </c>
      <c r="Q304" t="str">
        <f t="shared" si="9"/>
        <v>F</v>
      </c>
    </row>
    <row r="305" spans="1:17" hidden="1" x14ac:dyDescent="0.3">
      <c r="A305">
        <v>3693</v>
      </c>
      <c r="B305">
        <v>2337</v>
      </c>
      <c r="C305">
        <v>102</v>
      </c>
      <c r="D305" t="s">
        <v>19</v>
      </c>
      <c r="E305" t="s">
        <v>20</v>
      </c>
      <c r="F305" t="s">
        <v>17</v>
      </c>
      <c r="G305" t="s">
        <v>22</v>
      </c>
      <c r="H305">
        <v>273.60000000000002</v>
      </c>
      <c r="I305">
        <v>246</v>
      </c>
      <c r="J305">
        <v>93.6</v>
      </c>
      <c r="K305">
        <v>64.5</v>
      </c>
      <c r="L305">
        <v>25.6</v>
      </c>
      <c r="M305">
        <v>1.5</v>
      </c>
      <c r="N305">
        <v>0.15564391375049599</v>
      </c>
      <c r="O305">
        <v>0.19805332471148601</v>
      </c>
      <c r="P305" t="str">
        <f t="shared" si="8"/>
        <v>F</v>
      </c>
      <c r="Q305" t="str">
        <f t="shared" si="9"/>
        <v>F</v>
      </c>
    </row>
    <row r="306" spans="1:17" hidden="1" x14ac:dyDescent="0.3">
      <c r="A306">
        <v>3855</v>
      </c>
      <c r="B306">
        <v>2392</v>
      </c>
      <c r="C306">
        <v>455</v>
      </c>
      <c r="D306" t="s">
        <v>19</v>
      </c>
      <c r="E306" t="s">
        <v>20</v>
      </c>
      <c r="F306" t="s">
        <v>21</v>
      </c>
      <c r="G306" t="s">
        <v>25</v>
      </c>
      <c r="H306">
        <v>278.5</v>
      </c>
      <c r="I306">
        <v>252.5</v>
      </c>
      <c r="J306">
        <v>92.8</v>
      </c>
      <c r="K306">
        <v>69</v>
      </c>
      <c r="L306">
        <v>25.6</v>
      </c>
      <c r="M306">
        <v>9</v>
      </c>
      <c r="N306">
        <v>0.20014603801682099</v>
      </c>
      <c r="O306">
        <v>5.9594552201848901E-2</v>
      </c>
      <c r="P306" t="str">
        <f t="shared" si="8"/>
        <v>F</v>
      </c>
      <c r="Q306" t="str">
        <f t="shared" si="9"/>
        <v>F</v>
      </c>
    </row>
    <row r="307" spans="1:17" hidden="1" x14ac:dyDescent="0.3">
      <c r="A307">
        <v>3856</v>
      </c>
      <c r="B307">
        <v>2392</v>
      </c>
      <c r="C307">
        <v>455</v>
      </c>
      <c r="D307" t="s">
        <v>19</v>
      </c>
      <c r="E307" t="s">
        <v>20</v>
      </c>
      <c r="F307" t="s">
        <v>21</v>
      </c>
      <c r="G307" t="s">
        <v>25</v>
      </c>
      <c r="H307">
        <v>278.5</v>
      </c>
      <c r="I307">
        <v>252.5</v>
      </c>
      <c r="J307">
        <v>92.8</v>
      </c>
      <c r="K307">
        <v>69</v>
      </c>
      <c r="L307">
        <v>25.6</v>
      </c>
      <c r="M307">
        <v>9</v>
      </c>
      <c r="N307">
        <v>0.20758438744478599</v>
      </c>
      <c r="O307">
        <v>3.23952143957707E-2</v>
      </c>
      <c r="P307" t="str">
        <f t="shared" si="8"/>
        <v>F</v>
      </c>
      <c r="Q307" t="str">
        <f t="shared" si="9"/>
        <v>F</v>
      </c>
    </row>
    <row r="308" spans="1:17" hidden="1" x14ac:dyDescent="0.3">
      <c r="A308">
        <v>3857</v>
      </c>
      <c r="B308">
        <v>2392</v>
      </c>
      <c r="C308">
        <v>455</v>
      </c>
      <c r="D308" t="s">
        <v>19</v>
      </c>
      <c r="E308" t="s">
        <v>20</v>
      </c>
      <c r="F308" t="s">
        <v>21</v>
      </c>
      <c r="G308" t="s">
        <v>25</v>
      </c>
      <c r="H308">
        <v>278.5</v>
      </c>
      <c r="I308">
        <v>252.5</v>
      </c>
      <c r="J308">
        <v>92.8</v>
      </c>
      <c r="K308">
        <v>69</v>
      </c>
      <c r="L308">
        <v>25.6</v>
      </c>
      <c r="M308">
        <v>9</v>
      </c>
      <c r="N308">
        <v>0.21998279794744099</v>
      </c>
      <c r="O308">
        <v>5.3624305205121903E-2</v>
      </c>
      <c r="P308" t="str">
        <f t="shared" si="8"/>
        <v>F</v>
      </c>
      <c r="Q308" t="str">
        <f t="shared" si="9"/>
        <v>F</v>
      </c>
    </row>
    <row r="309" spans="1:17" hidden="1" x14ac:dyDescent="0.3">
      <c r="A309">
        <v>3858</v>
      </c>
      <c r="B309">
        <v>2392</v>
      </c>
      <c r="C309">
        <v>455</v>
      </c>
      <c r="D309" t="s">
        <v>19</v>
      </c>
      <c r="E309" t="s">
        <v>20</v>
      </c>
      <c r="F309" t="s">
        <v>21</v>
      </c>
      <c r="G309" t="s">
        <v>25</v>
      </c>
      <c r="H309">
        <v>278.5</v>
      </c>
      <c r="I309">
        <v>252.5</v>
      </c>
      <c r="J309">
        <v>92.8</v>
      </c>
      <c r="K309">
        <v>69</v>
      </c>
      <c r="L309">
        <v>25.6</v>
      </c>
      <c r="M309">
        <v>9</v>
      </c>
      <c r="N309">
        <v>0.20111228421532201</v>
      </c>
      <c r="O309">
        <v>3.0288741248020199E-2</v>
      </c>
      <c r="P309" t="str">
        <f t="shared" si="8"/>
        <v>F</v>
      </c>
      <c r="Q309" t="str">
        <f t="shared" si="9"/>
        <v>F</v>
      </c>
    </row>
    <row r="310" spans="1:17" hidden="1" x14ac:dyDescent="0.3">
      <c r="A310">
        <v>3897</v>
      </c>
      <c r="B310">
        <v>2407</v>
      </c>
      <c r="C310">
        <v>197</v>
      </c>
      <c r="D310" t="s">
        <v>19</v>
      </c>
      <c r="E310" t="s">
        <v>20</v>
      </c>
      <c r="F310" t="s">
        <v>17</v>
      </c>
      <c r="G310" t="s">
        <v>22</v>
      </c>
      <c r="H310">
        <v>280.10000000000002</v>
      </c>
      <c r="I310">
        <v>249.5</v>
      </c>
      <c r="J310">
        <v>95.8</v>
      </c>
      <c r="K310">
        <v>69.5</v>
      </c>
      <c r="L310">
        <v>26.6</v>
      </c>
      <c r="M310">
        <v>6.5</v>
      </c>
      <c r="N310">
        <v>0.18120836108767299</v>
      </c>
      <c r="O310">
        <v>1.8030313317712401E-2</v>
      </c>
      <c r="P310" t="str">
        <f t="shared" si="8"/>
        <v>F</v>
      </c>
      <c r="Q310" t="str">
        <f t="shared" si="9"/>
        <v>T</v>
      </c>
    </row>
    <row r="311" spans="1:17" hidden="1" x14ac:dyDescent="0.3">
      <c r="A311">
        <v>3898</v>
      </c>
      <c r="B311">
        <v>2407</v>
      </c>
      <c r="C311">
        <v>197</v>
      </c>
      <c r="D311" t="s">
        <v>19</v>
      </c>
      <c r="E311" t="s">
        <v>20</v>
      </c>
      <c r="F311" t="s">
        <v>17</v>
      </c>
      <c r="G311" t="s">
        <v>22</v>
      </c>
      <c r="H311">
        <v>280.10000000000002</v>
      </c>
      <c r="I311">
        <v>249.5</v>
      </c>
      <c r="J311">
        <v>95.8</v>
      </c>
      <c r="K311">
        <v>69.5</v>
      </c>
      <c r="L311">
        <v>26.6</v>
      </c>
      <c r="M311">
        <v>6.5</v>
      </c>
      <c r="N311">
        <v>0.166715356315117</v>
      </c>
      <c r="O311">
        <v>2.17755297193175E-2</v>
      </c>
      <c r="P311" t="str">
        <f t="shared" si="8"/>
        <v>F</v>
      </c>
      <c r="Q311" t="str">
        <f t="shared" si="9"/>
        <v>T</v>
      </c>
    </row>
    <row r="312" spans="1:17" hidden="1" x14ac:dyDescent="0.3">
      <c r="A312">
        <v>3907</v>
      </c>
      <c r="B312">
        <v>2411</v>
      </c>
      <c r="C312">
        <v>346</v>
      </c>
      <c r="D312" t="s">
        <v>19</v>
      </c>
      <c r="E312" t="s">
        <v>20</v>
      </c>
      <c r="F312" t="s">
        <v>17</v>
      </c>
      <c r="G312" t="s">
        <v>24</v>
      </c>
      <c r="H312">
        <v>271.60000000000002</v>
      </c>
      <c r="I312">
        <v>238</v>
      </c>
      <c r="J312">
        <v>91.3</v>
      </c>
      <c r="K312">
        <v>63</v>
      </c>
      <c r="L312">
        <v>24.7</v>
      </c>
      <c r="M312">
        <v>8</v>
      </c>
      <c r="N312">
        <v>0.18644249695196199</v>
      </c>
      <c r="O312">
        <v>2.21902916924499E-2</v>
      </c>
      <c r="P312" t="str">
        <f t="shared" si="8"/>
        <v>F</v>
      </c>
      <c r="Q312" t="str">
        <f t="shared" si="9"/>
        <v>T</v>
      </c>
    </row>
    <row r="313" spans="1:17" hidden="1" x14ac:dyDescent="0.3">
      <c r="A313">
        <v>3908</v>
      </c>
      <c r="B313">
        <v>2411</v>
      </c>
      <c r="C313">
        <v>346</v>
      </c>
      <c r="D313" t="s">
        <v>19</v>
      </c>
      <c r="E313" t="s">
        <v>20</v>
      </c>
      <c r="F313" t="s">
        <v>17</v>
      </c>
      <c r="G313" t="s">
        <v>24</v>
      </c>
      <c r="H313">
        <v>271.60000000000002</v>
      </c>
      <c r="I313">
        <v>238</v>
      </c>
      <c r="J313">
        <v>91.3</v>
      </c>
      <c r="K313">
        <v>63</v>
      </c>
      <c r="L313">
        <v>24.7</v>
      </c>
      <c r="M313">
        <v>8</v>
      </c>
      <c r="N313">
        <v>0.16597216390609101</v>
      </c>
      <c r="O313">
        <v>2.1586490662828001E-2</v>
      </c>
      <c r="P313" t="str">
        <f t="shared" si="8"/>
        <v>F</v>
      </c>
      <c r="Q313" t="str">
        <f t="shared" si="9"/>
        <v>T</v>
      </c>
    </row>
    <row r="314" spans="1:17" hidden="1" x14ac:dyDescent="0.3">
      <c r="A314">
        <v>3909</v>
      </c>
      <c r="B314">
        <v>2411</v>
      </c>
      <c r="C314">
        <v>346</v>
      </c>
      <c r="D314" t="s">
        <v>19</v>
      </c>
      <c r="E314" t="s">
        <v>20</v>
      </c>
      <c r="F314" t="s">
        <v>17</v>
      </c>
      <c r="G314" t="s">
        <v>24</v>
      </c>
      <c r="H314">
        <v>271.60000000000002</v>
      </c>
      <c r="I314">
        <v>238</v>
      </c>
      <c r="J314">
        <v>91.3</v>
      </c>
      <c r="K314">
        <v>63</v>
      </c>
      <c r="L314">
        <v>24.7</v>
      </c>
      <c r="M314">
        <v>8</v>
      </c>
      <c r="N314">
        <v>0.15785268094863</v>
      </c>
      <c r="O314">
        <v>1.2867511200313301E-2</v>
      </c>
      <c r="P314" t="str">
        <f t="shared" si="8"/>
        <v>F</v>
      </c>
      <c r="Q314" t="str">
        <f t="shared" si="9"/>
        <v>T</v>
      </c>
    </row>
    <row r="315" spans="1:17" hidden="1" x14ac:dyDescent="0.3">
      <c r="A315">
        <v>3926</v>
      </c>
      <c r="B315">
        <v>242</v>
      </c>
      <c r="C315">
        <v>197</v>
      </c>
      <c r="D315" t="s">
        <v>19</v>
      </c>
      <c r="E315" t="s">
        <v>20</v>
      </c>
      <c r="F315" t="s">
        <v>21</v>
      </c>
      <c r="G315" t="s">
        <v>25</v>
      </c>
      <c r="H315">
        <v>280.10000000000002</v>
      </c>
      <c r="I315">
        <v>249.5</v>
      </c>
      <c r="J315">
        <v>95.8</v>
      </c>
      <c r="K315">
        <v>69.5</v>
      </c>
      <c r="L315">
        <v>26.6</v>
      </c>
      <c r="M315">
        <v>6.5</v>
      </c>
      <c r="N315">
        <v>0.18136615412055099</v>
      </c>
      <c r="O315">
        <v>4.0329427512404703E-2</v>
      </c>
      <c r="P315" t="str">
        <f t="shared" si="8"/>
        <v>F</v>
      </c>
      <c r="Q315" t="str">
        <f t="shared" si="9"/>
        <v>F</v>
      </c>
    </row>
    <row r="316" spans="1:17" hidden="1" x14ac:dyDescent="0.3">
      <c r="A316">
        <v>3927</v>
      </c>
      <c r="B316">
        <v>242</v>
      </c>
      <c r="C316">
        <v>197</v>
      </c>
      <c r="D316" t="s">
        <v>19</v>
      </c>
      <c r="E316" t="s">
        <v>20</v>
      </c>
      <c r="F316" t="s">
        <v>21</v>
      </c>
      <c r="G316" t="s">
        <v>25</v>
      </c>
      <c r="H316">
        <v>280.10000000000002</v>
      </c>
      <c r="I316">
        <v>249.5</v>
      </c>
      <c r="J316">
        <v>95.8</v>
      </c>
      <c r="K316">
        <v>69.5</v>
      </c>
      <c r="L316">
        <v>26.6</v>
      </c>
      <c r="M316">
        <v>6.5</v>
      </c>
      <c r="N316">
        <v>0.20699338742428899</v>
      </c>
      <c r="O316">
        <v>1.9246874922695102E-2</v>
      </c>
      <c r="P316" t="str">
        <f t="shared" si="8"/>
        <v>F</v>
      </c>
      <c r="Q316" t="str">
        <f t="shared" si="9"/>
        <v>T</v>
      </c>
    </row>
    <row r="317" spans="1:17" hidden="1" x14ac:dyDescent="0.3">
      <c r="A317">
        <v>3928</v>
      </c>
      <c r="B317">
        <v>242</v>
      </c>
      <c r="C317">
        <v>197</v>
      </c>
      <c r="D317" t="s">
        <v>19</v>
      </c>
      <c r="E317" t="s">
        <v>20</v>
      </c>
      <c r="F317" t="s">
        <v>21</v>
      </c>
      <c r="G317" t="s">
        <v>25</v>
      </c>
      <c r="H317">
        <v>280.10000000000002</v>
      </c>
      <c r="I317">
        <v>249.5</v>
      </c>
      <c r="J317">
        <v>95.8</v>
      </c>
      <c r="K317">
        <v>69.5</v>
      </c>
      <c r="L317">
        <v>26.6</v>
      </c>
      <c r="M317">
        <v>6.5</v>
      </c>
      <c r="N317">
        <v>0.200297600828959</v>
      </c>
      <c r="O317">
        <v>5.4602409334105199E-2</v>
      </c>
      <c r="P317" t="str">
        <f t="shared" si="8"/>
        <v>F</v>
      </c>
      <c r="Q317" t="str">
        <f t="shared" si="9"/>
        <v>F</v>
      </c>
    </row>
    <row r="318" spans="1:17" hidden="1" x14ac:dyDescent="0.3">
      <c r="A318">
        <v>3930</v>
      </c>
      <c r="B318">
        <v>2421</v>
      </c>
      <c r="C318">
        <v>32</v>
      </c>
      <c r="D318" t="s">
        <v>19</v>
      </c>
      <c r="E318" t="s">
        <v>20</v>
      </c>
      <c r="F318" t="s">
        <v>21</v>
      </c>
      <c r="G318" t="s">
        <v>25</v>
      </c>
      <c r="H318">
        <v>274.8</v>
      </c>
      <c r="I318">
        <v>261</v>
      </c>
      <c r="J318">
        <v>101</v>
      </c>
      <c r="K318">
        <v>66</v>
      </c>
      <c r="L318">
        <v>24.4</v>
      </c>
      <c r="M318">
        <v>8.5</v>
      </c>
      <c r="N318">
        <v>0.143023931171741</v>
      </c>
      <c r="O318">
        <v>0.14064766418376401</v>
      </c>
      <c r="P318" t="str">
        <f t="shared" si="8"/>
        <v>F</v>
      </c>
      <c r="Q318" t="str">
        <f t="shared" si="9"/>
        <v>F</v>
      </c>
    </row>
    <row r="319" spans="1:17" hidden="1" x14ac:dyDescent="0.3">
      <c r="A319">
        <v>3931</v>
      </c>
      <c r="B319">
        <v>2421</v>
      </c>
      <c r="C319">
        <v>32</v>
      </c>
      <c r="D319" t="s">
        <v>19</v>
      </c>
      <c r="E319" t="s">
        <v>20</v>
      </c>
      <c r="F319" t="s">
        <v>21</v>
      </c>
      <c r="G319" t="s">
        <v>25</v>
      </c>
      <c r="H319">
        <v>274.8</v>
      </c>
      <c r="I319">
        <v>261</v>
      </c>
      <c r="J319">
        <v>101</v>
      </c>
      <c r="K319">
        <v>66</v>
      </c>
      <c r="L319">
        <v>24.4</v>
      </c>
      <c r="M319">
        <v>8.5</v>
      </c>
      <c r="N319">
        <v>0.115718724810152</v>
      </c>
      <c r="O319">
        <v>0.165699533212293</v>
      </c>
      <c r="P319" t="str">
        <f t="shared" si="8"/>
        <v>F</v>
      </c>
      <c r="Q319" t="str">
        <f t="shared" si="9"/>
        <v>F</v>
      </c>
    </row>
    <row r="320" spans="1:17" hidden="1" x14ac:dyDescent="0.3">
      <c r="A320">
        <v>3932</v>
      </c>
      <c r="B320">
        <v>2421</v>
      </c>
      <c r="C320">
        <v>32</v>
      </c>
      <c r="D320" t="s">
        <v>19</v>
      </c>
      <c r="E320" t="s">
        <v>20</v>
      </c>
      <c r="F320" t="s">
        <v>21</v>
      </c>
      <c r="G320" t="s">
        <v>25</v>
      </c>
      <c r="H320">
        <v>274.8</v>
      </c>
      <c r="I320">
        <v>261</v>
      </c>
      <c r="J320">
        <v>101</v>
      </c>
      <c r="K320">
        <v>66</v>
      </c>
      <c r="L320">
        <v>24.4</v>
      </c>
      <c r="M320">
        <v>8.5</v>
      </c>
      <c r="N320">
        <v>0.143904160156269</v>
      </c>
      <c r="O320">
        <v>0.130580146306704</v>
      </c>
      <c r="P320" t="str">
        <f t="shared" si="8"/>
        <v>F</v>
      </c>
      <c r="Q320" t="str">
        <f t="shared" si="9"/>
        <v>F</v>
      </c>
    </row>
    <row r="321" spans="1:17" hidden="1" x14ac:dyDescent="0.3">
      <c r="A321">
        <v>3949</v>
      </c>
      <c r="B321">
        <v>2430</v>
      </c>
      <c r="C321">
        <v>320</v>
      </c>
      <c r="D321" t="s">
        <v>19</v>
      </c>
      <c r="E321" t="s">
        <v>20</v>
      </c>
      <c r="F321" t="s">
        <v>21</v>
      </c>
      <c r="G321" t="s">
        <v>18</v>
      </c>
      <c r="H321">
        <v>279</v>
      </c>
      <c r="I321">
        <v>253.5</v>
      </c>
      <c r="J321">
        <v>97.1</v>
      </c>
      <c r="K321">
        <v>64</v>
      </c>
      <c r="L321">
        <v>24</v>
      </c>
      <c r="M321">
        <v>8</v>
      </c>
      <c r="N321">
        <v>0.16365730340699899</v>
      </c>
      <c r="O321">
        <v>3.5731792896923201E-2</v>
      </c>
      <c r="P321" t="str">
        <f t="shared" si="8"/>
        <v>F</v>
      </c>
      <c r="Q321" t="str">
        <f t="shared" si="9"/>
        <v>F</v>
      </c>
    </row>
    <row r="322" spans="1:17" hidden="1" x14ac:dyDescent="0.3">
      <c r="A322">
        <v>3959</v>
      </c>
      <c r="B322">
        <v>2435</v>
      </c>
      <c r="C322">
        <v>345</v>
      </c>
      <c r="D322" t="s">
        <v>19</v>
      </c>
      <c r="E322" t="s">
        <v>20</v>
      </c>
      <c r="F322" t="s">
        <v>21</v>
      </c>
      <c r="G322" t="s">
        <v>22</v>
      </c>
      <c r="H322">
        <v>277.60000000000002</v>
      </c>
      <c r="I322">
        <v>252.5</v>
      </c>
      <c r="J322">
        <v>98.4</v>
      </c>
      <c r="K322">
        <v>67.5</v>
      </c>
      <c r="L322">
        <v>25.8</v>
      </c>
      <c r="M322">
        <v>13.5</v>
      </c>
      <c r="N322">
        <v>0.13379880402348901</v>
      </c>
      <c r="O322">
        <v>9.2010783005415903E-2</v>
      </c>
      <c r="P322" t="str">
        <f t="shared" si="8"/>
        <v>F</v>
      </c>
      <c r="Q322" t="str">
        <f t="shared" si="9"/>
        <v>F</v>
      </c>
    </row>
    <row r="323" spans="1:17" hidden="1" x14ac:dyDescent="0.3">
      <c r="A323">
        <v>3960</v>
      </c>
      <c r="B323">
        <v>2435</v>
      </c>
      <c r="C323">
        <v>345</v>
      </c>
      <c r="D323" t="s">
        <v>19</v>
      </c>
      <c r="E323" t="s">
        <v>20</v>
      </c>
      <c r="F323" t="s">
        <v>21</v>
      </c>
      <c r="G323" t="s">
        <v>22</v>
      </c>
      <c r="H323">
        <v>277.60000000000002</v>
      </c>
      <c r="I323">
        <v>252.5</v>
      </c>
      <c r="J323">
        <v>98.4</v>
      </c>
      <c r="K323">
        <v>67.5</v>
      </c>
      <c r="L323">
        <v>25.8</v>
      </c>
      <c r="M323">
        <v>13.5</v>
      </c>
      <c r="N323">
        <v>0.13684448299621499</v>
      </c>
      <c r="O323">
        <v>9.1565613180539102E-2</v>
      </c>
      <c r="P323" t="str">
        <f t="shared" ref="P323:P386" si="10">IF(N323&lt;0.06641, "T", "F")</f>
        <v>F</v>
      </c>
      <c r="Q323" t="str">
        <f t="shared" ref="Q323:Q386" si="11">IF(O323&lt;0.027899, "T", "F")</f>
        <v>F</v>
      </c>
    </row>
    <row r="324" spans="1:17" hidden="1" x14ac:dyDescent="0.3">
      <c r="A324">
        <v>3961</v>
      </c>
      <c r="B324">
        <v>2435</v>
      </c>
      <c r="C324">
        <v>345</v>
      </c>
      <c r="D324" t="s">
        <v>19</v>
      </c>
      <c r="E324" t="s">
        <v>20</v>
      </c>
      <c r="F324" t="s">
        <v>21</v>
      </c>
      <c r="G324" t="s">
        <v>22</v>
      </c>
      <c r="H324">
        <v>277.60000000000002</v>
      </c>
      <c r="I324">
        <v>252.5</v>
      </c>
      <c r="J324">
        <v>98.4</v>
      </c>
      <c r="K324">
        <v>67.5</v>
      </c>
      <c r="L324">
        <v>25.8</v>
      </c>
      <c r="M324">
        <v>13.5</v>
      </c>
      <c r="N324">
        <v>0.127227227570235</v>
      </c>
      <c r="O324">
        <v>0.106537098848585</v>
      </c>
      <c r="P324" t="str">
        <f t="shared" si="10"/>
        <v>F</v>
      </c>
      <c r="Q324" t="str">
        <f t="shared" si="11"/>
        <v>F</v>
      </c>
    </row>
    <row r="325" spans="1:17" hidden="1" x14ac:dyDescent="0.3">
      <c r="A325">
        <v>3962</v>
      </c>
      <c r="B325">
        <v>2435</v>
      </c>
      <c r="C325">
        <v>345</v>
      </c>
      <c r="D325" t="s">
        <v>19</v>
      </c>
      <c r="E325" t="s">
        <v>20</v>
      </c>
      <c r="F325" t="s">
        <v>21</v>
      </c>
      <c r="G325" t="s">
        <v>22</v>
      </c>
      <c r="H325">
        <v>277.60000000000002</v>
      </c>
      <c r="I325">
        <v>252.5</v>
      </c>
      <c r="J325">
        <v>98.4</v>
      </c>
      <c r="K325">
        <v>67.5</v>
      </c>
      <c r="L325">
        <v>25.8</v>
      </c>
      <c r="M325">
        <v>13.5</v>
      </c>
      <c r="N325">
        <v>0.108429321179781</v>
      </c>
      <c r="O325">
        <v>0.12670228043232001</v>
      </c>
      <c r="P325" t="str">
        <f t="shared" si="10"/>
        <v>F</v>
      </c>
      <c r="Q325" t="str">
        <f t="shared" si="11"/>
        <v>F</v>
      </c>
    </row>
    <row r="326" spans="1:17" hidden="1" x14ac:dyDescent="0.3">
      <c r="A326">
        <v>3964</v>
      </c>
      <c r="B326">
        <v>2437</v>
      </c>
      <c r="C326">
        <v>203</v>
      </c>
      <c r="D326" t="s">
        <v>19</v>
      </c>
      <c r="E326" t="s">
        <v>20</v>
      </c>
      <c r="F326" t="s">
        <v>17</v>
      </c>
      <c r="G326" t="s">
        <v>22</v>
      </c>
      <c r="H326">
        <v>277.60000000000002</v>
      </c>
      <c r="I326">
        <v>247.5</v>
      </c>
      <c r="J326">
        <v>94</v>
      </c>
      <c r="K326">
        <v>65</v>
      </c>
      <c r="L326">
        <v>24.9</v>
      </c>
      <c r="M326">
        <v>9.5</v>
      </c>
      <c r="N326">
        <v>0.27513804492066501</v>
      </c>
      <c r="O326">
        <v>5.86708388758959E-2</v>
      </c>
      <c r="P326" t="str">
        <f t="shared" si="10"/>
        <v>F</v>
      </c>
      <c r="Q326" t="str">
        <f t="shared" si="11"/>
        <v>F</v>
      </c>
    </row>
    <row r="327" spans="1:17" hidden="1" x14ac:dyDescent="0.3">
      <c r="A327">
        <v>3965</v>
      </c>
      <c r="B327">
        <v>2437</v>
      </c>
      <c r="C327">
        <v>203</v>
      </c>
      <c r="D327" t="s">
        <v>19</v>
      </c>
      <c r="E327" t="s">
        <v>20</v>
      </c>
      <c r="F327" t="s">
        <v>17</v>
      </c>
      <c r="G327" t="s">
        <v>22</v>
      </c>
      <c r="H327">
        <v>277.60000000000002</v>
      </c>
      <c r="I327">
        <v>247.5</v>
      </c>
      <c r="J327">
        <v>94</v>
      </c>
      <c r="K327">
        <v>65</v>
      </c>
      <c r="L327">
        <v>24.9</v>
      </c>
      <c r="M327">
        <v>9.5</v>
      </c>
      <c r="N327">
        <v>0.25433142590822999</v>
      </c>
      <c r="O327">
        <v>4.6369574319504801E-2</v>
      </c>
      <c r="P327" t="str">
        <f t="shared" si="10"/>
        <v>F</v>
      </c>
      <c r="Q327" t="str">
        <f t="shared" si="11"/>
        <v>F</v>
      </c>
    </row>
    <row r="328" spans="1:17" hidden="1" x14ac:dyDescent="0.3">
      <c r="A328">
        <v>3966</v>
      </c>
      <c r="B328">
        <v>2437</v>
      </c>
      <c r="C328">
        <v>203</v>
      </c>
      <c r="D328" t="s">
        <v>19</v>
      </c>
      <c r="E328" t="s">
        <v>20</v>
      </c>
      <c r="F328" t="s">
        <v>17</v>
      </c>
      <c r="G328" t="s">
        <v>22</v>
      </c>
      <c r="H328">
        <v>277.60000000000002</v>
      </c>
      <c r="I328">
        <v>247.5</v>
      </c>
      <c r="J328">
        <v>94</v>
      </c>
      <c r="K328">
        <v>65</v>
      </c>
      <c r="L328">
        <v>24.9</v>
      </c>
      <c r="M328">
        <v>9.5</v>
      </c>
      <c r="N328">
        <v>0.2654475118581</v>
      </c>
      <c r="O328">
        <v>5.9136820151341599E-2</v>
      </c>
      <c r="P328" t="str">
        <f t="shared" si="10"/>
        <v>F</v>
      </c>
      <c r="Q328" t="str">
        <f t="shared" si="11"/>
        <v>F</v>
      </c>
    </row>
    <row r="329" spans="1:17" hidden="1" x14ac:dyDescent="0.3">
      <c r="A329">
        <v>3967</v>
      </c>
      <c r="B329">
        <v>2437</v>
      </c>
      <c r="C329">
        <v>203</v>
      </c>
      <c r="D329" t="s">
        <v>19</v>
      </c>
      <c r="E329" t="s">
        <v>20</v>
      </c>
      <c r="F329" t="s">
        <v>17</v>
      </c>
      <c r="G329" t="s">
        <v>22</v>
      </c>
      <c r="H329">
        <v>277.60000000000002</v>
      </c>
      <c r="I329">
        <v>247.5</v>
      </c>
      <c r="J329">
        <v>94</v>
      </c>
      <c r="K329">
        <v>65</v>
      </c>
      <c r="L329">
        <v>24.9</v>
      </c>
      <c r="M329">
        <v>9.5</v>
      </c>
      <c r="N329">
        <v>0.26932922342682603</v>
      </c>
      <c r="O329">
        <v>3.8434152542687297E-2</v>
      </c>
      <c r="P329" t="str">
        <f t="shared" si="10"/>
        <v>F</v>
      </c>
      <c r="Q329" t="str">
        <f t="shared" si="11"/>
        <v>F</v>
      </c>
    </row>
    <row r="330" spans="1:17" hidden="1" x14ac:dyDescent="0.3">
      <c r="A330">
        <v>3968</v>
      </c>
      <c r="B330">
        <v>2437</v>
      </c>
      <c r="C330">
        <v>203</v>
      </c>
      <c r="D330" t="s">
        <v>19</v>
      </c>
      <c r="E330" t="s">
        <v>20</v>
      </c>
      <c r="F330" t="s">
        <v>17</v>
      </c>
      <c r="G330" t="s">
        <v>22</v>
      </c>
      <c r="H330">
        <v>277.60000000000002</v>
      </c>
      <c r="I330">
        <v>247.5</v>
      </c>
      <c r="J330">
        <v>94</v>
      </c>
      <c r="K330">
        <v>65</v>
      </c>
      <c r="L330">
        <v>24.9</v>
      </c>
      <c r="M330">
        <v>9.5</v>
      </c>
      <c r="N330">
        <v>0.27906208089984302</v>
      </c>
      <c r="O330">
        <v>7.1290888071279895E-2</v>
      </c>
      <c r="P330" t="str">
        <f t="shared" si="10"/>
        <v>F</v>
      </c>
      <c r="Q330" t="str">
        <f t="shared" si="11"/>
        <v>F</v>
      </c>
    </row>
    <row r="331" spans="1:17" hidden="1" x14ac:dyDescent="0.3">
      <c r="A331">
        <v>3979</v>
      </c>
      <c r="B331">
        <v>2442</v>
      </c>
      <c r="C331">
        <v>443</v>
      </c>
      <c r="D331" t="s">
        <v>19</v>
      </c>
      <c r="E331" t="s">
        <v>20</v>
      </c>
      <c r="F331" t="s">
        <v>21</v>
      </c>
      <c r="G331" t="s">
        <v>26</v>
      </c>
      <c r="H331">
        <v>272.5</v>
      </c>
      <c r="I331">
        <v>239.5</v>
      </c>
      <c r="J331">
        <v>96</v>
      </c>
      <c r="K331">
        <v>64.5</v>
      </c>
      <c r="L331">
        <v>20.399999999999999</v>
      </c>
      <c r="M331">
        <v>10</v>
      </c>
      <c r="N331">
        <v>0.26521947401148999</v>
      </c>
      <c r="O331">
        <v>5.4591911067333E-2</v>
      </c>
      <c r="P331" t="str">
        <f t="shared" si="10"/>
        <v>F</v>
      </c>
      <c r="Q331" t="str">
        <f t="shared" si="11"/>
        <v>F</v>
      </c>
    </row>
    <row r="332" spans="1:17" hidden="1" x14ac:dyDescent="0.3">
      <c r="A332">
        <v>3980</v>
      </c>
      <c r="B332">
        <v>2442</v>
      </c>
      <c r="C332">
        <v>443</v>
      </c>
      <c r="D332" t="s">
        <v>19</v>
      </c>
      <c r="E332" t="s">
        <v>20</v>
      </c>
      <c r="F332" t="s">
        <v>21</v>
      </c>
      <c r="G332" t="s">
        <v>26</v>
      </c>
      <c r="H332">
        <v>272.5</v>
      </c>
      <c r="I332">
        <v>239.5</v>
      </c>
      <c r="J332">
        <v>96</v>
      </c>
      <c r="K332">
        <v>64.5</v>
      </c>
      <c r="L332">
        <v>20.399999999999999</v>
      </c>
      <c r="M332">
        <v>10</v>
      </c>
      <c r="N332">
        <v>0.23490423749641101</v>
      </c>
      <c r="O332">
        <v>8.0392956088484901E-2</v>
      </c>
      <c r="P332" t="str">
        <f t="shared" si="10"/>
        <v>F</v>
      </c>
      <c r="Q332" t="str">
        <f t="shared" si="11"/>
        <v>F</v>
      </c>
    </row>
    <row r="333" spans="1:17" hidden="1" x14ac:dyDescent="0.3">
      <c r="A333">
        <v>4025</v>
      </c>
      <c r="B333">
        <v>2460</v>
      </c>
      <c r="C333">
        <v>298</v>
      </c>
      <c r="D333" t="s">
        <v>19</v>
      </c>
      <c r="E333" t="s">
        <v>20</v>
      </c>
      <c r="F333" t="s">
        <v>17</v>
      </c>
      <c r="G333" t="s">
        <v>22</v>
      </c>
      <c r="H333">
        <v>275.60000000000002</v>
      </c>
      <c r="I333">
        <v>251</v>
      </c>
      <c r="J333">
        <v>95.1</v>
      </c>
      <c r="K333">
        <v>66.5</v>
      </c>
      <c r="L333">
        <v>25.3</v>
      </c>
      <c r="M333">
        <v>10.5</v>
      </c>
      <c r="N333">
        <v>0.30849292285022301</v>
      </c>
      <c r="O333">
        <v>6.6208863193349302E-2</v>
      </c>
      <c r="P333" t="str">
        <f t="shared" si="10"/>
        <v>F</v>
      </c>
      <c r="Q333" t="str">
        <f t="shared" si="11"/>
        <v>F</v>
      </c>
    </row>
    <row r="334" spans="1:17" hidden="1" x14ac:dyDescent="0.3">
      <c r="A334">
        <v>4026</v>
      </c>
      <c r="B334">
        <v>2460</v>
      </c>
      <c r="C334">
        <v>298</v>
      </c>
      <c r="D334" t="s">
        <v>19</v>
      </c>
      <c r="E334" t="s">
        <v>20</v>
      </c>
      <c r="F334" t="s">
        <v>17</v>
      </c>
      <c r="G334" t="s">
        <v>22</v>
      </c>
      <c r="H334">
        <v>275.60000000000002</v>
      </c>
      <c r="I334">
        <v>251</v>
      </c>
      <c r="J334">
        <v>95.1</v>
      </c>
      <c r="K334">
        <v>66.5</v>
      </c>
      <c r="L334">
        <v>25.3</v>
      </c>
      <c r="M334">
        <v>10.5</v>
      </c>
      <c r="N334">
        <v>0.303563779722135</v>
      </c>
      <c r="O334">
        <v>4.0005370433513897E-2</v>
      </c>
      <c r="P334" t="str">
        <f t="shared" si="10"/>
        <v>F</v>
      </c>
      <c r="Q334" t="str">
        <f t="shared" si="11"/>
        <v>F</v>
      </c>
    </row>
    <row r="335" spans="1:17" hidden="1" x14ac:dyDescent="0.3">
      <c r="A335">
        <v>4053</v>
      </c>
      <c r="B335">
        <v>2470</v>
      </c>
      <c r="C335">
        <v>274</v>
      </c>
      <c r="D335" t="s">
        <v>19</v>
      </c>
      <c r="E335" t="s">
        <v>20</v>
      </c>
      <c r="F335" t="s">
        <v>17</v>
      </c>
      <c r="G335" t="s">
        <v>26</v>
      </c>
      <c r="H335">
        <v>270.8</v>
      </c>
      <c r="I335">
        <v>241</v>
      </c>
      <c r="J335">
        <v>93</v>
      </c>
      <c r="K335">
        <v>61.5</v>
      </c>
      <c r="L335">
        <v>24.5</v>
      </c>
      <c r="M335">
        <v>11.5</v>
      </c>
      <c r="N335">
        <v>9.8415008616433403E-2</v>
      </c>
      <c r="O335">
        <v>0.192391667962132</v>
      </c>
      <c r="P335" t="str">
        <f t="shared" si="10"/>
        <v>F</v>
      </c>
      <c r="Q335" t="str">
        <f t="shared" si="11"/>
        <v>F</v>
      </c>
    </row>
    <row r="336" spans="1:17" hidden="1" x14ac:dyDescent="0.3">
      <c r="A336">
        <v>4056</v>
      </c>
      <c r="B336">
        <v>2470</v>
      </c>
      <c r="C336">
        <v>274</v>
      </c>
      <c r="D336" t="s">
        <v>19</v>
      </c>
      <c r="E336" t="s">
        <v>20</v>
      </c>
      <c r="F336" t="s">
        <v>17</v>
      </c>
      <c r="G336" t="s">
        <v>26</v>
      </c>
      <c r="H336">
        <v>270.8</v>
      </c>
      <c r="I336">
        <v>241</v>
      </c>
      <c r="J336">
        <v>93</v>
      </c>
      <c r="K336">
        <v>61.5</v>
      </c>
      <c r="L336">
        <v>24.5</v>
      </c>
      <c r="M336">
        <v>11.5</v>
      </c>
      <c r="N336">
        <v>0.11374919772971399</v>
      </c>
      <c r="O336">
        <v>0.20017345775972301</v>
      </c>
      <c r="P336" t="str">
        <f t="shared" si="10"/>
        <v>F</v>
      </c>
      <c r="Q336" t="str">
        <f t="shared" si="11"/>
        <v>F</v>
      </c>
    </row>
    <row r="337" spans="1:17" hidden="1" x14ac:dyDescent="0.3">
      <c r="A337">
        <v>4057</v>
      </c>
      <c r="B337">
        <v>2470</v>
      </c>
      <c r="C337">
        <v>274</v>
      </c>
      <c r="D337" t="s">
        <v>19</v>
      </c>
      <c r="E337" t="s">
        <v>20</v>
      </c>
      <c r="F337" t="s">
        <v>17</v>
      </c>
      <c r="G337" t="s">
        <v>26</v>
      </c>
      <c r="H337">
        <v>270.8</v>
      </c>
      <c r="I337">
        <v>241</v>
      </c>
      <c r="J337">
        <v>93</v>
      </c>
      <c r="K337">
        <v>61.5</v>
      </c>
      <c r="L337">
        <v>24.5</v>
      </c>
      <c r="M337">
        <v>11.5</v>
      </c>
      <c r="N337">
        <v>0.110759381470143</v>
      </c>
      <c r="O337">
        <v>0.19956261294603</v>
      </c>
      <c r="P337" t="str">
        <f t="shared" si="10"/>
        <v>F</v>
      </c>
      <c r="Q337" t="str">
        <f t="shared" si="11"/>
        <v>F</v>
      </c>
    </row>
    <row r="338" spans="1:17" hidden="1" x14ac:dyDescent="0.3">
      <c r="A338">
        <v>4063</v>
      </c>
      <c r="B338">
        <v>2472</v>
      </c>
      <c r="C338">
        <v>379</v>
      </c>
      <c r="D338" t="s">
        <v>19</v>
      </c>
      <c r="E338" t="s">
        <v>20</v>
      </c>
      <c r="F338" t="s">
        <v>21</v>
      </c>
      <c r="G338" t="s">
        <v>22</v>
      </c>
      <c r="H338">
        <v>276.5</v>
      </c>
      <c r="I338">
        <v>259.5</v>
      </c>
      <c r="J338">
        <v>97.2</v>
      </c>
      <c r="K338">
        <v>68</v>
      </c>
      <c r="L338">
        <v>26.4</v>
      </c>
      <c r="M338">
        <v>4</v>
      </c>
      <c r="N338">
        <v>0.30101226070549703</v>
      </c>
      <c r="O338">
        <v>6.2738745319505795E-2</v>
      </c>
      <c r="P338" t="str">
        <f t="shared" si="10"/>
        <v>F</v>
      </c>
      <c r="Q338" t="str">
        <f t="shared" si="11"/>
        <v>F</v>
      </c>
    </row>
    <row r="339" spans="1:17" hidden="1" x14ac:dyDescent="0.3">
      <c r="A339">
        <v>4103</v>
      </c>
      <c r="B339">
        <v>2490</v>
      </c>
      <c r="C339">
        <v>18</v>
      </c>
      <c r="D339" t="s">
        <v>19</v>
      </c>
      <c r="E339" t="s">
        <v>20</v>
      </c>
      <c r="F339" t="s">
        <v>17</v>
      </c>
      <c r="G339" t="s">
        <v>18</v>
      </c>
      <c r="H339">
        <v>271.39999999999998</v>
      </c>
      <c r="I339">
        <v>244</v>
      </c>
      <c r="J339">
        <v>97.3</v>
      </c>
      <c r="K339">
        <v>64</v>
      </c>
      <c r="L339">
        <v>23.3</v>
      </c>
      <c r="M339">
        <v>6.5</v>
      </c>
      <c r="N339">
        <v>0.23002780635057801</v>
      </c>
      <c r="O339">
        <v>1.49790106085144E-3</v>
      </c>
      <c r="P339" t="str">
        <f t="shared" si="10"/>
        <v>F</v>
      </c>
      <c r="Q339" t="str">
        <f t="shared" si="11"/>
        <v>T</v>
      </c>
    </row>
    <row r="340" spans="1:17" hidden="1" x14ac:dyDescent="0.3">
      <c r="A340">
        <v>4104</v>
      </c>
      <c r="B340">
        <v>2490</v>
      </c>
      <c r="C340">
        <v>18</v>
      </c>
      <c r="D340" t="s">
        <v>19</v>
      </c>
      <c r="E340" t="s">
        <v>20</v>
      </c>
      <c r="F340" t="s">
        <v>17</v>
      </c>
      <c r="G340" t="s">
        <v>18</v>
      </c>
      <c r="H340">
        <v>271.39999999999998</v>
      </c>
      <c r="I340">
        <v>244</v>
      </c>
      <c r="J340">
        <v>97.3</v>
      </c>
      <c r="K340">
        <v>64</v>
      </c>
      <c r="L340">
        <v>23.3</v>
      </c>
      <c r="M340">
        <v>6.5</v>
      </c>
      <c r="N340">
        <v>0.23837672546636601</v>
      </c>
      <c r="O340">
        <v>7.4275934431519497E-3</v>
      </c>
      <c r="P340" t="str">
        <f t="shared" si="10"/>
        <v>F</v>
      </c>
      <c r="Q340" t="str">
        <f t="shared" si="11"/>
        <v>T</v>
      </c>
    </row>
    <row r="341" spans="1:17" hidden="1" x14ac:dyDescent="0.3">
      <c r="A341">
        <v>4105</v>
      </c>
      <c r="B341">
        <v>2490</v>
      </c>
      <c r="C341">
        <v>18</v>
      </c>
      <c r="D341" t="s">
        <v>19</v>
      </c>
      <c r="E341" t="s">
        <v>20</v>
      </c>
      <c r="F341" t="s">
        <v>17</v>
      </c>
      <c r="G341" t="s">
        <v>18</v>
      </c>
      <c r="H341">
        <v>271.39999999999998</v>
      </c>
      <c r="I341">
        <v>244</v>
      </c>
      <c r="J341">
        <v>97.3</v>
      </c>
      <c r="K341">
        <v>64</v>
      </c>
      <c r="L341">
        <v>23.3</v>
      </c>
      <c r="M341">
        <v>6.5</v>
      </c>
      <c r="N341">
        <v>0.25635922300228903</v>
      </c>
      <c r="O341">
        <v>1.4874237512037499E-2</v>
      </c>
      <c r="P341" t="str">
        <f t="shared" si="10"/>
        <v>F</v>
      </c>
      <c r="Q341" t="str">
        <f t="shared" si="11"/>
        <v>T</v>
      </c>
    </row>
    <row r="342" spans="1:17" hidden="1" x14ac:dyDescent="0.3">
      <c r="A342">
        <v>4106</v>
      </c>
      <c r="B342">
        <v>2490</v>
      </c>
      <c r="C342">
        <v>18</v>
      </c>
      <c r="D342" t="s">
        <v>19</v>
      </c>
      <c r="E342" t="s">
        <v>20</v>
      </c>
      <c r="F342" t="s">
        <v>17</v>
      </c>
      <c r="G342" t="s">
        <v>18</v>
      </c>
      <c r="H342">
        <v>271.39999999999998</v>
      </c>
      <c r="I342">
        <v>244</v>
      </c>
      <c r="J342">
        <v>97.3</v>
      </c>
      <c r="K342">
        <v>64</v>
      </c>
      <c r="L342">
        <v>23.3</v>
      </c>
      <c r="M342">
        <v>6.5</v>
      </c>
      <c r="N342">
        <v>0.25864126301677398</v>
      </c>
      <c r="O342">
        <v>2.0511545580848702E-2</v>
      </c>
      <c r="P342" t="str">
        <f t="shared" si="10"/>
        <v>F</v>
      </c>
      <c r="Q342" t="str">
        <f t="shared" si="11"/>
        <v>T</v>
      </c>
    </row>
    <row r="343" spans="1:17" hidden="1" x14ac:dyDescent="0.3">
      <c r="A343">
        <v>4111</v>
      </c>
      <c r="B343">
        <v>2494</v>
      </c>
      <c r="C343">
        <v>29</v>
      </c>
      <c r="D343" t="s">
        <v>19</v>
      </c>
      <c r="E343" t="s">
        <v>20</v>
      </c>
      <c r="F343" t="s">
        <v>21</v>
      </c>
      <c r="G343" t="s">
        <v>26</v>
      </c>
      <c r="H343">
        <v>276.60000000000002</v>
      </c>
      <c r="I343">
        <v>256.5</v>
      </c>
      <c r="J343">
        <v>98.4</v>
      </c>
      <c r="K343">
        <v>67.5</v>
      </c>
      <c r="L343">
        <v>28.3</v>
      </c>
      <c r="M343">
        <v>8</v>
      </c>
      <c r="N343">
        <v>0.19907922374451101</v>
      </c>
      <c r="O343">
        <v>0.11688207372600599</v>
      </c>
      <c r="P343" t="str">
        <f t="shared" si="10"/>
        <v>F</v>
      </c>
      <c r="Q343" t="str">
        <f t="shared" si="11"/>
        <v>F</v>
      </c>
    </row>
    <row r="344" spans="1:17" hidden="1" x14ac:dyDescent="0.3">
      <c r="A344">
        <v>4112</v>
      </c>
      <c r="B344">
        <v>2494</v>
      </c>
      <c r="C344">
        <v>29</v>
      </c>
      <c r="D344" t="s">
        <v>19</v>
      </c>
      <c r="E344" t="s">
        <v>20</v>
      </c>
      <c r="F344" t="s">
        <v>21</v>
      </c>
      <c r="G344" t="s">
        <v>26</v>
      </c>
      <c r="H344">
        <v>276.60000000000002</v>
      </c>
      <c r="I344">
        <v>256.5</v>
      </c>
      <c r="J344">
        <v>98.4</v>
      </c>
      <c r="K344">
        <v>67.5</v>
      </c>
      <c r="L344">
        <v>28.3</v>
      </c>
      <c r="M344">
        <v>8</v>
      </c>
      <c r="N344">
        <v>0.20004794963154399</v>
      </c>
      <c r="O344">
        <v>0.108614394772133</v>
      </c>
      <c r="P344" t="str">
        <f t="shared" si="10"/>
        <v>F</v>
      </c>
      <c r="Q344" t="str">
        <f t="shared" si="11"/>
        <v>F</v>
      </c>
    </row>
    <row r="345" spans="1:17" hidden="1" x14ac:dyDescent="0.3">
      <c r="A345">
        <v>4113</v>
      </c>
      <c r="B345">
        <v>2494</v>
      </c>
      <c r="C345">
        <v>29</v>
      </c>
      <c r="D345" t="s">
        <v>19</v>
      </c>
      <c r="E345" t="s">
        <v>20</v>
      </c>
      <c r="F345" t="s">
        <v>21</v>
      </c>
      <c r="G345" t="s">
        <v>26</v>
      </c>
      <c r="H345">
        <v>276.60000000000002</v>
      </c>
      <c r="I345">
        <v>256.5</v>
      </c>
      <c r="J345">
        <v>98.4</v>
      </c>
      <c r="K345">
        <v>67.5</v>
      </c>
      <c r="L345">
        <v>28.3</v>
      </c>
      <c r="M345">
        <v>8</v>
      </c>
      <c r="N345">
        <v>0.19827596673199899</v>
      </c>
      <c r="O345">
        <v>8.8839315601069294E-2</v>
      </c>
      <c r="P345" t="str">
        <f t="shared" si="10"/>
        <v>F</v>
      </c>
      <c r="Q345" t="str">
        <f t="shared" si="11"/>
        <v>F</v>
      </c>
    </row>
    <row r="346" spans="1:17" hidden="1" x14ac:dyDescent="0.3">
      <c r="A346">
        <v>4196</v>
      </c>
      <c r="B346">
        <v>2525</v>
      </c>
      <c r="C346">
        <v>303</v>
      </c>
      <c r="D346" t="s">
        <v>19</v>
      </c>
      <c r="E346" t="s">
        <v>20</v>
      </c>
      <c r="F346" t="s">
        <v>17</v>
      </c>
      <c r="G346" t="s">
        <v>18</v>
      </c>
      <c r="H346">
        <v>277.60000000000002</v>
      </c>
      <c r="I346">
        <v>254.5</v>
      </c>
      <c r="J346">
        <v>94.7</v>
      </c>
      <c r="K346">
        <v>67</v>
      </c>
      <c r="L346">
        <v>27.3</v>
      </c>
      <c r="M346">
        <v>14</v>
      </c>
      <c r="N346">
        <v>8.2505025531951895E-2</v>
      </c>
      <c r="O346">
        <v>0.12777460602929999</v>
      </c>
      <c r="P346" t="str">
        <f t="shared" si="10"/>
        <v>F</v>
      </c>
      <c r="Q346" t="str">
        <f t="shared" si="11"/>
        <v>F</v>
      </c>
    </row>
    <row r="347" spans="1:17" hidden="1" x14ac:dyDescent="0.3">
      <c r="A347">
        <v>4224</v>
      </c>
      <c r="B347">
        <v>2537</v>
      </c>
      <c r="C347">
        <v>27</v>
      </c>
      <c r="D347" t="s">
        <v>19</v>
      </c>
      <c r="E347" t="s">
        <v>20</v>
      </c>
      <c r="F347" t="s">
        <v>17</v>
      </c>
      <c r="G347" t="s">
        <v>18</v>
      </c>
      <c r="H347">
        <v>276.60000000000002</v>
      </c>
      <c r="I347">
        <v>251.5</v>
      </c>
      <c r="J347">
        <v>95.3</v>
      </c>
      <c r="K347">
        <v>67.5</v>
      </c>
      <c r="L347">
        <v>29.7</v>
      </c>
      <c r="M347">
        <v>2</v>
      </c>
      <c r="N347">
        <v>0.157382843356876</v>
      </c>
      <c r="O347">
        <v>0.14192026241251099</v>
      </c>
      <c r="P347" t="str">
        <f t="shared" si="10"/>
        <v>F</v>
      </c>
      <c r="Q347" t="str">
        <f t="shared" si="11"/>
        <v>F</v>
      </c>
    </row>
    <row r="348" spans="1:17" hidden="1" x14ac:dyDescent="0.3">
      <c r="A348">
        <v>4225</v>
      </c>
      <c r="B348">
        <v>2537</v>
      </c>
      <c r="C348">
        <v>27</v>
      </c>
      <c r="D348" t="s">
        <v>19</v>
      </c>
      <c r="E348" t="s">
        <v>20</v>
      </c>
      <c r="F348" t="s">
        <v>17</v>
      </c>
      <c r="G348" t="s">
        <v>18</v>
      </c>
      <c r="H348">
        <v>276.60000000000002</v>
      </c>
      <c r="I348">
        <v>251.5</v>
      </c>
      <c r="J348">
        <v>95.3</v>
      </c>
      <c r="K348">
        <v>67.5</v>
      </c>
      <c r="L348">
        <v>29.7</v>
      </c>
      <c r="M348">
        <v>2</v>
      </c>
      <c r="N348">
        <v>0.14059299102622699</v>
      </c>
      <c r="O348">
        <v>0.13206467297005201</v>
      </c>
      <c r="P348" t="str">
        <f t="shared" si="10"/>
        <v>F</v>
      </c>
      <c r="Q348" t="str">
        <f t="shared" si="11"/>
        <v>F</v>
      </c>
    </row>
    <row r="349" spans="1:17" hidden="1" x14ac:dyDescent="0.3">
      <c r="A349">
        <v>4226</v>
      </c>
      <c r="B349">
        <v>2537</v>
      </c>
      <c r="C349">
        <v>27</v>
      </c>
      <c r="D349" t="s">
        <v>19</v>
      </c>
      <c r="E349" t="s">
        <v>20</v>
      </c>
      <c r="F349" t="s">
        <v>17</v>
      </c>
      <c r="G349" t="s">
        <v>18</v>
      </c>
      <c r="H349">
        <v>276.60000000000002</v>
      </c>
      <c r="I349">
        <v>251.5</v>
      </c>
      <c r="J349">
        <v>95.3</v>
      </c>
      <c r="K349">
        <v>67.5</v>
      </c>
      <c r="L349">
        <v>29.7</v>
      </c>
      <c r="M349">
        <v>2</v>
      </c>
      <c r="N349">
        <v>0.15793754710719601</v>
      </c>
      <c r="O349">
        <v>0.151397530941287</v>
      </c>
      <c r="P349" t="str">
        <f t="shared" si="10"/>
        <v>F</v>
      </c>
      <c r="Q349" t="str">
        <f t="shared" si="11"/>
        <v>F</v>
      </c>
    </row>
    <row r="350" spans="1:17" hidden="1" x14ac:dyDescent="0.3">
      <c r="A350">
        <v>4227</v>
      </c>
      <c r="B350">
        <v>2537</v>
      </c>
      <c r="C350">
        <v>27</v>
      </c>
      <c r="D350" t="s">
        <v>19</v>
      </c>
      <c r="E350" t="s">
        <v>20</v>
      </c>
      <c r="F350" t="s">
        <v>17</v>
      </c>
      <c r="G350" t="s">
        <v>18</v>
      </c>
      <c r="H350">
        <v>276.60000000000002</v>
      </c>
      <c r="I350">
        <v>251.5</v>
      </c>
      <c r="J350">
        <v>95.3</v>
      </c>
      <c r="K350">
        <v>67.5</v>
      </c>
      <c r="L350">
        <v>29.7</v>
      </c>
      <c r="M350">
        <v>2</v>
      </c>
      <c r="N350">
        <v>0.14825340209674401</v>
      </c>
      <c r="O350">
        <v>0.13711072256551601</v>
      </c>
      <c r="P350" t="str">
        <f t="shared" si="10"/>
        <v>F</v>
      </c>
      <c r="Q350" t="str">
        <f t="shared" si="11"/>
        <v>F</v>
      </c>
    </row>
    <row r="351" spans="1:17" hidden="1" x14ac:dyDescent="0.3">
      <c r="A351">
        <v>4254</v>
      </c>
      <c r="B351">
        <v>2547</v>
      </c>
      <c r="C351">
        <v>310</v>
      </c>
      <c r="D351" t="s">
        <v>19</v>
      </c>
      <c r="E351" t="s">
        <v>20</v>
      </c>
      <c r="F351" t="s">
        <v>17</v>
      </c>
      <c r="G351" t="s">
        <v>26</v>
      </c>
      <c r="H351">
        <v>273.60000000000002</v>
      </c>
      <c r="I351">
        <v>255</v>
      </c>
      <c r="J351">
        <v>95.2</v>
      </c>
      <c r="K351">
        <v>63.5</v>
      </c>
      <c r="L351">
        <v>27</v>
      </c>
      <c r="M351">
        <v>11.5</v>
      </c>
      <c r="N351">
        <v>3.2786569178485402E-2</v>
      </c>
      <c r="O351">
        <v>0.11101214291604899</v>
      </c>
      <c r="P351" t="str">
        <f t="shared" si="10"/>
        <v>T</v>
      </c>
      <c r="Q351" t="str">
        <f t="shared" si="11"/>
        <v>F</v>
      </c>
    </row>
    <row r="352" spans="1:17" hidden="1" x14ac:dyDescent="0.3">
      <c r="A352">
        <v>4255</v>
      </c>
      <c r="B352">
        <v>2547</v>
      </c>
      <c r="C352">
        <v>310</v>
      </c>
      <c r="D352" t="s">
        <v>19</v>
      </c>
      <c r="E352" t="s">
        <v>20</v>
      </c>
      <c r="F352" t="s">
        <v>17</v>
      </c>
      <c r="G352" t="s">
        <v>26</v>
      </c>
      <c r="H352">
        <v>273.60000000000002</v>
      </c>
      <c r="I352">
        <v>255</v>
      </c>
      <c r="J352">
        <v>95.2</v>
      </c>
      <c r="K352">
        <v>63.5</v>
      </c>
      <c r="L352">
        <v>27</v>
      </c>
      <c r="M352">
        <v>11.5</v>
      </c>
      <c r="N352">
        <v>4.7720350934700402E-2</v>
      </c>
      <c r="O352">
        <v>0.132729859885207</v>
      </c>
      <c r="P352" t="str">
        <f t="shared" si="10"/>
        <v>T</v>
      </c>
      <c r="Q352" t="str">
        <f t="shared" si="11"/>
        <v>F</v>
      </c>
    </row>
    <row r="353" spans="1:17" hidden="1" x14ac:dyDescent="0.3">
      <c r="A353">
        <v>4257</v>
      </c>
      <c r="B353">
        <v>2547</v>
      </c>
      <c r="C353">
        <v>310</v>
      </c>
      <c r="D353" t="s">
        <v>19</v>
      </c>
      <c r="E353" t="s">
        <v>20</v>
      </c>
      <c r="F353" t="s">
        <v>17</v>
      </c>
      <c r="G353" t="s">
        <v>26</v>
      </c>
      <c r="H353">
        <v>273.60000000000002</v>
      </c>
      <c r="I353">
        <v>255</v>
      </c>
      <c r="J353">
        <v>95.2</v>
      </c>
      <c r="K353">
        <v>63.5</v>
      </c>
      <c r="L353">
        <v>27</v>
      </c>
      <c r="M353">
        <v>11.5</v>
      </c>
      <c r="N353">
        <v>4.2683252888748101E-2</v>
      </c>
      <c r="O353">
        <v>0.132966950622742</v>
      </c>
      <c r="P353" t="str">
        <f t="shared" si="10"/>
        <v>T</v>
      </c>
      <c r="Q353" t="str">
        <f t="shared" si="11"/>
        <v>F</v>
      </c>
    </row>
    <row r="354" spans="1:17" hidden="1" x14ac:dyDescent="0.3">
      <c r="A354">
        <v>4258</v>
      </c>
      <c r="B354">
        <v>2547</v>
      </c>
      <c r="C354">
        <v>310</v>
      </c>
      <c r="D354" t="s">
        <v>19</v>
      </c>
      <c r="E354" t="s">
        <v>20</v>
      </c>
      <c r="F354" t="s">
        <v>17</v>
      </c>
      <c r="G354" t="s">
        <v>26</v>
      </c>
      <c r="H354">
        <v>273.60000000000002</v>
      </c>
      <c r="I354">
        <v>255</v>
      </c>
      <c r="J354">
        <v>95.2</v>
      </c>
      <c r="K354">
        <v>63.5</v>
      </c>
      <c r="L354">
        <v>27</v>
      </c>
      <c r="M354">
        <v>11.5</v>
      </c>
      <c r="N354">
        <v>6.09049595311816E-2</v>
      </c>
      <c r="O354">
        <v>0.116440948245047</v>
      </c>
      <c r="P354" t="str">
        <f t="shared" si="10"/>
        <v>T</v>
      </c>
      <c r="Q354" t="str">
        <f t="shared" si="11"/>
        <v>F</v>
      </c>
    </row>
    <row r="355" spans="1:17" hidden="1" x14ac:dyDescent="0.3">
      <c r="A355">
        <v>4260</v>
      </c>
      <c r="B355">
        <v>2548</v>
      </c>
      <c r="C355">
        <v>233</v>
      </c>
      <c r="D355" t="s">
        <v>19</v>
      </c>
      <c r="E355" t="s">
        <v>20</v>
      </c>
      <c r="F355" t="s">
        <v>17</v>
      </c>
      <c r="G355" t="s">
        <v>25</v>
      </c>
      <c r="H355">
        <v>274.7</v>
      </c>
      <c r="I355">
        <v>248.5</v>
      </c>
      <c r="J355">
        <v>95.9</v>
      </c>
      <c r="K355">
        <v>63.5</v>
      </c>
      <c r="L355">
        <v>27.6</v>
      </c>
      <c r="M355">
        <v>11</v>
      </c>
      <c r="N355">
        <v>2.28084694299545E-2</v>
      </c>
      <c r="O355">
        <v>0.117371375289819</v>
      </c>
      <c r="P355" t="str">
        <f t="shared" si="10"/>
        <v>T</v>
      </c>
      <c r="Q355" t="str">
        <f t="shared" si="11"/>
        <v>F</v>
      </c>
    </row>
    <row r="356" spans="1:17" hidden="1" x14ac:dyDescent="0.3">
      <c r="A356">
        <v>4350</v>
      </c>
      <c r="B356">
        <v>2590</v>
      </c>
      <c r="C356">
        <v>89</v>
      </c>
      <c r="D356" t="s">
        <v>19</v>
      </c>
      <c r="E356" t="s">
        <v>20</v>
      </c>
      <c r="F356" t="s">
        <v>21</v>
      </c>
      <c r="G356" t="s">
        <v>24</v>
      </c>
      <c r="H356">
        <v>275.89999999999998</v>
      </c>
      <c r="I356">
        <v>245.5</v>
      </c>
      <c r="J356">
        <v>92.8</v>
      </c>
      <c r="K356">
        <v>66.5</v>
      </c>
      <c r="L356">
        <v>26.7</v>
      </c>
      <c r="M356">
        <v>12.5</v>
      </c>
      <c r="N356">
        <v>7.0028133750480601E-2</v>
      </c>
      <c r="O356">
        <v>0.10104709620209799</v>
      </c>
      <c r="P356" t="str">
        <f t="shared" si="10"/>
        <v>F</v>
      </c>
      <c r="Q356" t="str">
        <f t="shared" si="11"/>
        <v>F</v>
      </c>
    </row>
    <row r="357" spans="1:17" hidden="1" x14ac:dyDescent="0.3">
      <c r="A357">
        <v>4351</v>
      </c>
      <c r="B357">
        <v>2590</v>
      </c>
      <c r="C357">
        <v>89</v>
      </c>
      <c r="D357" t="s">
        <v>19</v>
      </c>
      <c r="E357" t="s">
        <v>20</v>
      </c>
      <c r="F357" t="s">
        <v>21</v>
      </c>
      <c r="G357" t="s">
        <v>24</v>
      </c>
      <c r="H357">
        <v>275.89999999999998</v>
      </c>
      <c r="I357">
        <v>245.5</v>
      </c>
      <c r="J357">
        <v>92.8</v>
      </c>
      <c r="K357">
        <v>66.5</v>
      </c>
      <c r="L357">
        <v>26.7</v>
      </c>
      <c r="M357">
        <v>12.5</v>
      </c>
      <c r="N357">
        <v>9.6726565602888295E-2</v>
      </c>
      <c r="O357">
        <v>0.12960051698133501</v>
      </c>
      <c r="P357" t="str">
        <f t="shared" si="10"/>
        <v>F</v>
      </c>
      <c r="Q357" t="str">
        <f t="shared" si="11"/>
        <v>F</v>
      </c>
    </row>
    <row r="358" spans="1:17" hidden="1" x14ac:dyDescent="0.3">
      <c r="A358">
        <v>4352</v>
      </c>
      <c r="B358">
        <v>2590</v>
      </c>
      <c r="C358">
        <v>89</v>
      </c>
      <c r="D358" t="s">
        <v>19</v>
      </c>
      <c r="E358" t="s">
        <v>20</v>
      </c>
      <c r="F358" t="s">
        <v>21</v>
      </c>
      <c r="G358" t="s">
        <v>24</v>
      </c>
      <c r="H358">
        <v>275.89999999999998</v>
      </c>
      <c r="I358">
        <v>245.5</v>
      </c>
      <c r="J358">
        <v>92.8</v>
      </c>
      <c r="K358">
        <v>66.5</v>
      </c>
      <c r="L358">
        <v>26.7</v>
      </c>
      <c r="M358">
        <v>12.5</v>
      </c>
      <c r="N358">
        <v>9.0749384801099398E-2</v>
      </c>
      <c r="O358">
        <v>0.11880374171479401</v>
      </c>
      <c r="P358" t="str">
        <f t="shared" si="10"/>
        <v>F</v>
      </c>
      <c r="Q358" t="str">
        <f t="shared" si="11"/>
        <v>F</v>
      </c>
    </row>
    <row r="359" spans="1:17" hidden="1" x14ac:dyDescent="0.3">
      <c r="A359">
        <v>4353</v>
      </c>
      <c r="B359">
        <v>2590</v>
      </c>
      <c r="C359">
        <v>89</v>
      </c>
      <c r="D359" t="s">
        <v>19</v>
      </c>
      <c r="E359" t="s">
        <v>20</v>
      </c>
      <c r="F359" t="s">
        <v>21</v>
      </c>
      <c r="G359" t="s">
        <v>24</v>
      </c>
      <c r="H359">
        <v>275.89999999999998</v>
      </c>
      <c r="I359">
        <v>245.5</v>
      </c>
      <c r="J359">
        <v>92.8</v>
      </c>
      <c r="K359">
        <v>66.5</v>
      </c>
      <c r="L359">
        <v>26.7</v>
      </c>
      <c r="M359">
        <v>12.5</v>
      </c>
      <c r="N359">
        <v>6.7687317240868197E-2</v>
      </c>
      <c r="O359">
        <v>0.109550135892358</v>
      </c>
      <c r="P359" t="str">
        <f t="shared" si="10"/>
        <v>F</v>
      </c>
      <c r="Q359" t="str">
        <f t="shared" si="11"/>
        <v>F</v>
      </c>
    </row>
    <row r="360" spans="1:17" hidden="1" x14ac:dyDescent="0.3">
      <c r="A360">
        <v>4368</v>
      </c>
      <c r="B360">
        <v>2597</v>
      </c>
      <c r="C360">
        <v>314</v>
      </c>
      <c r="D360" t="s">
        <v>19</v>
      </c>
      <c r="E360" t="s">
        <v>20</v>
      </c>
      <c r="F360" t="s">
        <v>17</v>
      </c>
      <c r="G360" t="s">
        <v>18</v>
      </c>
      <c r="H360">
        <v>273.5</v>
      </c>
      <c r="I360">
        <v>251.5</v>
      </c>
      <c r="J360">
        <v>97.5</v>
      </c>
      <c r="K360">
        <v>65</v>
      </c>
      <c r="L360">
        <v>25.5</v>
      </c>
      <c r="M360">
        <v>13</v>
      </c>
      <c r="N360">
        <v>0.216208511518209</v>
      </c>
      <c r="O360">
        <v>8.1369468716548696E-2</v>
      </c>
      <c r="P360" t="str">
        <f t="shared" si="10"/>
        <v>F</v>
      </c>
      <c r="Q360" t="str">
        <f t="shared" si="11"/>
        <v>F</v>
      </c>
    </row>
    <row r="361" spans="1:17" hidden="1" x14ac:dyDescent="0.3">
      <c r="A361">
        <v>4369</v>
      </c>
      <c r="B361">
        <v>2597</v>
      </c>
      <c r="C361">
        <v>314</v>
      </c>
      <c r="D361" t="s">
        <v>19</v>
      </c>
      <c r="E361" t="s">
        <v>20</v>
      </c>
      <c r="F361" t="s">
        <v>17</v>
      </c>
      <c r="G361" t="s">
        <v>18</v>
      </c>
      <c r="H361">
        <v>273.5</v>
      </c>
      <c r="I361">
        <v>251.5</v>
      </c>
      <c r="J361">
        <v>97.5</v>
      </c>
      <c r="K361">
        <v>65</v>
      </c>
      <c r="L361">
        <v>25.5</v>
      </c>
      <c r="M361">
        <v>13</v>
      </c>
      <c r="N361">
        <v>0.221630475295676</v>
      </c>
      <c r="O361">
        <v>8.6705668084085794E-2</v>
      </c>
      <c r="P361" t="str">
        <f t="shared" si="10"/>
        <v>F</v>
      </c>
      <c r="Q361" t="str">
        <f t="shared" si="11"/>
        <v>F</v>
      </c>
    </row>
    <row r="362" spans="1:17" hidden="1" x14ac:dyDescent="0.3">
      <c r="A362">
        <v>4370</v>
      </c>
      <c r="B362">
        <v>2597</v>
      </c>
      <c r="C362">
        <v>314</v>
      </c>
      <c r="D362" t="s">
        <v>19</v>
      </c>
      <c r="E362" t="s">
        <v>20</v>
      </c>
      <c r="F362" t="s">
        <v>17</v>
      </c>
      <c r="G362" t="s">
        <v>18</v>
      </c>
      <c r="H362">
        <v>273.5</v>
      </c>
      <c r="I362">
        <v>251.5</v>
      </c>
      <c r="J362">
        <v>97.5</v>
      </c>
      <c r="K362">
        <v>65</v>
      </c>
      <c r="L362">
        <v>25.5</v>
      </c>
      <c r="M362">
        <v>13</v>
      </c>
      <c r="N362">
        <v>0.238558141902218</v>
      </c>
      <c r="O362">
        <v>0.104102668711105</v>
      </c>
      <c r="P362" t="str">
        <f t="shared" si="10"/>
        <v>F</v>
      </c>
      <c r="Q362" t="str">
        <f t="shared" si="11"/>
        <v>F</v>
      </c>
    </row>
    <row r="363" spans="1:17" hidden="1" x14ac:dyDescent="0.3">
      <c r="A363">
        <v>4415</v>
      </c>
      <c r="B363">
        <v>261</v>
      </c>
      <c r="C363">
        <v>233</v>
      </c>
      <c r="D363" t="s">
        <v>19</v>
      </c>
      <c r="E363" t="s">
        <v>20</v>
      </c>
      <c r="F363" t="s">
        <v>17</v>
      </c>
      <c r="G363" t="s">
        <v>18</v>
      </c>
      <c r="H363">
        <v>274.7</v>
      </c>
      <c r="I363">
        <v>248.5</v>
      </c>
      <c r="J363">
        <v>95.9</v>
      </c>
      <c r="K363">
        <v>63.5</v>
      </c>
      <c r="L363">
        <v>27.6</v>
      </c>
      <c r="M363">
        <v>11</v>
      </c>
      <c r="N363">
        <v>2.4847619148992899E-2</v>
      </c>
      <c r="O363">
        <v>0.10709167697847199</v>
      </c>
      <c r="P363" t="str">
        <f t="shared" si="10"/>
        <v>T</v>
      </c>
      <c r="Q363" t="str">
        <f t="shared" si="11"/>
        <v>F</v>
      </c>
    </row>
    <row r="364" spans="1:17" hidden="1" x14ac:dyDescent="0.3">
      <c r="A364">
        <v>4416</v>
      </c>
      <c r="B364">
        <v>261</v>
      </c>
      <c r="C364">
        <v>233</v>
      </c>
      <c r="D364" t="s">
        <v>19</v>
      </c>
      <c r="E364" t="s">
        <v>20</v>
      </c>
      <c r="F364" t="s">
        <v>17</v>
      </c>
      <c r="G364" t="s">
        <v>18</v>
      </c>
      <c r="H364">
        <v>274.7</v>
      </c>
      <c r="I364">
        <v>248.5</v>
      </c>
      <c r="J364">
        <v>95.9</v>
      </c>
      <c r="K364">
        <v>63.5</v>
      </c>
      <c r="L364">
        <v>27.6</v>
      </c>
      <c r="M364">
        <v>11</v>
      </c>
      <c r="N364">
        <v>2.30043481579085E-2</v>
      </c>
      <c r="O364">
        <v>0.12018603650983201</v>
      </c>
      <c r="P364" t="str">
        <f t="shared" si="10"/>
        <v>T</v>
      </c>
      <c r="Q364" t="str">
        <f t="shared" si="11"/>
        <v>F</v>
      </c>
    </row>
    <row r="365" spans="1:17" hidden="1" x14ac:dyDescent="0.3">
      <c r="A365">
        <v>4417</v>
      </c>
      <c r="B365">
        <v>2610</v>
      </c>
      <c r="C365">
        <v>149</v>
      </c>
      <c r="D365" t="s">
        <v>19</v>
      </c>
      <c r="E365" t="s">
        <v>20</v>
      </c>
      <c r="F365" t="s">
        <v>17</v>
      </c>
      <c r="G365" t="s">
        <v>24</v>
      </c>
      <c r="H365">
        <v>275.8</v>
      </c>
      <c r="I365">
        <v>245.5</v>
      </c>
      <c r="J365">
        <v>93.1</v>
      </c>
      <c r="K365">
        <v>67</v>
      </c>
      <c r="L365">
        <v>28.1</v>
      </c>
      <c r="M365">
        <v>7</v>
      </c>
      <c r="N365">
        <v>0.14570130278053101</v>
      </c>
      <c r="O365">
        <v>0.105945960188586</v>
      </c>
      <c r="P365" t="str">
        <f t="shared" si="10"/>
        <v>F</v>
      </c>
      <c r="Q365" t="str">
        <f t="shared" si="11"/>
        <v>F</v>
      </c>
    </row>
    <row r="366" spans="1:17" hidden="1" x14ac:dyDescent="0.3">
      <c r="A366">
        <v>4418</v>
      </c>
      <c r="B366">
        <v>2610</v>
      </c>
      <c r="C366">
        <v>149</v>
      </c>
      <c r="D366" t="s">
        <v>19</v>
      </c>
      <c r="E366" t="s">
        <v>20</v>
      </c>
      <c r="F366" t="s">
        <v>17</v>
      </c>
      <c r="G366" t="s">
        <v>24</v>
      </c>
      <c r="H366">
        <v>275.8</v>
      </c>
      <c r="I366">
        <v>245.5</v>
      </c>
      <c r="J366">
        <v>93.1</v>
      </c>
      <c r="K366">
        <v>67</v>
      </c>
      <c r="L366">
        <v>28.1</v>
      </c>
      <c r="M366">
        <v>7</v>
      </c>
      <c r="N366">
        <v>0.15630748643779699</v>
      </c>
      <c r="O366">
        <v>7.4869968601150999E-2</v>
      </c>
      <c r="P366" t="str">
        <f t="shared" si="10"/>
        <v>F</v>
      </c>
      <c r="Q366" t="str">
        <f t="shared" si="11"/>
        <v>F</v>
      </c>
    </row>
    <row r="367" spans="1:17" hidden="1" x14ac:dyDescent="0.3">
      <c r="A367">
        <v>4419</v>
      </c>
      <c r="B367">
        <v>2610</v>
      </c>
      <c r="C367">
        <v>149</v>
      </c>
      <c r="D367" t="s">
        <v>19</v>
      </c>
      <c r="E367" t="s">
        <v>20</v>
      </c>
      <c r="F367" t="s">
        <v>17</v>
      </c>
      <c r="G367" t="s">
        <v>24</v>
      </c>
      <c r="H367">
        <v>275.8</v>
      </c>
      <c r="I367">
        <v>245.5</v>
      </c>
      <c r="J367">
        <v>93.1</v>
      </c>
      <c r="K367">
        <v>67</v>
      </c>
      <c r="L367">
        <v>28.1</v>
      </c>
      <c r="M367">
        <v>7</v>
      </c>
      <c r="N367">
        <v>0.137072778595205</v>
      </c>
      <c r="O367">
        <v>8.4830434457238604E-2</v>
      </c>
      <c r="P367" t="str">
        <f t="shared" si="10"/>
        <v>F</v>
      </c>
      <c r="Q367" t="str">
        <f t="shared" si="11"/>
        <v>F</v>
      </c>
    </row>
    <row r="368" spans="1:17" hidden="1" x14ac:dyDescent="0.3">
      <c r="A368">
        <v>4420</v>
      </c>
      <c r="B368">
        <v>2610</v>
      </c>
      <c r="C368">
        <v>149</v>
      </c>
      <c r="D368" t="s">
        <v>19</v>
      </c>
      <c r="E368" t="s">
        <v>20</v>
      </c>
      <c r="F368" t="s">
        <v>17</v>
      </c>
      <c r="G368" t="s">
        <v>24</v>
      </c>
      <c r="H368">
        <v>275.8</v>
      </c>
      <c r="I368">
        <v>245.5</v>
      </c>
      <c r="J368">
        <v>93.1</v>
      </c>
      <c r="K368">
        <v>67</v>
      </c>
      <c r="L368">
        <v>28.1</v>
      </c>
      <c r="M368">
        <v>7</v>
      </c>
      <c r="N368">
        <v>0.171373526673089</v>
      </c>
      <c r="O368">
        <v>8.6411501370756302E-2</v>
      </c>
      <c r="P368" t="str">
        <f t="shared" si="10"/>
        <v>F</v>
      </c>
      <c r="Q368" t="str">
        <f t="shared" si="11"/>
        <v>F</v>
      </c>
    </row>
    <row r="369" spans="1:17" hidden="1" x14ac:dyDescent="0.3">
      <c r="A369">
        <v>4496</v>
      </c>
      <c r="B369">
        <v>2637</v>
      </c>
      <c r="C369">
        <v>149</v>
      </c>
      <c r="D369" t="s">
        <v>19</v>
      </c>
      <c r="E369" t="s">
        <v>20</v>
      </c>
      <c r="F369" t="s">
        <v>17</v>
      </c>
      <c r="G369" t="s">
        <v>25</v>
      </c>
      <c r="H369">
        <v>275.8</v>
      </c>
      <c r="I369">
        <v>245.5</v>
      </c>
      <c r="J369">
        <v>93.1</v>
      </c>
      <c r="K369">
        <v>67</v>
      </c>
      <c r="L369">
        <v>28.1</v>
      </c>
      <c r="M369">
        <v>7</v>
      </c>
      <c r="N369">
        <v>0.17194526428173099</v>
      </c>
      <c r="O369">
        <v>0.108474397447787</v>
      </c>
      <c r="P369" t="str">
        <f t="shared" si="10"/>
        <v>F</v>
      </c>
      <c r="Q369" t="str">
        <f t="shared" si="11"/>
        <v>F</v>
      </c>
    </row>
    <row r="370" spans="1:17" hidden="1" x14ac:dyDescent="0.3">
      <c r="A370">
        <v>4497</v>
      </c>
      <c r="B370">
        <v>2637</v>
      </c>
      <c r="C370">
        <v>149</v>
      </c>
      <c r="D370" t="s">
        <v>19</v>
      </c>
      <c r="E370" t="s">
        <v>20</v>
      </c>
      <c r="F370" t="s">
        <v>17</v>
      </c>
      <c r="G370" t="s">
        <v>25</v>
      </c>
      <c r="H370">
        <v>275.8</v>
      </c>
      <c r="I370">
        <v>245.5</v>
      </c>
      <c r="J370">
        <v>93.1</v>
      </c>
      <c r="K370">
        <v>67</v>
      </c>
      <c r="L370">
        <v>28.1</v>
      </c>
      <c r="M370">
        <v>7</v>
      </c>
      <c r="N370">
        <v>0.15815665722577399</v>
      </c>
      <c r="O370">
        <v>7.2248474907642204E-2</v>
      </c>
      <c r="P370" t="str">
        <f t="shared" si="10"/>
        <v>F</v>
      </c>
      <c r="Q370" t="str">
        <f t="shared" si="11"/>
        <v>F</v>
      </c>
    </row>
    <row r="371" spans="1:17" hidden="1" x14ac:dyDescent="0.3">
      <c r="A371">
        <v>4498</v>
      </c>
      <c r="B371">
        <v>2637</v>
      </c>
      <c r="C371">
        <v>149</v>
      </c>
      <c r="D371" t="s">
        <v>19</v>
      </c>
      <c r="E371" t="s">
        <v>20</v>
      </c>
      <c r="F371" t="s">
        <v>17</v>
      </c>
      <c r="G371" t="s">
        <v>25</v>
      </c>
      <c r="H371">
        <v>275.8</v>
      </c>
      <c r="I371">
        <v>245.5</v>
      </c>
      <c r="J371">
        <v>93.1</v>
      </c>
      <c r="K371">
        <v>67</v>
      </c>
      <c r="L371">
        <v>28.1</v>
      </c>
      <c r="M371">
        <v>7</v>
      </c>
      <c r="N371">
        <v>0.16837740897069001</v>
      </c>
      <c r="O371">
        <v>9.4150357115764402E-2</v>
      </c>
      <c r="P371" t="str">
        <f t="shared" si="10"/>
        <v>F</v>
      </c>
      <c r="Q371" t="str">
        <f t="shared" si="11"/>
        <v>F</v>
      </c>
    </row>
    <row r="372" spans="1:17" hidden="1" x14ac:dyDescent="0.3">
      <c r="A372">
        <v>4504</v>
      </c>
      <c r="B372">
        <v>2640</v>
      </c>
      <c r="C372">
        <v>345</v>
      </c>
      <c r="D372" t="s">
        <v>19</v>
      </c>
      <c r="E372" t="s">
        <v>20</v>
      </c>
      <c r="F372" t="s">
        <v>21</v>
      </c>
      <c r="G372" t="s">
        <v>18</v>
      </c>
      <c r="H372">
        <v>277.60000000000002</v>
      </c>
      <c r="I372">
        <v>252.5</v>
      </c>
      <c r="J372">
        <v>98.4</v>
      </c>
      <c r="K372">
        <v>67.5</v>
      </c>
      <c r="L372">
        <v>25.8</v>
      </c>
      <c r="M372">
        <v>13.5</v>
      </c>
      <c r="N372">
        <v>0.123759973410295</v>
      </c>
      <c r="O372">
        <v>0.114906093004163</v>
      </c>
      <c r="P372" t="str">
        <f t="shared" si="10"/>
        <v>F</v>
      </c>
      <c r="Q372" t="str">
        <f t="shared" si="11"/>
        <v>F</v>
      </c>
    </row>
    <row r="373" spans="1:17" hidden="1" x14ac:dyDescent="0.3">
      <c r="A373">
        <v>4505</v>
      </c>
      <c r="B373">
        <v>2640</v>
      </c>
      <c r="C373">
        <v>345</v>
      </c>
      <c r="D373" t="s">
        <v>19</v>
      </c>
      <c r="E373" t="s">
        <v>20</v>
      </c>
      <c r="F373" t="s">
        <v>21</v>
      </c>
      <c r="G373" t="s">
        <v>18</v>
      </c>
      <c r="H373">
        <v>277.60000000000002</v>
      </c>
      <c r="I373">
        <v>252.5</v>
      </c>
      <c r="J373">
        <v>98.4</v>
      </c>
      <c r="K373">
        <v>67.5</v>
      </c>
      <c r="L373">
        <v>25.8</v>
      </c>
      <c r="M373">
        <v>13.5</v>
      </c>
      <c r="N373">
        <v>0.14008210824016301</v>
      </c>
      <c r="O373">
        <v>0.12073721443701101</v>
      </c>
      <c r="P373" t="str">
        <f t="shared" si="10"/>
        <v>F</v>
      </c>
      <c r="Q373" t="str">
        <f t="shared" si="11"/>
        <v>F</v>
      </c>
    </row>
    <row r="374" spans="1:17" hidden="1" x14ac:dyDescent="0.3">
      <c r="A374">
        <v>4506</v>
      </c>
      <c r="B374">
        <v>2640</v>
      </c>
      <c r="C374">
        <v>345</v>
      </c>
      <c r="D374" t="s">
        <v>19</v>
      </c>
      <c r="E374" t="s">
        <v>20</v>
      </c>
      <c r="F374" t="s">
        <v>21</v>
      </c>
      <c r="G374" t="s">
        <v>18</v>
      </c>
      <c r="H374">
        <v>277.60000000000002</v>
      </c>
      <c r="I374">
        <v>252.5</v>
      </c>
      <c r="J374">
        <v>98.4</v>
      </c>
      <c r="K374">
        <v>67.5</v>
      </c>
      <c r="L374">
        <v>25.8</v>
      </c>
      <c r="M374">
        <v>13.5</v>
      </c>
      <c r="N374">
        <v>0.113210205664987</v>
      </c>
      <c r="O374">
        <v>9.3554979949441106E-2</v>
      </c>
      <c r="P374" t="str">
        <f t="shared" si="10"/>
        <v>F</v>
      </c>
      <c r="Q374" t="str">
        <f t="shared" si="11"/>
        <v>F</v>
      </c>
    </row>
    <row r="375" spans="1:17" hidden="1" x14ac:dyDescent="0.3">
      <c r="A375">
        <v>4507</v>
      </c>
      <c r="B375">
        <v>2640</v>
      </c>
      <c r="C375">
        <v>345</v>
      </c>
      <c r="D375" t="s">
        <v>19</v>
      </c>
      <c r="E375" t="s">
        <v>20</v>
      </c>
      <c r="F375" t="s">
        <v>21</v>
      </c>
      <c r="G375" t="s">
        <v>18</v>
      </c>
      <c r="H375">
        <v>277.60000000000002</v>
      </c>
      <c r="I375">
        <v>252.5</v>
      </c>
      <c r="J375">
        <v>98.4</v>
      </c>
      <c r="K375">
        <v>67.5</v>
      </c>
      <c r="L375">
        <v>25.8</v>
      </c>
      <c r="M375">
        <v>13.5</v>
      </c>
      <c r="N375">
        <v>0.14069266726097099</v>
      </c>
      <c r="O375">
        <v>0.12878905539364699</v>
      </c>
      <c r="P375" t="str">
        <f t="shared" si="10"/>
        <v>F</v>
      </c>
      <c r="Q375" t="str">
        <f t="shared" si="11"/>
        <v>F</v>
      </c>
    </row>
    <row r="376" spans="1:17" hidden="1" x14ac:dyDescent="0.3">
      <c r="A376">
        <v>4508</v>
      </c>
      <c r="B376">
        <v>2640</v>
      </c>
      <c r="C376">
        <v>345</v>
      </c>
      <c r="D376" t="s">
        <v>19</v>
      </c>
      <c r="E376" t="s">
        <v>20</v>
      </c>
      <c r="F376" t="s">
        <v>21</v>
      </c>
      <c r="G376" t="s">
        <v>18</v>
      </c>
      <c r="H376">
        <v>277.60000000000002</v>
      </c>
      <c r="I376">
        <v>252.5</v>
      </c>
      <c r="J376">
        <v>98.4</v>
      </c>
      <c r="K376">
        <v>67.5</v>
      </c>
      <c r="L376">
        <v>25.8</v>
      </c>
      <c r="M376">
        <v>13.5</v>
      </c>
      <c r="N376">
        <v>0.11742113917506</v>
      </c>
      <c r="O376">
        <v>0.105637438903984</v>
      </c>
      <c r="P376" t="str">
        <f t="shared" si="10"/>
        <v>F</v>
      </c>
      <c r="Q376" t="str">
        <f t="shared" si="11"/>
        <v>F</v>
      </c>
    </row>
    <row r="377" spans="1:17" hidden="1" x14ac:dyDescent="0.3">
      <c r="A377">
        <v>4532</v>
      </c>
      <c r="B377">
        <v>265</v>
      </c>
      <c r="C377">
        <v>29</v>
      </c>
      <c r="D377" t="s">
        <v>19</v>
      </c>
      <c r="E377" t="s">
        <v>20</v>
      </c>
      <c r="F377" t="s">
        <v>17</v>
      </c>
      <c r="G377" t="s">
        <v>24</v>
      </c>
      <c r="H377">
        <v>276.60000000000002</v>
      </c>
      <c r="I377">
        <v>256.5</v>
      </c>
      <c r="J377">
        <v>98.4</v>
      </c>
      <c r="K377">
        <v>67.5</v>
      </c>
      <c r="L377">
        <v>28.3</v>
      </c>
      <c r="M377">
        <v>8</v>
      </c>
      <c r="N377">
        <v>0.22275370272276099</v>
      </c>
      <c r="O377">
        <v>0.100515624229275</v>
      </c>
      <c r="P377" t="str">
        <f t="shared" si="10"/>
        <v>F</v>
      </c>
      <c r="Q377" t="str">
        <f t="shared" si="11"/>
        <v>F</v>
      </c>
    </row>
    <row r="378" spans="1:17" hidden="1" x14ac:dyDescent="0.3">
      <c r="A378">
        <v>4533</v>
      </c>
      <c r="B378">
        <v>265</v>
      </c>
      <c r="C378">
        <v>29</v>
      </c>
      <c r="D378" t="s">
        <v>19</v>
      </c>
      <c r="E378" t="s">
        <v>20</v>
      </c>
      <c r="F378" t="s">
        <v>17</v>
      </c>
      <c r="G378" t="s">
        <v>24</v>
      </c>
      <c r="H378">
        <v>276.60000000000002</v>
      </c>
      <c r="I378">
        <v>256.5</v>
      </c>
      <c r="J378">
        <v>98.4</v>
      </c>
      <c r="K378">
        <v>67.5</v>
      </c>
      <c r="L378">
        <v>28.3</v>
      </c>
      <c r="M378">
        <v>8</v>
      </c>
      <c r="N378">
        <v>0.20083430752067899</v>
      </c>
      <c r="O378">
        <v>0.10937112119597101</v>
      </c>
      <c r="P378" t="str">
        <f t="shared" si="10"/>
        <v>F</v>
      </c>
      <c r="Q378" t="str">
        <f t="shared" si="11"/>
        <v>F</v>
      </c>
    </row>
    <row r="379" spans="1:17" hidden="1" x14ac:dyDescent="0.3">
      <c r="A379">
        <v>4545</v>
      </c>
      <c r="B379">
        <v>2653</v>
      </c>
      <c r="C379">
        <v>28</v>
      </c>
      <c r="D379" t="s">
        <v>19</v>
      </c>
      <c r="E379" t="s">
        <v>20</v>
      </c>
      <c r="F379" t="s">
        <v>17</v>
      </c>
      <c r="G379" t="s">
        <v>26</v>
      </c>
      <c r="H379">
        <v>274.39999999999998</v>
      </c>
      <c r="I379">
        <v>243.5</v>
      </c>
      <c r="J379">
        <v>94.3</v>
      </c>
      <c r="K379">
        <v>65.5</v>
      </c>
      <c r="L379">
        <v>28</v>
      </c>
      <c r="M379">
        <v>5.5</v>
      </c>
      <c r="N379">
        <v>0.29522712707639298</v>
      </c>
      <c r="O379">
        <v>0.102285304912743</v>
      </c>
      <c r="P379" t="str">
        <f t="shared" si="10"/>
        <v>F</v>
      </c>
      <c r="Q379" t="str">
        <f t="shared" si="11"/>
        <v>F</v>
      </c>
    </row>
    <row r="380" spans="1:17" hidden="1" x14ac:dyDescent="0.3">
      <c r="A380">
        <v>4547</v>
      </c>
      <c r="B380">
        <v>2653</v>
      </c>
      <c r="C380">
        <v>28</v>
      </c>
      <c r="D380" t="s">
        <v>19</v>
      </c>
      <c r="E380" t="s">
        <v>20</v>
      </c>
      <c r="F380" t="s">
        <v>17</v>
      </c>
      <c r="G380" t="s">
        <v>26</v>
      </c>
      <c r="H380">
        <v>274.39999999999998</v>
      </c>
      <c r="I380">
        <v>243.5</v>
      </c>
      <c r="J380">
        <v>94.3</v>
      </c>
      <c r="K380">
        <v>65.5</v>
      </c>
      <c r="L380">
        <v>28</v>
      </c>
      <c r="M380">
        <v>5.5</v>
      </c>
      <c r="N380">
        <v>0.30547019892807797</v>
      </c>
      <c r="O380">
        <v>6.9574141897926003E-2</v>
      </c>
      <c r="P380" t="str">
        <f t="shared" si="10"/>
        <v>F</v>
      </c>
      <c r="Q380" t="str">
        <f t="shared" si="11"/>
        <v>F</v>
      </c>
    </row>
    <row r="381" spans="1:17" hidden="1" x14ac:dyDescent="0.3">
      <c r="A381">
        <v>4550</v>
      </c>
      <c r="B381">
        <v>2655</v>
      </c>
      <c r="C381">
        <v>320</v>
      </c>
      <c r="D381" t="s">
        <v>19</v>
      </c>
      <c r="E381" t="s">
        <v>20</v>
      </c>
      <c r="F381" t="s">
        <v>21</v>
      </c>
      <c r="G381" t="s">
        <v>25</v>
      </c>
      <c r="H381">
        <v>279</v>
      </c>
      <c r="I381">
        <v>253.5</v>
      </c>
      <c r="J381">
        <v>97.1</v>
      </c>
      <c r="K381">
        <v>64</v>
      </c>
      <c r="L381">
        <v>24</v>
      </c>
      <c r="M381">
        <v>8</v>
      </c>
      <c r="N381">
        <v>0.16504266767970899</v>
      </c>
      <c r="O381">
        <v>1.8124734334495199E-2</v>
      </c>
      <c r="P381" t="str">
        <f t="shared" si="10"/>
        <v>F</v>
      </c>
      <c r="Q381" t="str">
        <f t="shared" si="11"/>
        <v>T</v>
      </c>
    </row>
    <row r="382" spans="1:17" hidden="1" x14ac:dyDescent="0.3">
      <c r="A382">
        <v>4551</v>
      </c>
      <c r="B382">
        <v>2655</v>
      </c>
      <c r="C382">
        <v>320</v>
      </c>
      <c r="D382" t="s">
        <v>19</v>
      </c>
      <c r="E382" t="s">
        <v>20</v>
      </c>
      <c r="F382" t="s">
        <v>21</v>
      </c>
      <c r="G382" t="s">
        <v>25</v>
      </c>
      <c r="H382">
        <v>279</v>
      </c>
      <c r="I382">
        <v>253.5</v>
      </c>
      <c r="J382">
        <v>97.1</v>
      </c>
      <c r="K382">
        <v>64</v>
      </c>
      <c r="L382">
        <v>24</v>
      </c>
      <c r="M382">
        <v>8</v>
      </c>
      <c r="N382">
        <v>0.14907953097446699</v>
      </c>
      <c r="O382">
        <v>5.7809955028736502E-2</v>
      </c>
      <c r="P382" t="str">
        <f t="shared" si="10"/>
        <v>F</v>
      </c>
      <c r="Q382" t="str">
        <f t="shared" si="11"/>
        <v>F</v>
      </c>
    </row>
    <row r="383" spans="1:17" hidden="1" x14ac:dyDescent="0.3">
      <c r="A383">
        <v>4552</v>
      </c>
      <c r="B383">
        <v>2655</v>
      </c>
      <c r="C383">
        <v>320</v>
      </c>
      <c r="D383" t="s">
        <v>19</v>
      </c>
      <c r="E383" t="s">
        <v>20</v>
      </c>
      <c r="F383" t="s">
        <v>21</v>
      </c>
      <c r="G383" t="s">
        <v>25</v>
      </c>
      <c r="H383">
        <v>279</v>
      </c>
      <c r="I383">
        <v>253.5</v>
      </c>
      <c r="J383">
        <v>97.1</v>
      </c>
      <c r="K383">
        <v>64</v>
      </c>
      <c r="L383">
        <v>24</v>
      </c>
      <c r="M383">
        <v>8</v>
      </c>
      <c r="N383">
        <v>0.149793735595625</v>
      </c>
      <c r="O383">
        <v>1.9944907200601901E-2</v>
      </c>
      <c r="P383" t="str">
        <f t="shared" si="10"/>
        <v>F</v>
      </c>
      <c r="Q383" t="str">
        <f t="shared" si="11"/>
        <v>T</v>
      </c>
    </row>
    <row r="384" spans="1:17" hidden="1" x14ac:dyDescent="0.3">
      <c r="A384">
        <v>4559</v>
      </c>
      <c r="B384">
        <v>2659</v>
      </c>
      <c r="C384">
        <v>29</v>
      </c>
      <c r="D384" t="s">
        <v>19</v>
      </c>
      <c r="E384" t="s">
        <v>20</v>
      </c>
      <c r="F384" t="s">
        <v>21</v>
      </c>
      <c r="G384" t="s">
        <v>25</v>
      </c>
      <c r="H384">
        <v>276.60000000000002</v>
      </c>
      <c r="I384">
        <v>256.5</v>
      </c>
      <c r="J384">
        <v>98.4</v>
      </c>
      <c r="K384">
        <v>67.5</v>
      </c>
      <c r="L384">
        <v>28.3</v>
      </c>
      <c r="M384">
        <v>8</v>
      </c>
      <c r="N384">
        <v>0.21330519953962099</v>
      </c>
      <c r="O384">
        <v>0.120581965362767</v>
      </c>
      <c r="P384" t="str">
        <f t="shared" si="10"/>
        <v>F</v>
      </c>
      <c r="Q384" t="str">
        <f t="shared" si="11"/>
        <v>F</v>
      </c>
    </row>
    <row r="385" spans="1:17" hidden="1" x14ac:dyDescent="0.3">
      <c r="A385">
        <v>4560</v>
      </c>
      <c r="B385">
        <v>2659</v>
      </c>
      <c r="C385">
        <v>29</v>
      </c>
      <c r="D385" t="s">
        <v>19</v>
      </c>
      <c r="E385" t="s">
        <v>20</v>
      </c>
      <c r="F385" t="s">
        <v>21</v>
      </c>
      <c r="G385" t="s">
        <v>25</v>
      </c>
      <c r="H385">
        <v>276.60000000000002</v>
      </c>
      <c r="I385">
        <v>256.5</v>
      </c>
      <c r="J385">
        <v>98.4</v>
      </c>
      <c r="K385">
        <v>67.5</v>
      </c>
      <c r="L385">
        <v>28.3</v>
      </c>
      <c r="M385">
        <v>8</v>
      </c>
      <c r="N385">
        <v>0.19819781369343101</v>
      </c>
      <c r="O385">
        <v>0.107335379563578</v>
      </c>
      <c r="P385" t="str">
        <f t="shared" si="10"/>
        <v>F</v>
      </c>
      <c r="Q385" t="str">
        <f t="shared" si="11"/>
        <v>F</v>
      </c>
    </row>
    <row r="386" spans="1:17" hidden="1" x14ac:dyDescent="0.3">
      <c r="A386">
        <v>4567</v>
      </c>
      <c r="B386">
        <v>2662</v>
      </c>
      <c r="C386">
        <v>149</v>
      </c>
      <c r="D386" t="s">
        <v>19</v>
      </c>
      <c r="E386" t="s">
        <v>20</v>
      </c>
      <c r="F386" t="s">
        <v>21</v>
      </c>
      <c r="G386" t="s">
        <v>18</v>
      </c>
      <c r="H386">
        <v>275.8</v>
      </c>
      <c r="I386">
        <v>245.5</v>
      </c>
      <c r="J386">
        <v>93.1</v>
      </c>
      <c r="K386">
        <v>67</v>
      </c>
      <c r="L386">
        <v>28.1</v>
      </c>
      <c r="M386">
        <v>7</v>
      </c>
      <c r="N386">
        <v>0.157758502843767</v>
      </c>
      <c r="O386">
        <v>8.6135722368298098E-2</v>
      </c>
      <c r="P386" t="str">
        <f t="shared" si="10"/>
        <v>F</v>
      </c>
      <c r="Q386" t="str">
        <f t="shared" si="11"/>
        <v>F</v>
      </c>
    </row>
    <row r="387" spans="1:17" hidden="1" x14ac:dyDescent="0.3">
      <c r="A387">
        <v>4568</v>
      </c>
      <c r="B387">
        <v>2662</v>
      </c>
      <c r="C387">
        <v>149</v>
      </c>
      <c r="D387" t="s">
        <v>19</v>
      </c>
      <c r="E387" t="s">
        <v>20</v>
      </c>
      <c r="F387" t="s">
        <v>21</v>
      </c>
      <c r="G387" t="s">
        <v>18</v>
      </c>
      <c r="H387">
        <v>275.8</v>
      </c>
      <c r="I387">
        <v>245.5</v>
      </c>
      <c r="J387">
        <v>93.1</v>
      </c>
      <c r="K387">
        <v>67</v>
      </c>
      <c r="L387">
        <v>28.1</v>
      </c>
      <c r="M387">
        <v>7</v>
      </c>
      <c r="N387">
        <v>0.17775344761411199</v>
      </c>
      <c r="O387">
        <v>9.2588189880744104E-2</v>
      </c>
      <c r="P387" t="str">
        <f t="shared" ref="P387:P450" si="12">IF(N387&lt;0.06641, "T", "F")</f>
        <v>F</v>
      </c>
      <c r="Q387" t="str">
        <f t="shared" ref="Q387:Q450" si="13">IF(O387&lt;0.027899, "T", "F")</f>
        <v>F</v>
      </c>
    </row>
    <row r="388" spans="1:17" hidden="1" x14ac:dyDescent="0.3">
      <c r="A388">
        <v>4569</v>
      </c>
      <c r="B388">
        <v>2662</v>
      </c>
      <c r="C388">
        <v>149</v>
      </c>
      <c r="D388" t="s">
        <v>19</v>
      </c>
      <c r="E388" t="s">
        <v>20</v>
      </c>
      <c r="F388" t="s">
        <v>21</v>
      </c>
      <c r="G388" t="s">
        <v>18</v>
      </c>
      <c r="H388">
        <v>275.8</v>
      </c>
      <c r="I388">
        <v>245.5</v>
      </c>
      <c r="J388">
        <v>93.1</v>
      </c>
      <c r="K388">
        <v>67</v>
      </c>
      <c r="L388">
        <v>28.1</v>
      </c>
      <c r="M388">
        <v>7</v>
      </c>
      <c r="N388">
        <v>0.18052449137693399</v>
      </c>
      <c r="O388">
        <v>9.8154848445435497E-2</v>
      </c>
      <c r="P388" t="str">
        <f t="shared" si="12"/>
        <v>F</v>
      </c>
      <c r="Q388" t="str">
        <f t="shared" si="13"/>
        <v>F</v>
      </c>
    </row>
    <row r="389" spans="1:17" hidden="1" x14ac:dyDescent="0.3">
      <c r="A389">
        <v>4575</v>
      </c>
      <c r="B389">
        <v>2666</v>
      </c>
      <c r="C389">
        <v>28</v>
      </c>
      <c r="D389" t="s">
        <v>19</v>
      </c>
      <c r="E389" t="s">
        <v>20</v>
      </c>
      <c r="F389" t="s">
        <v>17</v>
      </c>
      <c r="G389" t="s">
        <v>24</v>
      </c>
      <c r="H389">
        <v>274.39999999999998</v>
      </c>
      <c r="I389">
        <v>243.5</v>
      </c>
      <c r="J389">
        <v>94.3</v>
      </c>
      <c r="K389">
        <v>65.5</v>
      </c>
      <c r="L389">
        <v>28</v>
      </c>
      <c r="M389">
        <v>5.5</v>
      </c>
      <c r="N389">
        <v>0.30765427933495498</v>
      </c>
      <c r="O389">
        <v>8.0710874638427896E-2</v>
      </c>
      <c r="P389" t="str">
        <f t="shared" si="12"/>
        <v>F</v>
      </c>
      <c r="Q389" t="str">
        <f t="shared" si="13"/>
        <v>F</v>
      </c>
    </row>
    <row r="390" spans="1:17" hidden="1" x14ac:dyDescent="0.3">
      <c r="A390">
        <v>4578</v>
      </c>
      <c r="B390">
        <v>2666</v>
      </c>
      <c r="C390">
        <v>28</v>
      </c>
      <c r="D390" t="s">
        <v>19</v>
      </c>
      <c r="E390" t="s">
        <v>20</v>
      </c>
      <c r="F390" t="s">
        <v>17</v>
      </c>
      <c r="G390" t="s">
        <v>24</v>
      </c>
      <c r="H390">
        <v>274.39999999999998</v>
      </c>
      <c r="I390">
        <v>243.5</v>
      </c>
      <c r="J390">
        <v>94.3</v>
      </c>
      <c r="K390">
        <v>65.5</v>
      </c>
      <c r="L390">
        <v>28</v>
      </c>
      <c r="M390">
        <v>5.5</v>
      </c>
      <c r="N390">
        <v>0.304218188041746</v>
      </c>
      <c r="O390">
        <v>9.4851021670722402E-2</v>
      </c>
      <c r="P390" t="str">
        <f t="shared" si="12"/>
        <v>F</v>
      </c>
      <c r="Q390" t="str">
        <f t="shared" si="13"/>
        <v>F</v>
      </c>
    </row>
    <row r="391" spans="1:17" hidden="1" x14ac:dyDescent="0.3">
      <c r="A391">
        <v>4579</v>
      </c>
      <c r="B391">
        <v>2666</v>
      </c>
      <c r="C391">
        <v>28</v>
      </c>
      <c r="D391" t="s">
        <v>19</v>
      </c>
      <c r="E391" t="s">
        <v>20</v>
      </c>
      <c r="F391" t="s">
        <v>17</v>
      </c>
      <c r="G391" t="s">
        <v>24</v>
      </c>
      <c r="H391">
        <v>274.39999999999998</v>
      </c>
      <c r="I391">
        <v>243.5</v>
      </c>
      <c r="J391">
        <v>94.3</v>
      </c>
      <c r="K391">
        <v>65.5</v>
      </c>
      <c r="L391">
        <v>28</v>
      </c>
      <c r="M391">
        <v>5.5</v>
      </c>
      <c r="N391">
        <v>0.304355913058939</v>
      </c>
      <c r="O391">
        <v>7.5268151864868696E-2</v>
      </c>
      <c r="P391" t="str">
        <f t="shared" si="12"/>
        <v>F</v>
      </c>
      <c r="Q391" t="str">
        <f t="shared" si="13"/>
        <v>F</v>
      </c>
    </row>
    <row r="392" spans="1:17" hidden="1" x14ac:dyDescent="0.3">
      <c r="A392">
        <v>4601</v>
      </c>
      <c r="B392">
        <v>2673</v>
      </c>
      <c r="C392">
        <v>203</v>
      </c>
      <c r="D392" t="s">
        <v>19</v>
      </c>
      <c r="E392" t="s">
        <v>20</v>
      </c>
      <c r="F392" t="s">
        <v>21</v>
      </c>
      <c r="G392" t="s">
        <v>22</v>
      </c>
      <c r="H392">
        <v>277.60000000000002</v>
      </c>
      <c r="I392">
        <v>247.5</v>
      </c>
      <c r="J392">
        <v>94</v>
      </c>
      <c r="K392">
        <v>65</v>
      </c>
      <c r="L392">
        <v>24.9</v>
      </c>
      <c r="M392">
        <v>9.5</v>
      </c>
      <c r="N392">
        <v>0.26230305827870198</v>
      </c>
      <c r="O392">
        <v>6.6577543698955993E-2</v>
      </c>
      <c r="P392" t="str">
        <f t="shared" si="12"/>
        <v>F</v>
      </c>
      <c r="Q392" t="str">
        <f t="shared" si="13"/>
        <v>F</v>
      </c>
    </row>
    <row r="393" spans="1:17" hidden="1" x14ac:dyDescent="0.3">
      <c r="A393">
        <v>4602</v>
      </c>
      <c r="B393">
        <v>2673</v>
      </c>
      <c r="C393">
        <v>203</v>
      </c>
      <c r="D393" t="s">
        <v>19</v>
      </c>
      <c r="E393" t="s">
        <v>20</v>
      </c>
      <c r="F393" t="s">
        <v>21</v>
      </c>
      <c r="G393" t="s">
        <v>22</v>
      </c>
      <c r="H393">
        <v>277.60000000000002</v>
      </c>
      <c r="I393">
        <v>247.5</v>
      </c>
      <c r="J393">
        <v>94</v>
      </c>
      <c r="K393">
        <v>65</v>
      </c>
      <c r="L393">
        <v>24.9</v>
      </c>
      <c r="M393">
        <v>9.5</v>
      </c>
      <c r="N393">
        <v>0.25812982771187498</v>
      </c>
      <c r="O393">
        <v>6.7670095345284897E-2</v>
      </c>
      <c r="P393" t="str">
        <f t="shared" si="12"/>
        <v>F</v>
      </c>
      <c r="Q393" t="str">
        <f t="shared" si="13"/>
        <v>F</v>
      </c>
    </row>
    <row r="394" spans="1:17" hidden="1" x14ac:dyDescent="0.3">
      <c r="A394">
        <v>4603</v>
      </c>
      <c r="B394">
        <v>2674</v>
      </c>
      <c r="C394">
        <v>147</v>
      </c>
      <c r="D394" t="s">
        <v>19</v>
      </c>
      <c r="E394" t="s">
        <v>20</v>
      </c>
      <c r="F394" t="s">
        <v>17</v>
      </c>
      <c r="G394" t="s">
        <v>25</v>
      </c>
      <c r="H394">
        <v>274.7</v>
      </c>
      <c r="I394">
        <v>246</v>
      </c>
      <c r="J394">
        <v>94.8</v>
      </c>
      <c r="K394">
        <v>66.5</v>
      </c>
      <c r="L394">
        <v>23.6</v>
      </c>
      <c r="M394">
        <v>10.5</v>
      </c>
      <c r="N394">
        <v>0.14426347179687801</v>
      </c>
      <c r="O394">
        <v>0.105922399505899</v>
      </c>
      <c r="P394" t="str">
        <f t="shared" si="12"/>
        <v>F</v>
      </c>
      <c r="Q394" t="str">
        <f t="shared" si="13"/>
        <v>F</v>
      </c>
    </row>
    <row r="395" spans="1:17" hidden="1" x14ac:dyDescent="0.3">
      <c r="A395">
        <v>4604</v>
      </c>
      <c r="B395">
        <v>2674</v>
      </c>
      <c r="C395">
        <v>147</v>
      </c>
      <c r="D395" t="s">
        <v>19</v>
      </c>
      <c r="E395" t="s">
        <v>20</v>
      </c>
      <c r="F395" t="s">
        <v>17</v>
      </c>
      <c r="G395" t="s">
        <v>25</v>
      </c>
      <c r="H395">
        <v>274.7</v>
      </c>
      <c r="I395">
        <v>246</v>
      </c>
      <c r="J395">
        <v>94.8</v>
      </c>
      <c r="K395">
        <v>66.5</v>
      </c>
      <c r="L395">
        <v>23.6</v>
      </c>
      <c r="M395">
        <v>10.5</v>
      </c>
      <c r="N395">
        <v>0.110510984109423</v>
      </c>
      <c r="O395">
        <v>9.9612627256604996E-2</v>
      </c>
      <c r="P395" t="str">
        <f t="shared" si="12"/>
        <v>F</v>
      </c>
      <c r="Q395" t="str">
        <f t="shared" si="13"/>
        <v>F</v>
      </c>
    </row>
    <row r="396" spans="1:17" hidden="1" x14ac:dyDescent="0.3">
      <c r="A396">
        <v>4605</v>
      </c>
      <c r="B396">
        <v>2674</v>
      </c>
      <c r="C396">
        <v>147</v>
      </c>
      <c r="D396" t="s">
        <v>19</v>
      </c>
      <c r="E396" t="s">
        <v>20</v>
      </c>
      <c r="F396" t="s">
        <v>17</v>
      </c>
      <c r="G396" t="s">
        <v>25</v>
      </c>
      <c r="H396">
        <v>274.7</v>
      </c>
      <c r="I396">
        <v>246</v>
      </c>
      <c r="J396">
        <v>94.8</v>
      </c>
      <c r="K396">
        <v>66.5</v>
      </c>
      <c r="L396">
        <v>23.6</v>
      </c>
      <c r="M396">
        <v>10.5</v>
      </c>
      <c r="N396">
        <v>0.13900279079243999</v>
      </c>
      <c r="O396">
        <v>9.7071794582373097E-2</v>
      </c>
      <c r="P396" t="str">
        <f t="shared" si="12"/>
        <v>F</v>
      </c>
      <c r="Q396" t="str">
        <f t="shared" si="13"/>
        <v>F</v>
      </c>
    </row>
    <row r="397" spans="1:17" hidden="1" x14ac:dyDescent="0.3">
      <c r="A397">
        <v>4606</v>
      </c>
      <c r="B397">
        <v>2674</v>
      </c>
      <c r="C397">
        <v>147</v>
      </c>
      <c r="D397" t="s">
        <v>19</v>
      </c>
      <c r="E397" t="s">
        <v>20</v>
      </c>
      <c r="F397" t="s">
        <v>17</v>
      </c>
      <c r="G397" t="s">
        <v>25</v>
      </c>
      <c r="H397">
        <v>274.7</v>
      </c>
      <c r="I397">
        <v>246</v>
      </c>
      <c r="J397">
        <v>94.8</v>
      </c>
      <c r="K397">
        <v>66.5</v>
      </c>
      <c r="L397">
        <v>23.6</v>
      </c>
      <c r="M397">
        <v>10.5</v>
      </c>
      <c r="N397">
        <v>0.128169265632464</v>
      </c>
      <c r="O397">
        <v>0.100788879720802</v>
      </c>
      <c r="P397" t="str">
        <f t="shared" si="12"/>
        <v>F</v>
      </c>
      <c r="Q397" t="str">
        <f t="shared" si="13"/>
        <v>F</v>
      </c>
    </row>
    <row r="398" spans="1:17" hidden="1" x14ac:dyDescent="0.3">
      <c r="A398">
        <v>4669</v>
      </c>
      <c r="B398">
        <v>2698</v>
      </c>
      <c r="C398">
        <v>314</v>
      </c>
      <c r="D398" t="s">
        <v>19</v>
      </c>
      <c r="E398" t="s">
        <v>20</v>
      </c>
      <c r="F398" t="s">
        <v>17</v>
      </c>
      <c r="G398" t="s">
        <v>25</v>
      </c>
      <c r="H398">
        <v>273.5</v>
      </c>
      <c r="I398">
        <v>251.5</v>
      </c>
      <c r="J398">
        <v>97.5</v>
      </c>
      <c r="K398">
        <v>65</v>
      </c>
      <c r="L398">
        <v>25.5</v>
      </c>
      <c r="M398">
        <v>13</v>
      </c>
      <c r="N398">
        <v>0.23579384473093601</v>
      </c>
      <c r="O398">
        <v>8.6341503011919202E-2</v>
      </c>
      <c r="P398" t="str">
        <f t="shared" si="12"/>
        <v>F</v>
      </c>
      <c r="Q398" t="str">
        <f t="shared" si="13"/>
        <v>F</v>
      </c>
    </row>
    <row r="399" spans="1:17" hidden="1" x14ac:dyDescent="0.3">
      <c r="A399">
        <v>4749</v>
      </c>
      <c r="B399">
        <v>2732</v>
      </c>
      <c r="C399">
        <v>346</v>
      </c>
      <c r="D399" t="s">
        <v>19</v>
      </c>
      <c r="E399" t="s">
        <v>20</v>
      </c>
      <c r="F399" t="s">
        <v>21</v>
      </c>
      <c r="G399" t="s">
        <v>22</v>
      </c>
      <c r="H399">
        <v>271.60000000000002</v>
      </c>
      <c r="I399">
        <v>238</v>
      </c>
      <c r="J399">
        <v>91.3</v>
      </c>
      <c r="K399">
        <v>63</v>
      </c>
      <c r="L399">
        <v>24.7</v>
      </c>
      <c r="M399">
        <v>8</v>
      </c>
      <c r="N399">
        <v>0.17947506155866599</v>
      </c>
      <c r="O399">
        <v>2.12449628785349E-2</v>
      </c>
      <c r="P399" t="str">
        <f t="shared" si="12"/>
        <v>F</v>
      </c>
      <c r="Q399" t="str">
        <f t="shared" si="13"/>
        <v>T</v>
      </c>
    </row>
    <row r="400" spans="1:17" hidden="1" x14ac:dyDescent="0.3">
      <c r="A400">
        <v>4751</v>
      </c>
      <c r="B400">
        <v>2732</v>
      </c>
      <c r="C400">
        <v>346</v>
      </c>
      <c r="D400" t="s">
        <v>19</v>
      </c>
      <c r="E400" t="s">
        <v>20</v>
      </c>
      <c r="F400" t="s">
        <v>21</v>
      </c>
      <c r="G400" t="s">
        <v>22</v>
      </c>
      <c r="H400">
        <v>271.60000000000002</v>
      </c>
      <c r="I400">
        <v>238</v>
      </c>
      <c r="J400">
        <v>91.3</v>
      </c>
      <c r="K400">
        <v>63</v>
      </c>
      <c r="L400">
        <v>24.7</v>
      </c>
      <c r="M400">
        <v>8</v>
      </c>
      <c r="N400">
        <v>0.168969460729884</v>
      </c>
      <c r="O400">
        <v>6.5646324527164103E-3</v>
      </c>
      <c r="P400" t="str">
        <f t="shared" si="12"/>
        <v>F</v>
      </c>
      <c r="Q400" t="str">
        <f t="shared" si="13"/>
        <v>T</v>
      </c>
    </row>
    <row r="401" spans="1:17" hidden="1" x14ac:dyDescent="0.3">
      <c r="A401">
        <v>4792</v>
      </c>
      <c r="B401">
        <v>275</v>
      </c>
      <c r="C401">
        <v>346</v>
      </c>
      <c r="D401" t="s">
        <v>19</v>
      </c>
      <c r="E401" t="s">
        <v>20</v>
      </c>
      <c r="F401" t="s">
        <v>17</v>
      </c>
      <c r="G401" t="s">
        <v>24</v>
      </c>
      <c r="H401">
        <v>271.60000000000002</v>
      </c>
      <c r="I401">
        <v>238</v>
      </c>
      <c r="J401">
        <v>91.3</v>
      </c>
      <c r="K401">
        <v>63</v>
      </c>
      <c r="L401">
        <v>24.7</v>
      </c>
      <c r="M401">
        <v>8</v>
      </c>
      <c r="N401">
        <v>0.15668533034771001</v>
      </c>
      <c r="O401">
        <v>2.3725355844141299E-2</v>
      </c>
      <c r="P401" t="str">
        <f t="shared" si="12"/>
        <v>F</v>
      </c>
      <c r="Q401" t="str">
        <f t="shared" si="13"/>
        <v>T</v>
      </c>
    </row>
    <row r="402" spans="1:17" hidden="1" x14ac:dyDescent="0.3">
      <c r="A402">
        <v>4794</v>
      </c>
      <c r="B402">
        <v>275</v>
      </c>
      <c r="C402">
        <v>346</v>
      </c>
      <c r="D402" t="s">
        <v>19</v>
      </c>
      <c r="E402" t="s">
        <v>20</v>
      </c>
      <c r="F402" t="s">
        <v>17</v>
      </c>
      <c r="G402" t="s">
        <v>24</v>
      </c>
      <c r="H402">
        <v>271.60000000000002</v>
      </c>
      <c r="I402">
        <v>238</v>
      </c>
      <c r="J402">
        <v>91.3</v>
      </c>
      <c r="K402">
        <v>63</v>
      </c>
      <c r="L402">
        <v>24.7</v>
      </c>
      <c r="M402">
        <v>8</v>
      </c>
      <c r="N402">
        <v>0.157725476431822</v>
      </c>
      <c r="O402">
        <v>1.2568926581052801E-2</v>
      </c>
      <c r="P402" t="str">
        <f t="shared" si="12"/>
        <v>F</v>
      </c>
      <c r="Q402" t="str">
        <f t="shared" si="13"/>
        <v>T</v>
      </c>
    </row>
    <row r="403" spans="1:17" hidden="1" x14ac:dyDescent="0.3">
      <c r="A403">
        <v>4864</v>
      </c>
      <c r="B403">
        <v>277</v>
      </c>
      <c r="C403">
        <v>274</v>
      </c>
      <c r="D403" t="s">
        <v>19</v>
      </c>
      <c r="E403" t="s">
        <v>20</v>
      </c>
      <c r="F403" t="s">
        <v>17</v>
      </c>
      <c r="G403" t="s">
        <v>24</v>
      </c>
      <c r="H403">
        <v>270.8</v>
      </c>
      <c r="I403">
        <v>241</v>
      </c>
      <c r="J403">
        <v>93</v>
      </c>
      <c r="K403">
        <v>61.5</v>
      </c>
      <c r="L403">
        <v>24.5</v>
      </c>
      <c r="M403">
        <v>11.5</v>
      </c>
      <c r="N403">
        <v>0.110081415725795</v>
      </c>
      <c r="O403">
        <v>0.20986510773088601</v>
      </c>
      <c r="P403" t="str">
        <f t="shared" si="12"/>
        <v>F</v>
      </c>
      <c r="Q403" t="str">
        <f t="shared" si="13"/>
        <v>F</v>
      </c>
    </row>
    <row r="404" spans="1:17" hidden="1" x14ac:dyDescent="0.3">
      <c r="A404">
        <v>4888</v>
      </c>
      <c r="B404">
        <v>278</v>
      </c>
      <c r="C404">
        <v>341</v>
      </c>
      <c r="D404" t="s">
        <v>19</v>
      </c>
      <c r="E404" t="s">
        <v>20</v>
      </c>
      <c r="F404" t="s">
        <v>21</v>
      </c>
      <c r="G404" t="s">
        <v>18</v>
      </c>
      <c r="H404">
        <v>273</v>
      </c>
      <c r="I404">
        <v>246.5</v>
      </c>
      <c r="J404">
        <v>95.4</v>
      </c>
      <c r="K404">
        <v>66.5</v>
      </c>
      <c r="L404">
        <v>26.4</v>
      </c>
      <c r="M404">
        <v>11</v>
      </c>
      <c r="N404">
        <v>0.29902960502949499</v>
      </c>
      <c r="O404">
        <v>9.4887110891664905E-2</v>
      </c>
      <c r="P404" t="str">
        <f t="shared" si="12"/>
        <v>F</v>
      </c>
      <c r="Q404" t="str">
        <f t="shared" si="13"/>
        <v>F</v>
      </c>
    </row>
    <row r="405" spans="1:17" hidden="1" x14ac:dyDescent="0.3">
      <c r="A405">
        <v>4896</v>
      </c>
      <c r="B405">
        <v>2782</v>
      </c>
      <c r="C405">
        <v>379</v>
      </c>
      <c r="D405" t="s">
        <v>19</v>
      </c>
      <c r="E405" t="s">
        <v>20</v>
      </c>
      <c r="F405" t="s">
        <v>17</v>
      </c>
      <c r="G405" t="s">
        <v>22</v>
      </c>
      <c r="H405">
        <v>276.5</v>
      </c>
      <c r="I405">
        <v>259.5</v>
      </c>
      <c r="J405">
        <v>97.2</v>
      </c>
      <c r="K405">
        <v>68</v>
      </c>
      <c r="L405">
        <v>26.4</v>
      </c>
      <c r="M405">
        <v>4</v>
      </c>
      <c r="N405">
        <v>0.28567786861262801</v>
      </c>
      <c r="O405">
        <v>2.8611951950185E-2</v>
      </c>
      <c r="P405" t="str">
        <f t="shared" si="12"/>
        <v>F</v>
      </c>
      <c r="Q405" t="str">
        <f t="shared" si="13"/>
        <v>F</v>
      </c>
    </row>
    <row r="406" spans="1:17" hidden="1" x14ac:dyDescent="0.3">
      <c r="A406">
        <v>4897</v>
      </c>
      <c r="B406">
        <v>2782</v>
      </c>
      <c r="C406">
        <v>379</v>
      </c>
      <c r="D406" t="s">
        <v>19</v>
      </c>
      <c r="E406" t="s">
        <v>20</v>
      </c>
      <c r="F406" t="s">
        <v>17</v>
      </c>
      <c r="G406" t="s">
        <v>22</v>
      </c>
      <c r="H406">
        <v>276.5</v>
      </c>
      <c r="I406">
        <v>259.5</v>
      </c>
      <c r="J406">
        <v>97.2</v>
      </c>
      <c r="K406">
        <v>68</v>
      </c>
      <c r="L406">
        <v>26.4</v>
      </c>
      <c r="M406">
        <v>4</v>
      </c>
      <c r="N406">
        <v>0.29906523896312698</v>
      </c>
      <c r="O406">
        <v>4.20355046873018E-2</v>
      </c>
      <c r="P406" t="str">
        <f t="shared" si="12"/>
        <v>F</v>
      </c>
      <c r="Q406" t="str">
        <f t="shared" si="13"/>
        <v>F</v>
      </c>
    </row>
    <row r="407" spans="1:17" hidden="1" x14ac:dyDescent="0.3">
      <c r="A407">
        <v>4898</v>
      </c>
      <c r="B407">
        <v>2783</v>
      </c>
      <c r="C407">
        <v>269</v>
      </c>
      <c r="D407" t="s">
        <v>19</v>
      </c>
      <c r="E407" t="s">
        <v>20</v>
      </c>
      <c r="F407" t="s">
        <v>21</v>
      </c>
      <c r="G407" t="s">
        <v>26</v>
      </c>
      <c r="H407">
        <v>273.8</v>
      </c>
      <c r="I407">
        <v>243</v>
      </c>
      <c r="J407">
        <v>91.5</v>
      </c>
      <c r="K407">
        <v>66</v>
      </c>
      <c r="L407">
        <v>24.8</v>
      </c>
      <c r="M407">
        <v>8.5</v>
      </c>
      <c r="N407">
        <v>7.8264763287682504E-2</v>
      </c>
      <c r="O407">
        <v>0.152047238579855</v>
      </c>
      <c r="P407" t="str">
        <f t="shared" si="12"/>
        <v>F</v>
      </c>
      <c r="Q407" t="str">
        <f t="shared" si="13"/>
        <v>F</v>
      </c>
    </row>
    <row r="408" spans="1:17" hidden="1" x14ac:dyDescent="0.3">
      <c r="A408">
        <v>4903</v>
      </c>
      <c r="B408">
        <v>2787</v>
      </c>
      <c r="C408">
        <v>314</v>
      </c>
      <c r="D408" t="s">
        <v>19</v>
      </c>
      <c r="E408" t="s">
        <v>20</v>
      </c>
      <c r="F408" t="s">
        <v>17</v>
      </c>
      <c r="G408" t="s">
        <v>24</v>
      </c>
      <c r="H408">
        <v>273.5</v>
      </c>
      <c r="I408">
        <v>251.5</v>
      </c>
      <c r="J408">
        <v>97.5</v>
      </c>
      <c r="K408">
        <v>65</v>
      </c>
      <c r="L408">
        <v>25.5</v>
      </c>
      <c r="M408">
        <v>13</v>
      </c>
      <c r="N408">
        <v>0.24578863300251</v>
      </c>
      <c r="O408">
        <v>6.7318270422979401E-2</v>
      </c>
      <c r="P408" t="str">
        <f t="shared" si="12"/>
        <v>F</v>
      </c>
      <c r="Q408" t="str">
        <f t="shared" si="13"/>
        <v>F</v>
      </c>
    </row>
    <row r="409" spans="1:17" hidden="1" x14ac:dyDescent="0.3">
      <c r="A409">
        <v>4904</v>
      </c>
      <c r="B409">
        <v>2787</v>
      </c>
      <c r="C409">
        <v>314</v>
      </c>
      <c r="D409" t="s">
        <v>19</v>
      </c>
      <c r="E409" t="s">
        <v>20</v>
      </c>
      <c r="F409" t="s">
        <v>17</v>
      </c>
      <c r="G409" t="s">
        <v>24</v>
      </c>
      <c r="H409">
        <v>273.5</v>
      </c>
      <c r="I409">
        <v>251.5</v>
      </c>
      <c r="J409">
        <v>97.5</v>
      </c>
      <c r="K409">
        <v>65</v>
      </c>
      <c r="L409">
        <v>25.5</v>
      </c>
      <c r="M409">
        <v>13</v>
      </c>
      <c r="N409">
        <v>0.24148770951047899</v>
      </c>
      <c r="O409">
        <v>8.3584694440089993E-2</v>
      </c>
      <c r="P409" t="str">
        <f t="shared" si="12"/>
        <v>F</v>
      </c>
      <c r="Q409" t="str">
        <f t="shared" si="13"/>
        <v>F</v>
      </c>
    </row>
    <row r="410" spans="1:17" hidden="1" x14ac:dyDescent="0.3">
      <c r="A410">
        <v>4905</v>
      </c>
      <c r="B410">
        <v>2787</v>
      </c>
      <c r="C410">
        <v>314</v>
      </c>
      <c r="D410" t="s">
        <v>19</v>
      </c>
      <c r="E410" t="s">
        <v>20</v>
      </c>
      <c r="F410" t="s">
        <v>17</v>
      </c>
      <c r="G410" t="s">
        <v>24</v>
      </c>
      <c r="H410">
        <v>273.5</v>
      </c>
      <c r="I410">
        <v>251.5</v>
      </c>
      <c r="J410">
        <v>97.5</v>
      </c>
      <c r="K410">
        <v>65</v>
      </c>
      <c r="L410">
        <v>25.5</v>
      </c>
      <c r="M410">
        <v>13</v>
      </c>
      <c r="N410">
        <v>0.236312806150794</v>
      </c>
      <c r="O410">
        <v>8.0067664588339305E-2</v>
      </c>
      <c r="P410" t="str">
        <f t="shared" si="12"/>
        <v>F</v>
      </c>
      <c r="Q410" t="str">
        <f t="shared" si="13"/>
        <v>F</v>
      </c>
    </row>
    <row r="411" spans="1:17" hidden="1" x14ac:dyDescent="0.3">
      <c r="A411">
        <v>4906</v>
      </c>
      <c r="B411">
        <v>2787</v>
      </c>
      <c r="C411">
        <v>314</v>
      </c>
      <c r="D411" t="s">
        <v>19</v>
      </c>
      <c r="E411" t="s">
        <v>20</v>
      </c>
      <c r="F411" t="s">
        <v>17</v>
      </c>
      <c r="G411" t="s">
        <v>24</v>
      </c>
      <c r="H411">
        <v>273.5</v>
      </c>
      <c r="I411">
        <v>251.5</v>
      </c>
      <c r="J411">
        <v>97.5</v>
      </c>
      <c r="K411">
        <v>65</v>
      </c>
      <c r="L411">
        <v>25.5</v>
      </c>
      <c r="M411">
        <v>13</v>
      </c>
      <c r="N411">
        <v>0.234959086057032</v>
      </c>
      <c r="O411">
        <v>7.9861762820932297E-2</v>
      </c>
      <c r="P411" t="str">
        <f t="shared" si="12"/>
        <v>F</v>
      </c>
      <c r="Q411" t="str">
        <f t="shared" si="13"/>
        <v>F</v>
      </c>
    </row>
    <row r="412" spans="1:17" hidden="1" x14ac:dyDescent="0.3">
      <c r="A412">
        <v>4907</v>
      </c>
      <c r="B412">
        <v>2788</v>
      </c>
      <c r="C412">
        <v>203</v>
      </c>
      <c r="D412" t="s">
        <v>19</v>
      </c>
      <c r="E412" t="s">
        <v>20</v>
      </c>
      <c r="F412" t="s">
        <v>21</v>
      </c>
      <c r="G412" t="s">
        <v>18</v>
      </c>
      <c r="H412">
        <v>277.60000000000002</v>
      </c>
      <c r="I412">
        <v>247.5</v>
      </c>
      <c r="J412">
        <v>94</v>
      </c>
      <c r="K412">
        <v>65</v>
      </c>
      <c r="L412">
        <v>24.9</v>
      </c>
      <c r="M412">
        <v>9.5</v>
      </c>
      <c r="N412">
        <v>0.27009659668342201</v>
      </c>
      <c r="O412">
        <v>5.5588845301044902E-2</v>
      </c>
      <c r="P412" t="str">
        <f t="shared" si="12"/>
        <v>F</v>
      </c>
      <c r="Q412" t="str">
        <f t="shared" si="13"/>
        <v>F</v>
      </c>
    </row>
    <row r="413" spans="1:17" hidden="1" x14ac:dyDescent="0.3">
      <c r="A413">
        <v>4920</v>
      </c>
      <c r="B413">
        <v>2794</v>
      </c>
      <c r="C413">
        <v>320</v>
      </c>
      <c r="D413" t="s">
        <v>19</v>
      </c>
      <c r="E413" t="s">
        <v>20</v>
      </c>
      <c r="F413" t="s">
        <v>17</v>
      </c>
      <c r="G413" t="s">
        <v>26</v>
      </c>
      <c r="H413">
        <v>279</v>
      </c>
      <c r="I413">
        <v>253.5</v>
      </c>
      <c r="J413">
        <v>97.1</v>
      </c>
      <c r="K413">
        <v>64</v>
      </c>
      <c r="L413">
        <v>24</v>
      </c>
      <c r="M413">
        <v>8</v>
      </c>
      <c r="N413">
        <v>0.13752124340754701</v>
      </c>
      <c r="O413">
        <v>3.23388667555152E-2</v>
      </c>
      <c r="P413" t="str">
        <f t="shared" si="12"/>
        <v>F</v>
      </c>
      <c r="Q413" t="str">
        <f t="shared" si="13"/>
        <v>F</v>
      </c>
    </row>
    <row r="414" spans="1:17" hidden="1" x14ac:dyDescent="0.3">
      <c r="A414">
        <v>4921</v>
      </c>
      <c r="B414">
        <v>2794</v>
      </c>
      <c r="C414">
        <v>320</v>
      </c>
      <c r="D414" t="s">
        <v>19</v>
      </c>
      <c r="E414" t="s">
        <v>20</v>
      </c>
      <c r="F414" t="s">
        <v>17</v>
      </c>
      <c r="G414" t="s">
        <v>26</v>
      </c>
      <c r="H414">
        <v>279</v>
      </c>
      <c r="I414">
        <v>253.5</v>
      </c>
      <c r="J414">
        <v>97.1</v>
      </c>
      <c r="K414">
        <v>64</v>
      </c>
      <c r="L414">
        <v>24</v>
      </c>
      <c r="M414">
        <v>8</v>
      </c>
      <c r="N414">
        <v>0.162978444173625</v>
      </c>
      <c r="O414">
        <v>3.2931707583728799E-2</v>
      </c>
      <c r="P414" t="str">
        <f t="shared" si="12"/>
        <v>F</v>
      </c>
      <c r="Q414" t="str">
        <f t="shared" si="13"/>
        <v>F</v>
      </c>
    </row>
    <row r="415" spans="1:17" hidden="1" x14ac:dyDescent="0.3">
      <c r="A415">
        <v>4941</v>
      </c>
      <c r="B415">
        <v>2800</v>
      </c>
      <c r="C415">
        <v>183</v>
      </c>
      <c r="D415" t="s">
        <v>19</v>
      </c>
      <c r="E415" t="s">
        <v>20</v>
      </c>
      <c r="F415" t="s">
        <v>21</v>
      </c>
      <c r="G415" t="s">
        <v>26</v>
      </c>
      <c r="H415">
        <v>276.39999999999998</v>
      </c>
      <c r="I415">
        <v>248</v>
      </c>
      <c r="J415">
        <v>92.7</v>
      </c>
      <c r="K415">
        <v>64</v>
      </c>
      <c r="L415">
        <v>27.8</v>
      </c>
      <c r="M415">
        <v>6.5</v>
      </c>
      <c r="N415">
        <v>0.32034039086243499</v>
      </c>
      <c r="O415">
        <v>7.2439968310461997E-2</v>
      </c>
      <c r="P415" t="str">
        <f t="shared" si="12"/>
        <v>F</v>
      </c>
      <c r="Q415" t="str">
        <f t="shared" si="13"/>
        <v>F</v>
      </c>
    </row>
    <row r="416" spans="1:17" hidden="1" x14ac:dyDescent="0.3">
      <c r="A416">
        <v>4949</v>
      </c>
      <c r="B416">
        <v>2804</v>
      </c>
      <c r="C416">
        <v>366</v>
      </c>
      <c r="D416" t="s">
        <v>19</v>
      </c>
      <c r="E416" t="s">
        <v>20</v>
      </c>
      <c r="F416" t="s">
        <v>21</v>
      </c>
      <c r="G416" t="s">
        <v>26</v>
      </c>
      <c r="H416">
        <v>275.89999999999998</v>
      </c>
      <c r="I416">
        <v>255</v>
      </c>
      <c r="J416">
        <v>94.9</v>
      </c>
      <c r="K416">
        <v>64</v>
      </c>
      <c r="L416">
        <v>26.8</v>
      </c>
      <c r="M416">
        <v>17</v>
      </c>
      <c r="N416">
        <v>0.16756103265702599</v>
      </c>
      <c r="O416">
        <v>0.13748899615171301</v>
      </c>
      <c r="P416" t="str">
        <f t="shared" si="12"/>
        <v>F</v>
      </c>
      <c r="Q416" t="str">
        <f t="shared" si="13"/>
        <v>F</v>
      </c>
    </row>
    <row r="417" spans="1:17" hidden="1" x14ac:dyDescent="0.3">
      <c r="A417">
        <v>4950</v>
      </c>
      <c r="B417">
        <v>2805</v>
      </c>
      <c r="C417">
        <v>32</v>
      </c>
      <c r="D417" t="s">
        <v>19</v>
      </c>
      <c r="E417" t="s">
        <v>20</v>
      </c>
      <c r="F417" t="s">
        <v>21</v>
      </c>
      <c r="G417" t="s">
        <v>24</v>
      </c>
      <c r="H417">
        <v>274.8</v>
      </c>
      <c r="I417">
        <v>261</v>
      </c>
      <c r="J417">
        <v>101</v>
      </c>
      <c r="K417">
        <v>66</v>
      </c>
      <c r="L417">
        <v>24.4</v>
      </c>
      <c r="M417">
        <v>8.5</v>
      </c>
      <c r="N417">
        <v>0.134484555027786</v>
      </c>
      <c r="O417">
        <v>0.13493450414296199</v>
      </c>
      <c r="P417" t="str">
        <f t="shared" si="12"/>
        <v>F</v>
      </c>
      <c r="Q417" t="str">
        <f t="shared" si="13"/>
        <v>F</v>
      </c>
    </row>
    <row r="418" spans="1:17" hidden="1" x14ac:dyDescent="0.3">
      <c r="A418">
        <v>4951</v>
      </c>
      <c r="B418">
        <v>2805</v>
      </c>
      <c r="C418">
        <v>32</v>
      </c>
      <c r="D418" t="s">
        <v>19</v>
      </c>
      <c r="E418" t="s">
        <v>20</v>
      </c>
      <c r="F418" t="s">
        <v>21</v>
      </c>
      <c r="G418" t="s">
        <v>24</v>
      </c>
      <c r="H418">
        <v>274.8</v>
      </c>
      <c r="I418">
        <v>261</v>
      </c>
      <c r="J418">
        <v>101</v>
      </c>
      <c r="K418">
        <v>66</v>
      </c>
      <c r="L418">
        <v>24.4</v>
      </c>
      <c r="M418">
        <v>8.5</v>
      </c>
      <c r="N418">
        <v>0.111481391371275</v>
      </c>
      <c r="O418">
        <v>0.13944748887807101</v>
      </c>
      <c r="P418" t="str">
        <f t="shared" si="12"/>
        <v>F</v>
      </c>
      <c r="Q418" t="str">
        <f t="shared" si="13"/>
        <v>F</v>
      </c>
    </row>
    <row r="419" spans="1:17" hidden="1" x14ac:dyDescent="0.3">
      <c r="A419">
        <v>4976</v>
      </c>
      <c r="B419">
        <v>2815</v>
      </c>
      <c r="C419">
        <v>102</v>
      </c>
      <c r="D419" t="s">
        <v>19</v>
      </c>
      <c r="E419" t="s">
        <v>20</v>
      </c>
      <c r="F419" t="s">
        <v>21</v>
      </c>
      <c r="G419" t="s">
        <v>25</v>
      </c>
      <c r="H419">
        <v>273.60000000000002</v>
      </c>
      <c r="I419">
        <v>246</v>
      </c>
      <c r="J419">
        <v>93.6</v>
      </c>
      <c r="K419">
        <v>64.5</v>
      </c>
      <c r="L419">
        <v>25.6</v>
      </c>
      <c r="M419">
        <v>1.5</v>
      </c>
      <c r="N419">
        <v>0.17271242712271001</v>
      </c>
      <c r="O419">
        <v>0.21893873660176899</v>
      </c>
      <c r="P419" t="str">
        <f t="shared" si="12"/>
        <v>F</v>
      </c>
      <c r="Q419" t="str">
        <f t="shared" si="13"/>
        <v>F</v>
      </c>
    </row>
    <row r="420" spans="1:17" hidden="1" x14ac:dyDescent="0.3">
      <c r="A420">
        <v>4977</v>
      </c>
      <c r="B420">
        <v>2815</v>
      </c>
      <c r="C420">
        <v>102</v>
      </c>
      <c r="D420" t="s">
        <v>19</v>
      </c>
      <c r="E420" t="s">
        <v>20</v>
      </c>
      <c r="F420" t="s">
        <v>21</v>
      </c>
      <c r="G420" t="s">
        <v>25</v>
      </c>
      <c r="H420">
        <v>273.60000000000002</v>
      </c>
      <c r="I420">
        <v>246</v>
      </c>
      <c r="J420">
        <v>93.6</v>
      </c>
      <c r="K420">
        <v>64.5</v>
      </c>
      <c r="L420">
        <v>25.6</v>
      </c>
      <c r="M420">
        <v>1.5</v>
      </c>
      <c r="N420">
        <v>0.17293959721510499</v>
      </c>
      <c r="O420">
        <v>0.18196757994482399</v>
      </c>
      <c r="P420" t="str">
        <f t="shared" si="12"/>
        <v>F</v>
      </c>
      <c r="Q420" t="str">
        <f t="shared" si="13"/>
        <v>F</v>
      </c>
    </row>
    <row r="421" spans="1:17" hidden="1" x14ac:dyDescent="0.3">
      <c r="A421">
        <v>4978</v>
      </c>
      <c r="B421">
        <v>2815</v>
      </c>
      <c r="C421">
        <v>102</v>
      </c>
      <c r="D421" t="s">
        <v>19</v>
      </c>
      <c r="E421" t="s">
        <v>20</v>
      </c>
      <c r="F421" t="s">
        <v>21</v>
      </c>
      <c r="G421" t="s">
        <v>25</v>
      </c>
      <c r="H421">
        <v>273.60000000000002</v>
      </c>
      <c r="I421">
        <v>246</v>
      </c>
      <c r="J421">
        <v>93.6</v>
      </c>
      <c r="K421">
        <v>64.5</v>
      </c>
      <c r="L421">
        <v>25.6</v>
      </c>
      <c r="M421">
        <v>1.5</v>
      </c>
      <c r="N421">
        <v>0.16660451291793599</v>
      </c>
      <c r="O421">
        <v>0.18695865641127701</v>
      </c>
      <c r="P421" t="str">
        <f t="shared" si="12"/>
        <v>F</v>
      </c>
      <c r="Q421" t="str">
        <f t="shared" si="13"/>
        <v>F</v>
      </c>
    </row>
    <row r="422" spans="1:17" hidden="1" x14ac:dyDescent="0.3">
      <c r="A422">
        <v>5003</v>
      </c>
      <c r="B422">
        <v>2824</v>
      </c>
      <c r="C422">
        <v>18</v>
      </c>
      <c r="D422" t="s">
        <v>19</v>
      </c>
      <c r="E422" t="s">
        <v>20</v>
      </c>
      <c r="F422" t="s">
        <v>17</v>
      </c>
      <c r="G422" t="s">
        <v>24</v>
      </c>
      <c r="H422">
        <v>271.39999999999998</v>
      </c>
      <c r="I422">
        <v>244</v>
      </c>
      <c r="J422">
        <v>97.3</v>
      </c>
      <c r="K422">
        <v>64</v>
      </c>
      <c r="L422">
        <v>23.3</v>
      </c>
      <c r="M422">
        <v>6.5</v>
      </c>
      <c r="N422">
        <v>0.257977326906008</v>
      </c>
      <c r="O422">
        <v>7.9960960433944506E-3</v>
      </c>
      <c r="P422" t="str">
        <f t="shared" si="12"/>
        <v>F</v>
      </c>
      <c r="Q422" t="str">
        <f t="shared" si="13"/>
        <v>T</v>
      </c>
    </row>
    <row r="423" spans="1:17" hidden="1" x14ac:dyDescent="0.3">
      <c r="A423">
        <v>5016</v>
      </c>
      <c r="B423">
        <v>2832</v>
      </c>
      <c r="C423">
        <v>203</v>
      </c>
      <c r="D423" t="s">
        <v>19</v>
      </c>
      <c r="E423" t="s">
        <v>20</v>
      </c>
      <c r="F423" t="s">
        <v>21</v>
      </c>
      <c r="G423" t="s">
        <v>25</v>
      </c>
      <c r="H423">
        <v>277.60000000000002</v>
      </c>
      <c r="I423">
        <v>247.5</v>
      </c>
      <c r="J423">
        <v>94</v>
      </c>
      <c r="K423">
        <v>65</v>
      </c>
      <c r="L423">
        <v>24.9</v>
      </c>
      <c r="M423">
        <v>9.5</v>
      </c>
      <c r="N423">
        <v>0.26956935741286098</v>
      </c>
      <c r="O423">
        <v>5.4690864593017099E-2</v>
      </c>
      <c r="P423" t="str">
        <f t="shared" si="12"/>
        <v>F</v>
      </c>
      <c r="Q423" t="str">
        <f t="shared" si="13"/>
        <v>F</v>
      </c>
    </row>
    <row r="424" spans="1:17" hidden="1" x14ac:dyDescent="0.3">
      <c r="A424">
        <v>5017</v>
      </c>
      <c r="B424">
        <v>2832</v>
      </c>
      <c r="C424">
        <v>203</v>
      </c>
      <c r="D424" t="s">
        <v>19</v>
      </c>
      <c r="E424" t="s">
        <v>20</v>
      </c>
      <c r="F424" t="s">
        <v>21</v>
      </c>
      <c r="G424" t="s">
        <v>25</v>
      </c>
      <c r="H424">
        <v>277.60000000000002</v>
      </c>
      <c r="I424">
        <v>247.5</v>
      </c>
      <c r="J424">
        <v>94</v>
      </c>
      <c r="K424">
        <v>65</v>
      </c>
      <c r="L424">
        <v>24.9</v>
      </c>
      <c r="M424">
        <v>9.5</v>
      </c>
      <c r="N424">
        <v>0.28249946312924501</v>
      </c>
      <c r="O424">
        <v>6.7266851532871097E-2</v>
      </c>
      <c r="P424" t="str">
        <f t="shared" si="12"/>
        <v>F</v>
      </c>
      <c r="Q424" t="str">
        <f t="shared" si="13"/>
        <v>F</v>
      </c>
    </row>
    <row r="425" spans="1:17" hidden="1" x14ac:dyDescent="0.3">
      <c r="A425">
        <v>5018</v>
      </c>
      <c r="B425">
        <v>2832</v>
      </c>
      <c r="C425">
        <v>203</v>
      </c>
      <c r="D425" t="s">
        <v>19</v>
      </c>
      <c r="E425" t="s">
        <v>20</v>
      </c>
      <c r="F425" t="s">
        <v>21</v>
      </c>
      <c r="G425" t="s">
        <v>25</v>
      </c>
      <c r="H425">
        <v>277.60000000000002</v>
      </c>
      <c r="I425">
        <v>247.5</v>
      </c>
      <c r="J425">
        <v>94</v>
      </c>
      <c r="K425">
        <v>65</v>
      </c>
      <c r="L425">
        <v>24.9</v>
      </c>
      <c r="M425">
        <v>9.5</v>
      </c>
      <c r="N425">
        <v>0.26804102060561802</v>
      </c>
      <c r="O425">
        <v>5.67801062190217E-2</v>
      </c>
      <c r="P425" t="str">
        <f t="shared" si="12"/>
        <v>F</v>
      </c>
      <c r="Q425" t="str">
        <f t="shared" si="13"/>
        <v>F</v>
      </c>
    </row>
    <row r="426" spans="1:17" hidden="1" x14ac:dyDescent="0.3">
      <c r="A426">
        <v>5033</v>
      </c>
      <c r="B426">
        <v>2839</v>
      </c>
      <c r="C426">
        <v>28</v>
      </c>
      <c r="D426" t="s">
        <v>19</v>
      </c>
      <c r="E426" t="s">
        <v>20</v>
      </c>
      <c r="F426" t="s">
        <v>17</v>
      </c>
      <c r="G426" t="s">
        <v>26</v>
      </c>
      <c r="H426">
        <v>274.39999999999998</v>
      </c>
      <c r="I426">
        <v>243.5</v>
      </c>
      <c r="J426">
        <v>94.3</v>
      </c>
      <c r="K426">
        <v>65.5</v>
      </c>
      <c r="L426">
        <v>28</v>
      </c>
      <c r="M426">
        <v>5.5</v>
      </c>
      <c r="N426">
        <v>0.29376315668849601</v>
      </c>
      <c r="O426">
        <v>8.4048130225497494E-2</v>
      </c>
      <c r="P426" t="str">
        <f t="shared" si="12"/>
        <v>F</v>
      </c>
      <c r="Q426" t="str">
        <f t="shared" si="13"/>
        <v>F</v>
      </c>
    </row>
    <row r="427" spans="1:17" hidden="1" x14ac:dyDescent="0.3">
      <c r="A427">
        <v>5054</v>
      </c>
      <c r="B427">
        <v>2846</v>
      </c>
      <c r="C427">
        <v>68</v>
      </c>
      <c r="D427" t="s">
        <v>19</v>
      </c>
      <c r="E427" t="s">
        <v>20</v>
      </c>
      <c r="F427" t="s">
        <v>17</v>
      </c>
      <c r="G427" t="s">
        <v>25</v>
      </c>
      <c r="H427">
        <v>275.60000000000002</v>
      </c>
      <c r="I427">
        <v>254.5</v>
      </c>
      <c r="J427">
        <v>95.5</v>
      </c>
      <c r="K427">
        <v>65.5</v>
      </c>
      <c r="L427">
        <v>29.1</v>
      </c>
      <c r="M427">
        <v>10</v>
      </c>
      <c r="N427">
        <v>0.18555845172060401</v>
      </c>
      <c r="O427">
        <v>0.16913565447051501</v>
      </c>
      <c r="P427" t="str">
        <f t="shared" si="12"/>
        <v>F</v>
      </c>
      <c r="Q427" t="str">
        <f t="shared" si="13"/>
        <v>F</v>
      </c>
    </row>
    <row r="428" spans="1:17" hidden="1" x14ac:dyDescent="0.3">
      <c r="A428">
        <v>5055</v>
      </c>
      <c r="B428">
        <v>2846</v>
      </c>
      <c r="C428">
        <v>68</v>
      </c>
      <c r="D428" t="s">
        <v>19</v>
      </c>
      <c r="E428" t="s">
        <v>20</v>
      </c>
      <c r="F428" t="s">
        <v>17</v>
      </c>
      <c r="G428" t="s">
        <v>25</v>
      </c>
      <c r="H428">
        <v>275.60000000000002</v>
      </c>
      <c r="I428">
        <v>254.5</v>
      </c>
      <c r="J428">
        <v>95.5</v>
      </c>
      <c r="K428">
        <v>65.5</v>
      </c>
      <c r="L428">
        <v>29.1</v>
      </c>
      <c r="M428">
        <v>10</v>
      </c>
      <c r="N428">
        <v>0.218587016364377</v>
      </c>
      <c r="O428">
        <v>0.17551179442009701</v>
      </c>
      <c r="P428" t="str">
        <f t="shared" si="12"/>
        <v>F</v>
      </c>
      <c r="Q428" t="str">
        <f t="shared" si="13"/>
        <v>F</v>
      </c>
    </row>
    <row r="429" spans="1:17" hidden="1" x14ac:dyDescent="0.3">
      <c r="A429">
        <v>5083</v>
      </c>
      <c r="B429">
        <v>2855</v>
      </c>
      <c r="C429">
        <v>468</v>
      </c>
      <c r="D429" t="s">
        <v>19</v>
      </c>
      <c r="E429" t="s">
        <v>20</v>
      </c>
      <c r="F429" t="s">
        <v>17</v>
      </c>
      <c r="G429" t="s">
        <v>18</v>
      </c>
      <c r="H429">
        <v>273.39999999999998</v>
      </c>
      <c r="I429">
        <v>243.5</v>
      </c>
      <c r="J429">
        <v>92.9</v>
      </c>
      <c r="K429">
        <v>63.5</v>
      </c>
      <c r="L429">
        <v>24.1</v>
      </c>
      <c r="M429">
        <v>7.5</v>
      </c>
      <c r="N429">
        <v>0.191010383426782</v>
      </c>
      <c r="O429">
        <v>0.115514540179304</v>
      </c>
      <c r="P429" t="str">
        <f t="shared" si="12"/>
        <v>F</v>
      </c>
      <c r="Q429" t="str">
        <f t="shared" si="13"/>
        <v>F</v>
      </c>
    </row>
    <row r="430" spans="1:17" hidden="1" x14ac:dyDescent="0.3">
      <c r="A430">
        <v>5084</v>
      </c>
      <c r="B430">
        <v>2855</v>
      </c>
      <c r="C430">
        <v>468</v>
      </c>
      <c r="D430" t="s">
        <v>19</v>
      </c>
      <c r="E430" t="s">
        <v>20</v>
      </c>
      <c r="F430" t="s">
        <v>17</v>
      </c>
      <c r="G430" t="s">
        <v>18</v>
      </c>
      <c r="H430">
        <v>273.39999999999998</v>
      </c>
      <c r="I430">
        <v>243.5</v>
      </c>
      <c r="J430">
        <v>92.9</v>
      </c>
      <c r="K430">
        <v>63.5</v>
      </c>
      <c r="L430">
        <v>24.1</v>
      </c>
      <c r="M430">
        <v>7.5</v>
      </c>
      <c r="N430">
        <v>0.17826493846886801</v>
      </c>
      <c r="O430">
        <v>0.111475195869603</v>
      </c>
      <c r="P430" t="str">
        <f t="shared" si="12"/>
        <v>F</v>
      </c>
      <c r="Q430" t="str">
        <f t="shared" si="13"/>
        <v>F</v>
      </c>
    </row>
    <row r="431" spans="1:17" hidden="1" x14ac:dyDescent="0.3">
      <c r="A431">
        <v>5121</v>
      </c>
      <c r="B431">
        <v>2866</v>
      </c>
      <c r="C431">
        <v>102</v>
      </c>
      <c r="D431" t="s">
        <v>19</v>
      </c>
      <c r="E431" t="s">
        <v>20</v>
      </c>
      <c r="F431" t="s">
        <v>17</v>
      </c>
      <c r="G431" t="s">
        <v>22</v>
      </c>
      <c r="H431">
        <v>273.60000000000002</v>
      </c>
      <c r="I431">
        <v>246</v>
      </c>
      <c r="J431">
        <v>93.6</v>
      </c>
      <c r="K431">
        <v>64.5</v>
      </c>
      <c r="L431">
        <v>25.6</v>
      </c>
      <c r="M431">
        <v>1.5</v>
      </c>
      <c r="N431">
        <v>0.16910922739929801</v>
      </c>
      <c r="O431">
        <v>0.19800985282505601</v>
      </c>
      <c r="P431" t="str">
        <f t="shared" si="12"/>
        <v>F</v>
      </c>
      <c r="Q431" t="str">
        <f t="shared" si="13"/>
        <v>F</v>
      </c>
    </row>
    <row r="432" spans="1:17" hidden="1" x14ac:dyDescent="0.3">
      <c r="A432">
        <v>5122</v>
      </c>
      <c r="B432">
        <v>2866</v>
      </c>
      <c r="C432">
        <v>102</v>
      </c>
      <c r="D432" t="s">
        <v>19</v>
      </c>
      <c r="E432" t="s">
        <v>20</v>
      </c>
      <c r="F432" t="s">
        <v>17</v>
      </c>
      <c r="G432" t="s">
        <v>22</v>
      </c>
      <c r="H432">
        <v>273.60000000000002</v>
      </c>
      <c r="I432">
        <v>246</v>
      </c>
      <c r="J432">
        <v>93.6</v>
      </c>
      <c r="K432">
        <v>64.5</v>
      </c>
      <c r="L432">
        <v>25.6</v>
      </c>
      <c r="M432">
        <v>1.5</v>
      </c>
      <c r="N432">
        <v>0.14662905381723401</v>
      </c>
      <c r="O432">
        <v>0.20048459283099801</v>
      </c>
      <c r="P432" t="str">
        <f t="shared" si="12"/>
        <v>F</v>
      </c>
      <c r="Q432" t="str">
        <f t="shared" si="13"/>
        <v>F</v>
      </c>
    </row>
    <row r="433" spans="1:17" hidden="1" x14ac:dyDescent="0.3">
      <c r="A433">
        <v>5151</v>
      </c>
      <c r="B433">
        <v>288</v>
      </c>
      <c r="C433">
        <v>379</v>
      </c>
      <c r="D433" t="s">
        <v>19</v>
      </c>
      <c r="E433" t="s">
        <v>20</v>
      </c>
      <c r="F433" t="s">
        <v>21</v>
      </c>
      <c r="G433" t="s">
        <v>24</v>
      </c>
      <c r="H433">
        <v>276.5</v>
      </c>
      <c r="I433">
        <v>259.5</v>
      </c>
      <c r="J433">
        <v>97.2</v>
      </c>
      <c r="K433">
        <v>68</v>
      </c>
      <c r="L433">
        <v>26.4</v>
      </c>
      <c r="M433">
        <v>4</v>
      </c>
      <c r="N433">
        <v>0.289110016904638</v>
      </c>
      <c r="O433">
        <v>6.7247550194817304E-2</v>
      </c>
      <c r="P433" t="str">
        <f t="shared" si="12"/>
        <v>F</v>
      </c>
      <c r="Q433" t="str">
        <f t="shared" si="13"/>
        <v>F</v>
      </c>
    </row>
    <row r="434" spans="1:17" hidden="1" x14ac:dyDescent="0.3">
      <c r="A434">
        <v>5152</v>
      </c>
      <c r="B434">
        <v>288</v>
      </c>
      <c r="C434">
        <v>379</v>
      </c>
      <c r="D434" t="s">
        <v>19</v>
      </c>
      <c r="E434" t="s">
        <v>20</v>
      </c>
      <c r="F434" t="s">
        <v>21</v>
      </c>
      <c r="G434" t="s">
        <v>24</v>
      </c>
      <c r="H434">
        <v>276.5</v>
      </c>
      <c r="I434">
        <v>259.5</v>
      </c>
      <c r="J434">
        <v>97.2</v>
      </c>
      <c r="K434">
        <v>68</v>
      </c>
      <c r="L434">
        <v>26.4</v>
      </c>
      <c r="M434">
        <v>4</v>
      </c>
      <c r="N434">
        <v>0.30648401107103801</v>
      </c>
      <c r="O434">
        <v>5.5695833585030698E-2</v>
      </c>
      <c r="P434" t="str">
        <f t="shared" si="12"/>
        <v>F</v>
      </c>
      <c r="Q434" t="str">
        <f t="shared" si="13"/>
        <v>F</v>
      </c>
    </row>
    <row r="435" spans="1:17" hidden="1" x14ac:dyDescent="0.3">
      <c r="A435">
        <v>5153</v>
      </c>
      <c r="B435">
        <v>288</v>
      </c>
      <c r="C435">
        <v>379</v>
      </c>
      <c r="D435" t="s">
        <v>19</v>
      </c>
      <c r="E435" t="s">
        <v>20</v>
      </c>
      <c r="F435" t="s">
        <v>21</v>
      </c>
      <c r="G435" t="s">
        <v>24</v>
      </c>
      <c r="H435">
        <v>276.5</v>
      </c>
      <c r="I435">
        <v>259.5</v>
      </c>
      <c r="J435">
        <v>97.2</v>
      </c>
      <c r="K435">
        <v>68</v>
      </c>
      <c r="L435">
        <v>26.4</v>
      </c>
      <c r="M435">
        <v>4</v>
      </c>
      <c r="N435">
        <v>0.32082691024757698</v>
      </c>
      <c r="O435">
        <v>3.5724274365254202E-2</v>
      </c>
      <c r="P435" t="str">
        <f t="shared" si="12"/>
        <v>F</v>
      </c>
      <c r="Q435" t="str">
        <f t="shared" si="13"/>
        <v>F</v>
      </c>
    </row>
    <row r="436" spans="1:17" hidden="1" x14ac:dyDescent="0.3">
      <c r="A436">
        <v>5154</v>
      </c>
      <c r="B436">
        <v>288</v>
      </c>
      <c r="C436">
        <v>379</v>
      </c>
      <c r="D436" t="s">
        <v>19</v>
      </c>
      <c r="E436" t="s">
        <v>20</v>
      </c>
      <c r="F436" t="s">
        <v>21</v>
      </c>
      <c r="G436" t="s">
        <v>24</v>
      </c>
      <c r="H436">
        <v>276.5</v>
      </c>
      <c r="I436">
        <v>259.5</v>
      </c>
      <c r="J436">
        <v>97.2</v>
      </c>
      <c r="K436">
        <v>68</v>
      </c>
      <c r="L436">
        <v>26.4</v>
      </c>
      <c r="M436">
        <v>4</v>
      </c>
      <c r="N436">
        <v>0.32686845687196597</v>
      </c>
      <c r="O436">
        <v>6.23591644816072E-2</v>
      </c>
      <c r="P436" t="str">
        <f t="shared" si="12"/>
        <v>F</v>
      </c>
      <c r="Q436" t="str">
        <f t="shared" si="13"/>
        <v>F</v>
      </c>
    </row>
    <row r="437" spans="1:17" hidden="1" x14ac:dyDescent="0.3">
      <c r="A437">
        <v>5196</v>
      </c>
      <c r="B437">
        <v>2895</v>
      </c>
      <c r="C437">
        <v>341</v>
      </c>
      <c r="D437" t="s">
        <v>19</v>
      </c>
      <c r="E437" t="s">
        <v>20</v>
      </c>
      <c r="F437" t="s">
        <v>17</v>
      </c>
      <c r="G437" t="s">
        <v>24</v>
      </c>
      <c r="H437">
        <v>273</v>
      </c>
      <c r="I437">
        <v>246.5</v>
      </c>
      <c r="J437">
        <v>95.4</v>
      </c>
      <c r="K437">
        <v>66.5</v>
      </c>
      <c r="L437">
        <v>26.4</v>
      </c>
      <c r="M437">
        <v>11</v>
      </c>
      <c r="N437">
        <v>0.28154301301486501</v>
      </c>
      <c r="O437">
        <v>6.4844583338983394E-2</v>
      </c>
      <c r="P437" t="str">
        <f t="shared" si="12"/>
        <v>F</v>
      </c>
      <c r="Q437" t="str">
        <f t="shared" si="13"/>
        <v>F</v>
      </c>
    </row>
    <row r="438" spans="1:17" hidden="1" x14ac:dyDescent="0.3">
      <c r="A438">
        <v>5197</v>
      </c>
      <c r="B438">
        <v>2895</v>
      </c>
      <c r="C438">
        <v>341</v>
      </c>
      <c r="D438" t="s">
        <v>19</v>
      </c>
      <c r="E438" t="s">
        <v>20</v>
      </c>
      <c r="F438" t="s">
        <v>17</v>
      </c>
      <c r="G438" t="s">
        <v>24</v>
      </c>
      <c r="H438">
        <v>273</v>
      </c>
      <c r="I438">
        <v>246.5</v>
      </c>
      <c r="J438">
        <v>95.4</v>
      </c>
      <c r="K438">
        <v>66.5</v>
      </c>
      <c r="L438">
        <v>26.4</v>
      </c>
      <c r="M438">
        <v>11</v>
      </c>
      <c r="N438">
        <v>0.289814571630021</v>
      </c>
      <c r="O438">
        <v>7.9603227191649903E-2</v>
      </c>
      <c r="P438" t="str">
        <f t="shared" si="12"/>
        <v>F</v>
      </c>
      <c r="Q438" t="str">
        <f t="shared" si="13"/>
        <v>F</v>
      </c>
    </row>
    <row r="439" spans="1:17" hidden="1" x14ac:dyDescent="0.3">
      <c r="A439">
        <v>5198</v>
      </c>
      <c r="B439">
        <v>2895</v>
      </c>
      <c r="C439">
        <v>341</v>
      </c>
      <c r="D439" t="s">
        <v>19</v>
      </c>
      <c r="E439" t="s">
        <v>20</v>
      </c>
      <c r="F439" t="s">
        <v>17</v>
      </c>
      <c r="G439" t="s">
        <v>24</v>
      </c>
      <c r="H439">
        <v>273</v>
      </c>
      <c r="I439">
        <v>246.5</v>
      </c>
      <c r="J439">
        <v>95.4</v>
      </c>
      <c r="K439">
        <v>66.5</v>
      </c>
      <c r="L439">
        <v>26.4</v>
      </c>
      <c r="M439">
        <v>11</v>
      </c>
      <c r="N439">
        <v>0.28177427585186399</v>
      </c>
      <c r="O439">
        <v>6.1423740300129703E-2</v>
      </c>
      <c r="P439" t="str">
        <f t="shared" si="12"/>
        <v>F</v>
      </c>
      <c r="Q439" t="str">
        <f t="shared" si="13"/>
        <v>F</v>
      </c>
    </row>
    <row r="440" spans="1:17" hidden="1" x14ac:dyDescent="0.3">
      <c r="A440">
        <v>5199</v>
      </c>
      <c r="B440">
        <v>2895</v>
      </c>
      <c r="C440">
        <v>341</v>
      </c>
      <c r="D440" t="s">
        <v>19</v>
      </c>
      <c r="E440" t="s">
        <v>20</v>
      </c>
      <c r="F440" t="s">
        <v>17</v>
      </c>
      <c r="G440" t="s">
        <v>24</v>
      </c>
      <c r="H440">
        <v>273</v>
      </c>
      <c r="I440">
        <v>246.5</v>
      </c>
      <c r="J440">
        <v>95.4</v>
      </c>
      <c r="K440">
        <v>66.5</v>
      </c>
      <c r="L440">
        <v>26.4</v>
      </c>
      <c r="M440">
        <v>11</v>
      </c>
      <c r="N440">
        <v>0.30362087637000501</v>
      </c>
      <c r="O440">
        <v>7.7534764404664003E-2</v>
      </c>
      <c r="P440" t="str">
        <f t="shared" si="12"/>
        <v>F</v>
      </c>
      <c r="Q440" t="str">
        <f t="shared" si="13"/>
        <v>F</v>
      </c>
    </row>
    <row r="441" spans="1:17" hidden="1" x14ac:dyDescent="0.3">
      <c r="A441">
        <v>5235</v>
      </c>
      <c r="B441">
        <v>2907</v>
      </c>
      <c r="C441">
        <v>480</v>
      </c>
      <c r="D441" t="s">
        <v>19</v>
      </c>
      <c r="E441" t="s">
        <v>20</v>
      </c>
      <c r="F441" t="s">
        <v>17</v>
      </c>
      <c r="G441" t="s">
        <v>26</v>
      </c>
      <c r="H441">
        <v>275.8</v>
      </c>
      <c r="I441">
        <v>244</v>
      </c>
      <c r="J441">
        <v>94.4</v>
      </c>
      <c r="K441">
        <v>67.5</v>
      </c>
      <c r="L441">
        <v>24.4</v>
      </c>
      <c r="M441">
        <v>6</v>
      </c>
      <c r="N441">
        <v>0.14928253111589099</v>
      </c>
      <c r="O441">
        <v>0.21337309681000699</v>
      </c>
      <c r="P441" t="str">
        <f t="shared" si="12"/>
        <v>F</v>
      </c>
      <c r="Q441" t="str">
        <f t="shared" si="13"/>
        <v>F</v>
      </c>
    </row>
    <row r="442" spans="1:17" hidden="1" x14ac:dyDescent="0.3">
      <c r="A442">
        <v>5236</v>
      </c>
      <c r="B442">
        <v>2907</v>
      </c>
      <c r="C442">
        <v>480</v>
      </c>
      <c r="D442" t="s">
        <v>19</v>
      </c>
      <c r="E442" t="s">
        <v>20</v>
      </c>
      <c r="F442" t="s">
        <v>17</v>
      </c>
      <c r="G442" t="s">
        <v>26</v>
      </c>
      <c r="H442">
        <v>275.8</v>
      </c>
      <c r="I442">
        <v>244</v>
      </c>
      <c r="J442">
        <v>94.4</v>
      </c>
      <c r="K442">
        <v>67.5</v>
      </c>
      <c r="L442">
        <v>24.4</v>
      </c>
      <c r="M442">
        <v>6</v>
      </c>
      <c r="N442">
        <v>0.141733142175098</v>
      </c>
      <c r="O442">
        <v>0.20134844271978899</v>
      </c>
      <c r="P442" t="str">
        <f t="shared" si="12"/>
        <v>F</v>
      </c>
      <c r="Q442" t="str">
        <f t="shared" si="13"/>
        <v>F</v>
      </c>
    </row>
    <row r="443" spans="1:17" hidden="1" x14ac:dyDescent="0.3">
      <c r="A443">
        <v>5237</v>
      </c>
      <c r="B443">
        <v>2907</v>
      </c>
      <c r="C443">
        <v>480</v>
      </c>
      <c r="D443" t="s">
        <v>19</v>
      </c>
      <c r="E443" t="s">
        <v>20</v>
      </c>
      <c r="F443" t="s">
        <v>17</v>
      </c>
      <c r="G443" t="s">
        <v>26</v>
      </c>
      <c r="H443">
        <v>275.8</v>
      </c>
      <c r="I443">
        <v>244</v>
      </c>
      <c r="J443">
        <v>94.4</v>
      </c>
      <c r="K443">
        <v>67.5</v>
      </c>
      <c r="L443">
        <v>24.4</v>
      </c>
      <c r="M443">
        <v>6</v>
      </c>
      <c r="N443">
        <v>0.13337025854602999</v>
      </c>
      <c r="O443">
        <v>0.18563275026228501</v>
      </c>
      <c r="P443" t="str">
        <f t="shared" si="12"/>
        <v>F</v>
      </c>
      <c r="Q443" t="str">
        <f t="shared" si="13"/>
        <v>F</v>
      </c>
    </row>
    <row r="444" spans="1:17" hidden="1" x14ac:dyDescent="0.3">
      <c r="A444">
        <v>5239</v>
      </c>
      <c r="B444">
        <v>2908</v>
      </c>
      <c r="C444">
        <v>18</v>
      </c>
      <c r="D444" t="s">
        <v>19</v>
      </c>
      <c r="E444" t="s">
        <v>20</v>
      </c>
      <c r="F444" t="s">
        <v>21</v>
      </c>
      <c r="G444" t="s">
        <v>26</v>
      </c>
      <c r="H444">
        <v>271.39999999999998</v>
      </c>
      <c r="I444">
        <v>244</v>
      </c>
      <c r="J444">
        <v>97.3</v>
      </c>
      <c r="K444">
        <v>64</v>
      </c>
      <c r="L444">
        <v>23.3</v>
      </c>
      <c r="M444">
        <v>6.5</v>
      </c>
      <c r="N444">
        <v>0.27213752432570398</v>
      </c>
      <c r="O444">
        <v>2.9615445611411099E-2</v>
      </c>
      <c r="P444" t="str">
        <f t="shared" si="12"/>
        <v>F</v>
      </c>
      <c r="Q444" t="str">
        <f t="shared" si="13"/>
        <v>F</v>
      </c>
    </row>
    <row r="445" spans="1:17" hidden="1" x14ac:dyDescent="0.3">
      <c r="A445">
        <v>5305</v>
      </c>
      <c r="B445">
        <v>2929</v>
      </c>
      <c r="C445">
        <v>144</v>
      </c>
      <c r="D445" t="s">
        <v>19</v>
      </c>
      <c r="E445" t="s">
        <v>20</v>
      </c>
      <c r="F445" t="s">
        <v>21</v>
      </c>
      <c r="G445" t="s">
        <v>24</v>
      </c>
      <c r="H445">
        <v>268.89999999999998</v>
      </c>
      <c r="I445">
        <v>244.5</v>
      </c>
      <c r="J445">
        <v>93.6</v>
      </c>
      <c r="K445">
        <v>66</v>
      </c>
      <c r="L445">
        <v>26.2</v>
      </c>
      <c r="M445">
        <v>8</v>
      </c>
      <c r="N445">
        <v>0.21642121589677099</v>
      </c>
      <c r="O445">
        <v>2.3829747240593901E-2</v>
      </c>
      <c r="P445" t="str">
        <f t="shared" si="12"/>
        <v>F</v>
      </c>
      <c r="Q445" t="str">
        <f t="shared" si="13"/>
        <v>T</v>
      </c>
    </row>
    <row r="446" spans="1:17" hidden="1" x14ac:dyDescent="0.3">
      <c r="A446">
        <v>5311</v>
      </c>
      <c r="B446">
        <v>2930</v>
      </c>
      <c r="C446">
        <v>367</v>
      </c>
      <c r="D446" t="s">
        <v>19</v>
      </c>
      <c r="E446" t="s">
        <v>20</v>
      </c>
      <c r="F446" t="s">
        <v>21</v>
      </c>
      <c r="G446" t="s">
        <v>24</v>
      </c>
      <c r="H446">
        <v>272.10000000000002</v>
      </c>
      <c r="I446">
        <v>232</v>
      </c>
      <c r="J446">
        <v>91</v>
      </c>
      <c r="K446">
        <v>65.5</v>
      </c>
      <c r="L446">
        <v>23.9</v>
      </c>
      <c r="M446">
        <v>7.5</v>
      </c>
      <c r="N446">
        <v>0.16895753569159799</v>
      </c>
      <c r="O446">
        <v>0.102582538092078</v>
      </c>
      <c r="P446" t="str">
        <f t="shared" si="12"/>
        <v>F</v>
      </c>
      <c r="Q446" t="str">
        <f t="shared" si="13"/>
        <v>F</v>
      </c>
    </row>
    <row r="447" spans="1:17" hidden="1" x14ac:dyDescent="0.3">
      <c r="A447">
        <v>5312</v>
      </c>
      <c r="B447">
        <v>2930</v>
      </c>
      <c r="C447">
        <v>367</v>
      </c>
      <c r="D447" t="s">
        <v>19</v>
      </c>
      <c r="E447" t="s">
        <v>20</v>
      </c>
      <c r="F447" t="s">
        <v>21</v>
      </c>
      <c r="G447" t="s">
        <v>24</v>
      </c>
      <c r="H447">
        <v>272.10000000000002</v>
      </c>
      <c r="I447">
        <v>232</v>
      </c>
      <c r="J447">
        <v>91</v>
      </c>
      <c r="K447">
        <v>65.5</v>
      </c>
      <c r="L447">
        <v>23.9</v>
      </c>
      <c r="M447">
        <v>7.5</v>
      </c>
      <c r="N447">
        <v>0.15966172966818301</v>
      </c>
      <c r="O447">
        <v>0.114511231776376</v>
      </c>
      <c r="P447" t="str">
        <f t="shared" si="12"/>
        <v>F</v>
      </c>
      <c r="Q447" t="str">
        <f t="shared" si="13"/>
        <v>F</v>
      </c>
    </row>
    <row r="448" spans="1:17" hidden="1" x14ac:dyDescent="0.3">
      <c r="A448">
        <v>5329</v>
      </c>
      <c r="B448">
        <v>2936</v>
      </c>
      <c r="C448">
        <v>62</v>
      </c>
      <c r="D448" t="s">
        <v>19</v>
      </c>
      <c r="E448" t="s">
        <v>20</v>
      </c>
      <c r="F448" t="s">
        <v>17</v>
      </c>
      <c r="G448" t="s">
        <v>24</v>
      </c>
      <c r="H448">
        <v>274.5</v>
      </c>
      <c r="I448">
        <v>256.5</v>
      </c>
      <c r="J448">
        <v>98.4</v>
      </c>
      <c r="K448">
        <v>71.5</v>
      </c>
      <c r="L448">
        <v>29.3</v>
      </c>
      <c r="M448">
        <v>6</v>
      </c>
      <c r="N448">
        <v>0.25564855375863599</v>
      </c>
      <c r="O448">
        <v>0.14345537444557699</v>
      </c>
      <c r="P448" t="str">
        <f t="shared" si="12"/>
        <v>F</v>
      </c>
      <c r="Q448" t="str">
        <f t="shared" si="13"/>
        <v>F</v>
      </c>
    </row>
    <row r="449" spans="1:17" hidden="1" x14ac:dyDescent="0.3">
      <c r="A449">
        <v>5332</v>
      </c>
      <c r="B449">
        <v>2936</v>
      </c>
      <c r="C449">
        <v>62</v>
      </c>
      <c r="D449" t="s">
        <v>19</v>
      </c>
      <c r="E449" t="s">
        <v>20</v>
      </c>
      <c r="F449" t="s">
        <v>17</v>
      </c>
      <c r="G449" t="s">
        <v>24</v>
      </c>
      <c r="H449">
        <v>274.5</v>
      </c>
      <c r="I449">
        <v>256.5</v>
      </c>
      <c r="J449">
        <v>98.4</v>
      </c>
      <c r="K449">
        <v>71.5</v>
      </c>
      <c r="L449">
        <v>29.3</v>
      </c>
      <c r="M449">
        <v>6</v>
      </c>
      <c r="N449">
        <v>0.26894150014613599</v>
      </c>
      <c r="O449">
        <v>0.12582925903626199</v>
      </c>
      <c r="P449" t="str">
        <f t="shared" si="12"/>
        <v>F</v>
      </c>
      <c r="Q449" t="str">
        <f t="shared" si="13"/>
        <v>F</v>
      </c>
    </row>
    <row r="450" spans="1:17" hidden="1" x14ac:dyDescent="0.3">
      <c r="A450">
        <v>5360</v>
      </c>
      <c r="B450">
        <v>295</v>
      </c>
      <c r="C450">
        <v>480</v>
      </c>
      <c r="D450" t="s">
        <v>19</v>
      </c>
      <c r="E450" t="s">
        <v>20</v>
      </c>
      <c r="F450" t="s">
        <v>17</v>
      </c>
      <c r="G450" t="s">
        <v>26</v>
      </c>
      <c r="H450">
        <v>275.8</v>
      </c>
      <c r="I450">
        <v>244</v>
      </c>
      <c r="J450">
        <v>94.4</v>
      </c>
      <c r="K450">
        <v>67.5</v>
      </c>
      <c r="L450">
        <v>24.4</v>
      </c>
      <c r="M450">
        <v>6</v>
      </c>
      <c r="N450">
        <v>0.16288879347976801</v>
      </c>
      <c r="O450">
        <v>0.205257117828125</v>
      </c>
      <c r="P450" t="str">
        <f t="shared" si="12"/>
        <v>F</v>
      </c>
      <c r="Q450" t="str">
        <f t="shared" si="13"/>
        <v>F</v>
      </c>
    </row>
    <row r="451" spans="1:17" hidden="1" x14ac:dyDescent="0.3">
      <c r="A451">
        <v>5361</v>
      </c>
      <c r="B451">
        <v>295</v>
      </c>
      <c r="C451">
        <v>480</v>
      </c>
      <c r="D451" t="s">
        <v>19</v>
      </c>
      <c r="E451" t="s">
        <v>20</v>
      </c>
      <c r="F451" t="s">
        <v>17</v>
      </c>
      <c r="G451" t="s">
        <v>26</v>
      </c>
      <c r="H451">
        <v>275.8</v>
      </c>
      <c r="I451">
        <v>244</v>
      </c>
      <c r="J451">
        <v>94.4</v>
      </c>
      <c r="K451">
        <v>67.5</v>
      </c>
      <c r="L451">
        <v>24.4</v>
      </c>
      <c r="M451">
        <v>6</v>
      </c>
      <c r="N451">
        <v>0.13133163833858799</v>
      </c>
      <c r="O451">
        <v>0.19439061222538501</v>
      </c>
      <c r="P451" t="str">
        <f t="shared" ref="P451:P514" si="14">IF(N451&lt;0.06641, "T", "F")</f>
        <v>F</v>
      </c>
      <c r="Q451" t="str">
        <f t="shared" ref="Q451:Q514" si="15">IF(O451&lt;0.027899, "T", "F")</f>
        <v>F</v>
      </c>
    </row>
    <row r="452" spans="1:17" hidden="1" x14ac:dyDescent="0.3">
      <c r="A452">
        <v>5416</v>
      </c>
      <c r="B452">
        <v>2967</v>
      </c>
      <c r="C452">
        <v>112</v>
      </c>
      <c r="D452" t="s">
        <v>19</v>
      </c>
      <c r="E452" t="s">
        <v>20</v>
      </c>
      <c r="F452" t="s">
        <v>21</v>
      </c>
      <c r="G452" t="s">
        <v>26</v>
      </c>
      <c r="H452">
        <v>277.2</v>
      </c>
      <c r="I452">
        <v>249</v>
      </c>
      <c r="J452">
        <v>95</v>
      </c>
      <c r="K452">
        <v>64</v>
      </c>
      <c r="L452">
        <v>29.1</v>
      </c>
      <c r="M452">
        <v>7</v>
      </c>
      <c r="N452">
        <v>0.18491102152061301</v>
      </c>
      <c r="O452">
        <v>0.12746219933277</v>
      </c>
      <c r="P452" t="str">
        <f t="shared" si="14"/>
        <v>F</v>
      </c>
      <c r="Q452" t="str">
        <f t="shared" si="15"/>
        <v>F</v>
      </c>
    </row>
    <row r="453" spans="1:17" hidden="1" x14ac:dyDescent="0.3">
      <c r="A453">
        <v>5424</v>
      </c>
      <c r="B453">
        <v>2970</v>
      </c>
      <c r="C453">
        <v>274</v>
      </c>
      <c r="D453" t="s">
        <v>19</v>
      </c>
      <c r="E453" t="s">
        <v>20</v>
      </c>
      <c r="F453" t="s">
        <v>17</v>
      </c>
      <c r="G453" t="s">
        <v>22</v>
      </c>
      <c r="H453">
        <v>270.8</v>
      </c>
      <c r="I453">
        <v>241</v>
      </c>
      <c r="J453">
        <v>93</v>
      </c>
      <c r="K453">
        <v>61.5</v>
      </c>
      <c r="L453">
        <v>24.5</v>
      </c>
      <c r="M453">
        <v>11.5</v>
      </c>
      <c r="N453">
        <v>0.11752996129981599</v>
      </c>
      <c r="O453">
        <v>0.194383478651209</v>
      </c>
      <c r="P453" t="str">
        <f t="shared" si="14"/>
        <v>F</v>
      </c>
      <c r="Q453" t="str">
        <f t="shared" si="15"/>
        <v>F</v>
      </c>
    </row>
    <row r="454" spans="1:17" hidden="1" x14ac:dyDescent="0.3">
      <c r="A454">
        <v>5451</v>
      </c>
      <c r="B454">
        <v>2985</v>
      </c>
      <c r="C454">
        <v>269</v>
      </c>
      <c r="D454" t="s">
        <v>19</v>
      </c>
      <c r="E454" t="s">
        <v>20</v>
      </c>
      <c r="F454" t="s">
        <v>21</v>
      </c>
      <c r="G454" t="s">
        <v>22</v>
      </c>
      <c r="H454">
        <v>273.8</v>
      </c>
      <c r="I454">
        <v>243</v>
      </c>
      <c r="J454">
        <v>91.5</v>
      </c>
      <c r="K454">
        <v>66</v>
      </c>
      <c r="L454">
        <v>24.8</v>
      </c>
      <c r="M454">
        <v>8.5</v>
      </c>
      <c r="N454">
        <v>8.6405787148824104E-2</v>
      </c>
      <c r="O454">
        <v>0.122149303941126</v>
      </c>
      <c r="P454" t="str">
        <f t="shared" si="14"/>
        <v>F</v>
      </c>
      <c r="Q454" t="str">
        <f t="shared" si="15"/>
        <v>F</v>
      </c>
    </row>
    <row r="455" spans="1:17" hidden="1" x14ac:dyDescent="0.3">
      <c r="A455">
        <v>5452</v>
      </c>
      <c r="B455">
        <v>2985</v>
      </c>
      <c r="C455">
        <v>269</v>
      </c>
      <c r="D455" t="s">
        <v>19</v>
      </c>
      <c r="E455" t="s">
        <v>20</v>
      </c>
      <c r="F455" t="s">
        <v>21</v>
      </c>
      <c r="G455" t="s">
        <v>22</v>
      </c>
      <c r="H455">
        <v>273.8</v>
      </c>
      <c r="I455">
        <v>243</v>
      </c>
      <c r="J455">
        <v>91.5</v>
      </c>
      <c r="K455">
        <v>66</v>
      </c>
      <c r="L455">
        <v>24.8</v>
      </c>
      <c r="M455">
        <v>8.5</v>
      </c>
      <c r="N455">
        <v>7.9950418655879693E-2</v>
      </c>
      <c r="O455">
        <v>0.12299788043016301</v>
      </c>
      <c r="P455" t="str">
        <f t="shared" si="14"/>
        <v>F</v>
      </c>
      <c r="Q455" t="str">
        <f t="shared" si="15"/>
        <v>F</v>
      </c>
    </row>
    <row r="456" spans="1:17" hidden="1" x14ac:dyDescent="0.3">
      <c r="A456">
        <v>5453</v>
      </c>
      <c r="B456">
        <v>2985</v>
      </c>
      <c r="C456">
        <v>269</v>
      </c>
      <c r="D456" t="s">
        <v>19</v>
      </c>
      <c r="E456" t="s">
        <v>20</v>
      </c>
      <c r="F456" t="s">
        <v>21</v>
      </c>
      <c r="G456" t="s">
        <v>22</v>
      </c>
      <c r="H456">
        <v>273.8</v>
      </c>
      <c r="I456">
        <v>243</v>
      </c>
      <c r="J456">
        <v>91.5</v>
      </c>
      <c r="K456">
        <v>66</v>
      </c>
      <c r="L456">
        <v>24.8</v>
      </c>
      <c r="M456">
        <v>8.5</v>
      </c>
      <c r="N456">
        <v>0.102137885848545</v>
      </c>
      <c r="O456">
        <v>0.148104515924252</v>
      </c>
      <c r="P456" t="str">
        <f t="shared" si="14"/>
        <v>F</v>
      </c>
      <c r="Q456" t="str">
        <f t="shared" si="15"/>
        <v>F</v>
      </c>
    </row>
    <row r="457" spans="1:17" hidden="1" x14ac:dyDescent="0.3">
      <c r="A457">
        <v>5454</v>
      </c>
      <c r="B457">
        <v>2985</v>
      </c>
      <c r="C457">
        <v>269</v>
      </c>
      <c r="D457" t="s">
        <v>19</v>
      </c>
      <c r="E457" t="s">
        <v>20</v>
      </c>
      <c r="F457" t="s">
        <v>21</v>
      </c>
      <c r="G457" t="s">
        <v>22</v>
      </c>
      <c r="H457">
        <v>273.8</v>
      </c>
      <c r="I457">
        <v>243</v>
      </c>
      <c r="J457">
        <v>91.5</v>
      </c>
      <c r="K457">
        <v>66</v>
      </c>
      <c r="L457">
        <v>24.8</v>
      </c>
      <c r="M457">
        <v>8.5</v>
      </c>
      <c r="N457">
        <v>9.5409204640269696E-2</v>
      </c>
      <c r="O457">
        <v>0.118022918490648</v>
      </c>
      <c r="P457" t="str">
        <f t="shared" si="14"/>
        <v>F</v>
      </c>
      <c r="Q457" t="str">
        <f t="shared" si="15"/>
        <v>F</v>
      </c>
    </row>
    <row r="458" spans="1:17" hidden="1" x14ac:dyDescent="0.3">
      <c r="A458">
        <v>5480</v>
      </c>
      <c r="B458">
        <v>2995</v>
      </c>
      <c r="C458">
        <v>99</v>
      </c>
      <c r="D458" t="s">
        <v>19</v>
      </c>
      <c r="E458" t="s">
        <v>20</v>
      </c>
      <c r="F458" t="s">
        <v>21</v>
      </c>
      <c r="G458" t="s">
        <v>25</v>
      </c>
      <c r="H458">
        <v>277</v>
      </c>
      <c r="I458">
        <v>257</v>
      </c>
      <c r="J458">
        <v>99.7</v>
      </c>
      <c r="K458">
        <v>69</v>
      </c>
      <c r="L458">
        <v>26.4</v>
      </c>
      <c r="M458">
        <v>7.5</v>
      </c>
      <c r="N458">
        <v>0.124385399639484</v>
      </c>
      <c r="O458">
        <v>4.6194767515729901E-2</v>
      </c>
      <c r="P458" t="str">
        <f t="shared" si="14"/>
        <v>F</v>
      </c>
      <c r="Q458" t="str">
        <f t="shared" si="15"/>
        <v>F</v>
      </c>
    </row>
    <row r="459" spans="1:17" hidden="1" x14ac:dyDescent="0.3">
      <c r="A459">
        <v>5481</v>
      </c>
      <c r="B459">
        <v>2995</v>
      </c>
      <c r="C459">
        <v>99</v>
      </c>
      <c r="D459" t="s">
        <v>19</v>
      </c>
      <c r="E459" t="s">
        <v>20</v>
      </c>
      <c r="F459" t="s">
        <v>21</v>
      </c>
      <c r="G459" t="s">
        <v>25</v>
      </c>
      <c r="H459">
        <v>277</v>
      </c>
      <c r="I459">
        <v>257</v>
      </c>
      <c r="J459">
        <v>99.7</v>
      </c>
      <c r="K459">
        <v>69</v>
      </c>
      <c r="L459">
        <v>26.4</v>
      </c>
      <c r="M459">
        <v>7.5</v>
      </c>
      <c r="N459">
        <v>0.10151016358059201</v>
      </c>
      <c r="O459">
        <v>5.3041260281537599E-2</v>
      </c>
      <c r="P459" t="str">
        <f t="shared" si="14"/>
        <v>F</v>
      </c>
      <c r="Q459" t="str">
        <f t="shared" si="15"/>
        <v>F</v>
      </c>
    </row>
    <row r="460" spans="1:17" hidden="1" x14ac:dyDescent="0.3">
      <c r="A460">
        <v>5482</v>
      </c>
      <c r="B460">
        <v>2995</v>
      </c>
      <c r="C460">
        <v>99</v>
      </c>
      <c r="D460" t="s">
        <v>19</v>
      </c>
      <c r="E460" t="s">
        <v>20</v>
      </c>
      <c r="F460" t="s">
        <v>21</v>
      </c>
      <c r="G460" t="s">
        <v>25</v>
      </c>
      <c r="H460">
        <v>277</v>
      </c>
      <c r="I460">
        <v>257</v>
      </c>
      <c r="J460">
        <v>99.7</v>
      </c>
      <c r="K460">
        <v>69</v>
      </c>
      <c r="L460">
        <v>26.4</v>
      </c>
      <c r="M460">
        <v>7.5</v>
      </c>
      <c r="N460">
        <v>9.9426307244745896E-2</v>
      </c>
      <c r="O460">
        <v>4.4665855508795101E-2</v>
      </c>
      <c r="P460" t="str">
        <f t="shared" si="14"/>
        <v>F</v>
      </c>
      <c r="Q460" t="str">
        <f t="shared" si="15"/>
        <v>F</v>
      </c>
    </row>
    <row r="461" spans="1:17" hidden="1" x14ac:dyDescent="0.3">
      <c r="A461">
        <v>5484</v>
      </c>
      <c r="B461">
        <v>2998</v>
      </c>
      <c r="C461">
        <v>341</v>
      </c>
      <c r="D461" t="s">
        <v>19</v>
      </c>
      <c r="E461" t="s">
        <v>20</v>
      </c>
      <c r="F461" t="s">
        <v>21</v>
      </c>
      <c r="G461" t="s">
        <v>25</v>
      </c>
      <c r="H461">
        <v>273</v>
      </c>
      <c r="I461">
        <v>246.5</v>
      </c>
      <c r="J461">
        <v>95.4</v>
      </c>
      <c r="K461">
        <v>66.5</v>
      </c>
      <c r="L461">
        <v>26.4</v>
      </c>
      <c r="M461">
        <v>11</v>
      </c>
      <c r="N461">
        <v>0.29392567866746999</v>
      </c>
      <c r="O461">
        <v>6.8391178876741898E-2</v>
      </c>
      <c r="P461" t="str">
        <f t="shared" si="14"/>
        <v>F</v>
      </c>
      <c r="Q461" t="str">
        <f t="shared" si="15"/>
        <v>F</v>
      </c>
    </row>
    <row r="462" spans="1:17" hidden="1" x14ac:dyDescent="0.3">
      <c r="A462">
        <v>5485</v>
      </c>
      <c r="B462">
        <v>2998</v>
      </c>
      <c r="C462">
        <v>341</v>
      </c>
      <c r="D462" t="s">
        <v>19</v>
      </c>
      <c r="E462" t="s">
        <v>20</v>
      </c>
      <c r="F462" t="s">
        <v>21</v>
      </c>
      <c r="G462" t="s">
        <v>25</v>
      </c>
      <c r="H462">
        <v>273</v>
      </c>
      <c r="I462">
        <v>246.5</v>
      </c>
      <c r="J462">
        <v>95.4</v>
      </c>
      <c r="K462">
        <v>66.5</v>
      </c>
      <c r="L462">
        <v>26.4</v>
      </c>
      <c r="M462">
        <v>11</v>
      </c>
      <c r="N462">
        <v>0.29112428624790598</v>
      </c>
      <c r="O462">
        <v>9.2757800030767307E-2</v>
      </c>
      <c r="P462" t="str">
        <f t="shared" si="14"/>
        <v>F</v>
      </c>
      <c r="Q462" t="str">
        <f t="shared" si="15"/>
        <v>F</v>
      </c>
    </row>
    <row r="463" spans="1:17" hidden="1" x14ac:dyDescent="0.3">
      <c r="A463">
        <v>5487</v>
      </c>
      <c r="B463">
        <v>2999</v>
      </c>
      <c r="C463">
        <v>102</v>
      </c>
      <c r="D463" t="s">
        <v>19</v>
      </c>
      <c r="E463" t="s">
        <v>20</v>
      </c>
      <c r="F463" t="s">
        <v>21</v>
      </c>
      <c r="G463" t="s">
        <v>25</v>
      </c>
      <c r="H463">
        <v>273.60000000000002</v>
      </c>
      <c r="I463">
        <v>246</v>
      </c>
      <c r="J463">
        <v>93.6</v>
      </c>
      <c r="K463">
        <v>64.5</v>
      </c>
      <c r="L463">
        <v>25.6</v>
      </c>
      <c r="M463">
        <v>1.5</v>
      </c>
      <c r="N463">
        <v>0.18880667788862401</v>
      </c>
      <c r="O463">
        <v>0.196268365718376</v>
      </c>
      <c r="P463" t="str">
        <f t="shared" si="14"/>
        <v>F</v>
      </c>
      <c r="Q463" t="str">
        <f t="shared" si="15"/>
        <v>F</v>
      </c>
    </row>
    <row r="464" spans="1:17" hidden="1" x14ac:dyDescent="0.3">
      <c r="A464">
        <v>5488</v>
      </c>
      <c r="B464">
        <v>2999</v>
      </c>
      <c r="C464">
        <v>102</v>
      </c>
      <c r="D464" t="s">
        <v>19</v>
      </c>
      <c r="E464" t="s">
        <v>20</v>
      </c>
      <c r="F464" t="s">
        <v>21</v>
      </c>
      <c r="G464" t="s">
        <v>25</v>
      </c>
      <c r="H464">
        <v>273.60000000000002</v>
      </c>
      <c r="I464">
        <v>246</v>
      </c>
      <c r="J464">
        <v>93.6</v>
      </c>
      <c r="K464">
        <v>64.5</v>
      </c>
      <c r="L464">
        <v>25.6</v>
      </c>
      <c r="M464">
        <v>1.5</v>
      </c>
      <c r="N464">
        <v>0.18333107419484801</v>
      </c>
      <c r="O464">
        <v>0.207081016062926</v>
      </c>
      <c r="P464" t="str">
        <f t="shared" si="14"/>
        <v>F</v>
      </c>
      <c r="Q464" t="str">
        <f t="shared" si="15"/>
        <v>F</v>
      </c>
    </row>
    <row r="465" spans="1:17" hidden="1" x14ac:dyDescent="0.3">
      <c r="A465">
        <v>5521</v>
      </c>
      <c r="B465">
        <v>301</v>
      </c>
      <c r="C465">
        <v>269</v>
      </c>
      <c r="D465" t="s">
        <v>19</v>
      </c>
      <c r="E465" t="s">
        <v>20</v>
      </c>
      <c r="F465" t="s">
        <v>21</v>
      </c>
      <c r="G465" t="s">
        <v>22</v>
      </c>
      <c r="H465">
        <v>273.8</v>
      </c>
      <c r="I465">
        <v>243</v>
      </c>
      <c r="J465">
        <v>91.5</v>
      </c>
      <c r="K465">
        <v>66</v>
      </c>
      <c r="L465">
        <v>24.8</v>
      </c>
      <c r="M465">
        <v>8.5</v>
      </c>
      <c r="N465">
        <v>9.5391786272806894E-2</v>
      </c>
      <c r="O465">
        <v>0.14916569215234901</v>
      </c>
      <c r="P465" t="str">
        <f t="shared" si="14"/>
        <v>F</v>
      </c>
      <c r="Q465" t="str">
        <f t="shared" si="15"/>
        <v>F</v>
      </c>
    </row>
    <row r="466" spans="1:17" hidden="1" x14ac:dyDescent="0.3">
      <c r="A466">
        <v>5522</v>
      </c>
      <c r="B466">
        <v>301</v>
      </c>
      <c r="C466">
        <v>269</v>
      </c>
      <c r="D466" t="s">
        <v>19</v>
      </c>
      <c r="E466" t="s">
        <v>20</v>
      </c>
      <c r="F466" t="s">
        <v>21</v>
      </c>
      <c r="G466" t="s">
        <v>22</v>
      </c>
      <c r="H466">
        <v>273.8</v>
      </c>
      <c r="I466">
        <v>243</v>
      </c>
      <c r="J466">
        <v>91.5</v>
      </c>
      <c r="K466">
        <v>66</v>
      </c>
      <c r="L466">
        <v>24.8</v>
      </c>
      <c r="M466">
        <v>8.5</v>
      </c>
      <c r="N466">
        <v>9.8089428220880806E-2</v>
      </c>
      <c r="O466">
        <v>0.14814781845403599</v>
      </c>
      <c r="P466" t="str">
        <f t="shared" si="14"/>
        <v>F</v>
      </c>
      <c r="Q466" t="str">
        <f t="shared" si="15"/>
        <v>F</v>
      </c>
    </row>
    <row r="467" spans="1:17" hidden="1" x14ac:dyDescent="0.3">
      <c r="A467">
        <v>5523</v>
      </c>
      <c r="B467">
        <v>301</v>
      </c>
      <c r="C467">
        <v>269</v>
      </c>
      <c r="D467" t="s">
        <v>19</v>
      </c>
      <c r="E467" t="s">
        <v>20</v>
      </c>
      <c r="F467" t="s">
        <v>21</v>
      </c>
      <c r="G467" t="s">
        <v>22</v>
      </c>
      <c r="H467">
        <v>273.8</v>
      </c>
      <c r="I467">
        <v>243</v>
      </c>
      <c r="J467">
        <v>91.5</v>
      </c>
      <c r="K467">
        <v>66</v>
      </c>
      <c r="L467">
        <v>24.8</v>
      </c>
      <c r="M467">
        <v>8.5</v>
      </c>
      <c r="N467">
        <v>9.1092166959092002E-2</v>
      </c>
      <c r="O467">
        <v>0.14891832345625799</v>
      </c>
      <c r="P467" t="str">
        <f t="shared" si="14"/>
        <v>F</v>
      </c>
      <c r="Q467" t="str">
        <f t="shared" si="15"/>
        <v>F</v>
      </c>
    </row>
    <row r="468" spans="1:17" hidden="1" x14ac:dyDescent="0.3">
      <c r="A468">
        <v>5629</v>
      </c>
      <c r="B468">
        <v>3045</v>
      </c>
      <c r="C468">
        <v>320</v>
      </c>
      <c r="D468" t="s">
        <v>19</v>
      </c>
      <c r="E468" t="s">
        <v>20</v>
      </c>
      <c r="F468" t="s">
        <v>21</v>
      </c>
      <c r="G468" t="s">
        <v>22</v>
      </c>
      <c r="H468">
        <v>279</v>
      </c>
      <c r="I468">
        <v>253.5</v>
      </c>
      <c r="J468">
        <v>97.1</v>
      </c>
      <c r="K468">
        <v>64</v>
      </c>
      <c r="L468">
        <v>24</v>
      </c>
      <c r="M468">
        <v>8</v>
      </c>
      <c r="N468">
        <v>0.161513305679893</v>
      </c>
      <c r="O468">
        <v>4.8705737475577202E-2</v>
      </c>
      <c r="P468" t="str">
        <f t="shared" si="14"/>
        <v>F</v>
      </c>
      <c r="Q468" t="str">
        <f t="shared" si="15"/>
        <v>F</v>
      </c>
    </row>
    <row r="469" spans="1:17" hidden="1" x14ac:dyDescent="0.3">
      <c r="A469">
        <v>5630</v>
      </c>
      <c r="B469">
        <v>3045</v>
      </c>
      <c r="C469">
        <v>320</v>
      </c>
      <c r="D469" t="s">
        <v>19</v>
      </c>
      <c r="E469" t="s">
        <v>20</v>
      </c>
      <c r="F469" t="s">
        <v>21</v>
      </c>
      <c r="G469" t="s">
        <v>22</v>
      </c>
      <c r="H469">
        <v>279</v>
      </c>
      <c r="I469">
        <v>253.5</v>
      </c>
      <c r="J469">
        <v>97.1</v>
      </c>
      <c r="K469">
        <v>64</v>
      </c>
      <c r="L469">
        <v>24</v>
      </c>
      <c r="M469">
        <v>8</v>
      </c>
      <c r="N469">
        <v>0.14710311335805301</v>
      </c>
      <c r="O469">
        <v>3.1503928305807297E-2</v>
      </c>
      <c r="P469" t="str">
        <f t="shared" si="14"/>
        <v>F</v>
      </c>
      <c r="Q469" t="str">
        <f t="shared" si="15"/>
        <v>F</v>
      </c>
    </row>
    <row r="470" spans="1:17" hidden="1" x14ac:dyDescent="0.3">
      <c r="A470">
        <v>5631</v>
      </c>
      <c r="B470">
        <v>3045</v>
      </c>
      <c r="C470">
        <v>320</v>
      </c>
      <c r="D470" t="s">
        <v>19</v>
      </c>
      <c r="E470" t="s">
        <v>20</v>
      </c>
      <c r="F470" t="s">
        <v>21</v>
      </c>
      <c r="G470" t="s">
        <v>22</v>
      </c>
      <c r="H470">
        <v>279</v>
      </c>
      <c r="I470">
        <v>253.5</v>
      </c>
      <c r="J470">
        <v>97.1</v>
      </c>
      <c r="K470">
        <v>64</v>
      </c>
      <c r="L470">
        <v>24</v>
      </c>
      <c r="M470">
        <v>8</v>
      </c>
      <c r="N470">
        <v>0.13720186165051801</v>
      </c>
      <c r="O470">
        <v>3.4928079174912099E-2</v>
      </c>
      <c r="P470" t="str">
        <f t="shared" si="14"/>
        <v>F</v>
      </c>
      <c r="Q470" t="str">
        <f t="shared" si="15"/>
        <v>F</v>
      </c>
    </row>
    <row r="471" spans="1:17" hidden="1" x14ac:dyDescent="0.3">
      <c r="A471">
        <v>5632</v>
      </c>
      <c r="B471">
        <v>3045</v>
      </c>
      <c r="C471">
        <v>320</v>
      </c>
      <c r="D471" t="s">
        <v>19</v>
      </c>
      <c r="E471" t="s">
        <v>20</v>
      </c>
      <c r="F471" t="s">
        <v>21</v>
      </c>
      <c r="G471" t="s">
        <v>22</v>
      </c>
      <c r="H471">
        <v>279</v>
      </c>
      <c r="I471">
        <v>253.5</v>
      </c>
      <c r="J471">
        <v>97.1</v>
      </c>
      <c r="K471">
        <v>64</v>
      </c>
      <c r="L471">
        <v>24</v>
      </c>
      <c r="M471">
        <v>8</v>
      </c>
      <c r="N471">
        <v>0.17487663146872801</v>
      </c>
      <c r="O471">
        <v>2.0461124918707298E-2</v>
      </c>
      <c r="P471" t="str">
        <f t="shared" si="14"/>
        <v>F</v>
      </c>
      <c r="Q471" t="str">
        <f t="shared" si="15"/>
        <v>T</v>
      </c>
    </row>
    <row r="472" spans="1:17" hidden="1" x14ac:dyDescent="0.3">
      <c r="A472">
        <v>5633</v>
      </c>
      <c r="B472">
        <v>3045</v>
      </c>
      <c r="C472">
        <v>320</v>
      </c>
      <c r="D472" t="s">
        <v>19</v>
      </c>
      <c r="E472" t="s">
        <v>20</v>
      </c>
      <c r="F472" t="s">
        <v>21</v>
      </c>
      <c r="G472" t="s">
        <v>22</v>
      </c>
      <c r="H472">
        <v>279</v>
      </c>
      <c r="I472">
        <v>253.5</v>
      </c>
      <c r="J472">
        <v>97.1</v>
      </c>
      <c r="K472">
        <v>64</v>
      </c>
      <c r="L472">
        <v>24</v>
      </c>
      <c r="M472">
        <v>8</v>
      </c>
      <c r="N472">
        <v>0.16227629328307699</v>
      </c>
      <c r="O472">
        <v>4.6591736658286302E-2</v>
      </c>
      <c r="P472" t="str">
        <f t="shared" si="14"/>
        <v>F</v>
      </c>
      <c r="Q472" t="str">
        <f t="shared" si="15"/>
        <v>F</v>
      </c>
    </row>
    <row r="473" spans="1:17" hidden="1" x14ac:dyDescent="0.3">
      <c r="A473">
        <v>5634</v>
      </c>
      <c r="B473">
        <v>3046</v>
      </c>
      <c r="C473">
        <v>341</v>
      </c>
      <c r="D473" t="s">
        <v>19</v>
      </c>
      <c r="E473" t="s">
        <v>20</v>
      </c>
      <c r="F473" t="s">
        <v>17</v>
      </c>
      <c r="G473" t="s">
        <v>22</v>
      </c>
      <c r="H473">
        <v>273</v>
      </c>
      <c r="I473">
        <v>246.5</v>
      </c>
      <c r="J473">
        <v>95.4</v>
      </c>
      <c r="K473">
        <v>66.5</v>
      </c>
      <c r="L473">
        <v>26.4</v>
      </c>
      <c r="M473">
        <v>11</v>
      </c>
      <c r="N473">
        <v>0.305371083687492</v>
      </c>
      <c r="O473">
        <v>8.1530658139492201E-2</v>
      </c>
      <c r="P473" t="str">
        <f t="shared" si="14"/>
        <v>F</v>
      </c>
      <c r="Q473" t="str">
        <f t="shared" si="15"/>
        <v>F</v>
      </c>
    </row>
    <row r="474" spans="1:17" hidden="1" x14ac:dyDescent="0.3">
      <c r="A474">
        <v>5635</v>
      </c>
      <c r="B474">
        <v>3046</v>
      </c>
      <c r="C474">
        <v>341</v>
      </c>
      <c r="D474" t="s">
        <v>19</v>
      </c>
      <c r="E474" t="s">
        <v>20</v>
      </c>
      <c r="F474" t="s">
        <v>17</v>
      </c>
      <c r="G474" t="s">
        <v>22</v>
      </c>
      <c r="H474">
        <v>273</v>
      </c>
      <c r="I474">
        <v>246.5</v>
      </c>
      <c r="J474">
        <v>95.4</v>
      </c>
      <c r="K474">
        <v>66.5</v>
      </c>
      <c r="L474">
        <v>26.4</v>
      </c>
      <c r="M474">
        <v>11</v>
      </c>
      <c r="N474">
        <v>0.27694203280474899</v>
      </c>
      <c r="O474">
        <v>9.5234348771504301E-2</v>
      </c>
      <c r="P474" t="str">
        <f t="shared" si="14"/>
        <v>F</v>
      </c>
      <c r="Q474" t="str">
        <f t="shared" si="15"/>
        <v>F</v>
      </c>
    </row>
    <row r="475" spans="1:17" hidden="1" x14ac:dyDescent="0.3">
      <c r="A475">
        <v>5643</v>
      </c>
      <c r="B475">
        <v>3050</v>
      </c>
      <c r="C475">
        <v>32</v>
      </c>
      <c r="D475" t="s">
        <v>19</v>
      </c>
      <c r="E475" t="s">
        <v>20</v>
      </c>
      <c r="F475" t="s">
        <v>17</v>
      </c>
      <c r="G475" t="s">
        <v>18</v>
      </c>
      <c r="H475">
        <v>274.8</v>
      </c>
      <c r="I475">
        <v>261</v>
      </c>
      <c r="J475">
        <v>101</v>
      </c>
      <c r="K475">
        <v>66</v>
      </c>
      <c r="L475">
        <v>24.4</v>
      </c>
      <c r="M475">
        <v>8.5</v>
      </c>
      <c r="N475">
        <v>0.13091577619146</v>
      </c>
      <c r="O475">
        <v>0.159749942958126</v>
      </c>
      <c r="P475" t="str">
        <f t="shared" si="14"/>
        <v>F</v>
      </c>
      <c r="Q475" t="str">
        <f t="shared" si="15"/>
        <v>F</v>
      </c>
    </row>
    <row r="476" spans="1:17" hidden="1" x14ac:dyDescent="0.3">
      <c r="A476">
        <v>5644</v>
      </c>
      <c r="B476">
        <v>3050</v>
      </c>
      <c r="C476">
        <v>32</v>
      </c>
      <c r="D476" t="s">
        <v>19</v>
      </c>
      <c r="E476" t="s">
        <v>20</v>
      </c>
      <c r="F476" t="s">
        <v>17</v>
      </c>
      <c r="G476" t="s">
        <v>18</v>
      </c>
      <c r="H476">
        <v>274.8</v>
      </c>
      <c r="I476">
        <v>261</v>
      </c>
      <c r="J476">
        <v>101</v>
      </c>
      <c r="K476">
        <v>66</v>
      </c>
      <c r="L476">
        <v>24.4</v>
      </c>
      <c r="M476">
        <v>8.5</v>
      </c>
      <c r="N476">
        <v>0.109536401845158</v>
      </c>
      <c r="O476">
        <v>0.14679386614394599</v>
      </c>
      <c r="P476" t="str">
        <f t="shared" si="14"/>
        <v>F</v>
      </c>
      <c r="Q476" t="str">
        <f t="shared" si="15"/>
        <v>F</v>
      </c>
    </row>
    <row r="477" spans="1:17" hidden="1" x14ac:dyDescent="0.3">
      <c r="A477">
        <v>5773</v>
      </c>
      <c r="B477">
        <v>3101</v>
      </c>
      <c r="C477">
        <v>27</v>
      </c>
      <c r="D477" t="s">
        <v>19</v>
      </c>
      <c r="E477" t="s">
        <v>20</v>
      </c>
      <c r="F477" t="s">
        <v>21</v>
      </c>
      <c r="G477" t="s">
        <v>26</v>
      </c>
      <c r="H477">
        <v>276.60000000000002</v>
      </c>
      <c r="I477">
        <v>251.5</v>
      </c>
      <c r="J477">
        <v>95.3</v>
      </c>
      <c r="K477">
        <v>67.5</v>
      </c>
      <c r="L477">
        <v>29.7</v>
      </c>
      <c r="M477">
        <v>2</v>
      </c>
      <c r="N477">
        <v>0.156425272275005</v>
      </c>
      <c r="O477">
        <v>0.136197622509386</v>
      </c>
      <c r="P477" t="str">
        <f t="shared" si="14"/>
        <v>F</v>
      </c>
      <c r="Q477" t="str">
        <f t="shared" si="15"/>
        <v>F</v>
      </c>
    </row>
    <row r="478" spans="1:17" hidden="1" x14ac:dyDescent="0.3">
      <c r="A478">
        <v>5774</v>
      </c>
      <c r="B478">
        <v>3101</v>
      </c>
      <c r="C478">
        <v>27</v>
      </c>
      <c r="D478" t="s">
        <v>19</v>
      </c>
      <c r="E478" t="s">
        <v>20</v>
      </c>
      <c r="F478" t="s">
        <v>21</v>
      </c>
      <c r="G478" t="s">
        <v>26</v>
      </c>
      <c r="H478">
        <v>276.60000000000002</v>
      </c>
      <c r="I478">
        <v>251.5</v>
      </c>
      <c r="J478">
        <v>95.3</v>
      </c>
      <c r="K478">
        <v>67.5</v>
      </c>
      <c r="L478">
        <v>29.7</v>
      </c>
      <c r="M478">
        <v>2</v>
      </c>
      <c r="N478">
        <v>0.145898468436094</v>
      </c>
      <c r="O478">
        <v>0.15930394667195999</v>
      </c>
      <c r="P478" t="str">
        <f t="shared" si="14"/>
        <v>F</v>
      </c>
      <c r="Q478" t="str">
        <f t="shared" si="15"/>
        <v>F</v>
      </c>
    </row>
    <row r="479" spans="1:17" hidden="1" x14ac:dyDescent="0.3">
      <c r="A479">
        <v>5789</v>
      </c>
      <c r="B479">
        <v>3108</v>
      </c>
      <c r="C479">
        <v>102</v>
      </c>
      <c r="D479" t="s">
        <v>19</v>
      </c>
      <c r="E479" t="s">
        <v>20</v>
      </c>
      <c r="F479" t="s">
        <v>17</v>
      </c>
      <c r="G479" t="s">
        <v>18</v>
      </c>
      <c r="H479">
        <v>273.60000000000002</v>
      </c>
      <c r="I479">
        <v>246</v>
      </c>
      <c r="J479">
        <v>93.6</v>
      </c>
      <c r="K479">
        <v>64.5</v>
      </c>
      <c r="L479">
        <v>25.6</v>
      </c>
      <c r="M479">
        <v>1.5</v>
      </c>
      <c r="N479">
        <v>0.14982882757838401</v>
      </c>
      <c r="O479">
        <v>0.191745046755461</v>
      </c>
      <c r="P479" t="str">
        <f t="shared" si="14"/>
        <v>F</v>
      </c>
      <c r="Q479" t="str">
        <f t="shared" si="15"/>
        <v>F</v>
      </c>
    </row>
    <row r="480" spans="1:17" hidden="1" x14ac:dyDescent="0.3">
      <c r="A480">
        <v>5790</v>
      </c>
      <c r="B480">
        <v>3108</v>
      </c>
      <c r="C480">
        <v>102</v>
      </c>
      <c r="D480" t="s">
        <v>19</v>
      </c>
      <c r="E480" t="s">
        <v>20</v>
      </c>
      <c r="F480" t="s">
        <v>17</v>
      </c>
      <c r="G480" t="s">
        <v>18</v>
      </c>
      <c r="H480">
        <v>273.60000000000002</v>
      </c>
      <c r="I480">
        <v>246</v>
      </c>
      <c r="J480">
        <v>93.6</v>
      </c>
      <c r="K480">
        <v>64.5</v>
      </c>
      <c r="L480">
        <v>25.6</v>
      </c>
      <c r="M480">
        <v>1.5</v>
      </c>
      <c r="N480">
        <v>0.14287783995527201</v>
      </c>
      <c r="O480">
        <v>0.18598824422437499</v>
      </c>
      <c r="P480" t="str">
        <f t="shared" si="14"/>
        <v>F</v>
      </c>
      <c r="Q480" t="str">
        <f t="shared" si="15"/>
        <v>F</v>
      </c>
    </row>
    <row r="481" spans="1:17" hidden="1" x14ac:dyDescent="0.3">
      <c r="A481">
        <v>5791</v>
      </c>
      <c r="B481">
        <v>3108</v>
      </c>
      <c r="C481">
        <v>102</v>
      </c>
      <c r="D481" t="s">
        <v>19</v>
      </c>
      <c r="E481" t="s">
        <v>20</v>
      </c>
      <c r="F481" t="s">
        <v>17</v>
      </c>
      <c r="G481" t="s">
        <v>18</v>
      </c>
      <c r="H481">
        <v>273.60000000000002</v>
      </c>
      <c r="I481">
        <v>246</v>
      </c>
      <c r="J481">
        <v>93.6</v>
      </c>
      <c r="K481">
        <v>64.5</v>
      </c>
      <c r="L481">
        <v>25.6</v>
      </c>
      <c r="M481">
        <v>1.5</v>
      </c>
      <c r="N481">
        <v>0.14599926026207499</v>
      </c>
      <c r="O481">
        <v>0.19784200638553701</v>
      </c>
      <c r="P481" t="str">
        <f t="shared" si="14"/>
        <v>F</v>
      </c>
      <c r="Q481" t="str">
        <f t="shared" si="15"/>
        <v>F</v>
      </c>
    </row>
    <row r="482" spans="1:17" hidden="1" x14ac:dyDescent="0.3">
      <c r="A482">
        <v>5792</v>
      </c>
      <c r="B482">
        <v>3108</v>
      </c>
      <c r="C482">
        <v>102</v>
      </c>
      <c r="D482" t="s">
        <v>19</v>
      </c>
      <c r="E482" t="s">
        <v>20</v>
      </c>
      <c r="F482" t="s">
        <v>17</v>
      </c>
      <c r="G482" t="s">
        <v>18</v>
      </c>
      <c r="H482">
        <v>273.60000000000002</v>
      </c>
      <c r="I482">
        <v>246</v>
      </c>
      <c r="J482">
        <v>93.6</v>
      </c>
      <c r="K482">
        <v>64.5</v>
      </c>
      <c r="L482">
        <v>25.6</v>
      </c>
      <c r="M482">
        <v>1.5</v>
      </c>
      <c r="N482">
        <v>0.16120448226567399</v>
      </c>
      <c r="O482">
        <v>0.18207619498930599</v>
      </c>
      <c r="P482" t="str">
        <f t="shared" si="14"/>
        <v>F</v>
      </c>
      <c r="Q482" t="str">
        <f t="shared" si="15"/>
        <v>F</v>
      </c>
    </row>
    <row r="483" spans="1:17" hidden="1" x14ac:dyDescent="0.3">
      <c r="A483">
        <v>5827</v>
      </c>
      <c r="B483">
        <v>3118</v>
      </c>
      <c r="C483">
        <v>18</v>
      </c>
      <c r="D483" t="s">
        <v>19</v>
      </c>
      <c r="E483" t="s">
        <v>20</v>
      </c>
      <c r="F483" t="s">
        <v>17</v>
      </c>
      <c r="G483" t="s">
        <v>24</v>
      </c>
      <c r="H483">
        <v>271.39999999999998</v>
      </c>
      <c r="I483">
        <v>244</v>
      </c>
      <c r="J483">
        <v>97.3</v>
      </c>
      <c r="K483">
        <v>64</v>
      </c>
      <c r="L483">
        <v>23.3</v>
      </c>
      <c r="M483">
        <v>6.5</v>
      </c>
      <c r="N483">
        <v>0.26268261547275501</v>
      </c>
      <c r="O483">
        <v>1.9233597268361699E-3</v>
      </c>
      <c r="P483" t="str">
        <f t="shared" si="14"/>
        <v>F</v>
      </c>
      <c r="Q483" t="str">
        <f t="shared" si="15"/>
        <v>T</v>
      </c>
    </row>
    <row r="484" spans="1:17" hidden="1" x14ac:dyDescent="0.3">
      <c r="A484">
        <v>5829</v>
      </c>
      <c r="B484">
        <v>3118</v>
      </c>
      <c r="C484">
        <v>18</v>
      </c>
      <c r="D484" t="s">
        <v>19</v>
      </c>
      <c r="E484" t="s">
        <v>20</v>
      </c>
      <c r="F484" t="s">
        <v>17</v>
      </c>
      <c r="G484" t="s">
        <v>24</v>
      </c>
      <c r="H484">
        <v>271.39999999999998</v>
      </c>
      <c r="I484">
        <v>244</v>
      </c>
      <c r="J484">
        <v>97.3</v>
      </c>
      <c r="K484">
        <v>64</v>
      </c>
      <c r="L484">
        <v>23.3</v>
      </c>
      <c r="M484">
        <v>6.5</v>
      </c>
      <c r="N484">
        <v>0.24132701374104701</v>
      </c>
      <c r="O484">
        <v>1.4036107933358501E-2</v>
      </c>
      <c r="P484" t="str">
        <f t="shared" si="14"/>
        <v>F</v>
      </c>
      <c r="Q484" t="str">
        <f t="shared" si="15"/>
        <v>T</v>
      </c>
    </row>
    <row r="485" spans="1:17" hidden="1" x14ac:dyDescent="0.3">
      <c r="A485">
        <v>5876</v>
      </c>
      <c r="B485">
        <v>3132</v>
      </c>
      <c r="C485">
        <v>443</v>
      </c>
      <c r="D485" t="s">
        <v>19</v>
      </c>
      <c r="E485" t="s">
        <v>20</v>
      </c>
      <c r="F485" t="s">
        <v>17</v>
      </c>
      <c r="G485" t="s">
        <v>22</v>
      </c>
      <c r="H485">
        <v>272.5</v>
      </c>
      <c r="I485">
        <v>239.5</v>
      </c>
      <c r="J485">
        <v>96</v>
      </c>
      <c r="K485">
        <v>64.5</v>
      </c>
      <c r="L485">
        <v>20.399999999999999</v>
      </c>
      <c r="M485">
        <v>10</v>
      </c>
      <c r="N485">
        <v>0.22418836246321899</v>
      </c>
      <c r="O485">
        <v>5.2729368566033302E-2</v>
      </c>
      <c r="P485" t="str">
        <f t="shared" si="14"/>
        <v>F</v>
      </c>
      <c r="Q485" t="str">
        <f t="shared" si="15"/>
        <v>F</v>
      </c>
    </row>
    <row r="486" spans="1:17" hidden="1" x14ac:dyDescent="0.3">
      <c r="A486">
        <v>5877</v>
      </c>
      <c r="B486">
        <v>3132</v>
      </c>
      <c r="C486">
        <v>443</v>
      </c>
      <c r="D486" t="s">
        <v>19</v>
      </c>
      <c r="E486" t="s">
        <v>20</v>
      </c>
      <c r="F486" t="s">
        <v>17</v>
      </c>
      <c r="G486" t="s">
        <v>22</v>
      </c>
      <c r="H486">
        <v>272.5</v>
      </c>
      <c r="I486">
        <v>239.5</v>
      </c>
      <c r="J486">
        <v>96</v>
      </c>
      <c r="K486">
        <v>64.5</v>
      </c>
      <c r="L486">
        <v>20.399999999999999</v>
      </c>
      <c r="M486">
        <v>10</v>
      </c>
      <c r="N486">
        <v>0.229962648563967</v>
      </c>
      <c r="O486">
        <v>5.5148012638816198E-2</v>
      </c>
      <c r="P486" t="str">
        <f t="shared" si="14"/>
        <v>F</v>
      </c>
      <c r="Q486" t="str">
        <f t="shared" si="15"/>
        <v>F</v>
      </c>
    </row>
    <row r="487" spans="1:17" hidden="1" x14ac:dyDescent="0.3">
      <c r="A487">
        <v>5969</v>
      </c>
      <c r="B487">
        <v>3169</v>
      </c>
      <c r="C487">
        <v>18</v>
      </c>
      <c r="D487" t="s">
        <v>19</v>
      </c>
      <c r="E487" t="s">
        <v>20</v>
      </c>
      <c r="F487" t="s">
        <v>17</v>
      </c>
      <c r="G487" t="s">
        <v>22</v>
      </c>
      <c r="H487">
        <v>271.39999999999998</v>
      </c>
      <c r="I487">
        <v>244</v>
      </c>
      <c r="J487">
        <v>97.3</v>
      </c>
      <c r="K487">
        <v>64</v>
      </c>
      <c r="L487">
        <v>23.3</v>
      </c>
      <c r="M487">
        <v>6.5</v>
      </c>
      <c r="N487">
        <v>0.25557138993324102</v>
      </c>
      <c r="O487">
        <v>1.28433041268649E-3</v>
      </c>
      <c r="P487" t="str">
        <f t="shared" si="14"/>
        <v>F</v>
      </c>
      <c r="Q487" t="str">
        <f t="shared" si="15"/>
        <v>T</v>
      </c>
    </row>
    <row r="488" spans="1:17" hidden="1" x14ac:dyDescent="0.3">
      <c r="A488">
        <v>5970</v>
      </c>
      <c r="B488">
        <v>3169</v>
      </c>
      <c r="C488">
        <v>18</v>
      </c>
      <c r="D488" t="s">
        <v>19</v>
      </c>
      <c r="E488" t="s">
        <v>20</v>
      </c>
      <c r="F488" t="s">
        <v>17</v>
      </c>
      <c r="G488" t="s">
        <v>22</v>
      </c>
      <c r="H488">
        <v>271.39999999999998</v>
      </c>
      <c r="I488">
        <v>244</v>
      </c>
      <c r="J488">
        <v>97.3</v>
      </c>
      <c r="K488">
        <v>64</v>
      </c>
      <c r="L488">
        <v>23.3</v>
      </c>
      <c r="M488">
        <v>6.5</v>
      </c>
      <c r="N488">
        <v>0.246620135380444</v>
      </c>
      <c r="O488">
        <v>2.73853225236077E-3</v>
      </c>
      <c r="P488" t="str">
        <f t="shared" si="14"/>
        <v>F</v>
      </c>
      <c r="Q488" t="str">
        <f t="shared" si="15"/>
        <v>T</v>
      </c>
    </row>
    <row r="489" spans="1:17" hidden="1" x14ac:dyDescent="0.3">
      <c r="A489">
        <v>5980</v>
      </c>
      <c r="B489">
        <v>3173</v>
      </c>
      <c r="C489">
        <v>28</v>
      </c>
      <c r="D489" t="s">
        <v>19</v>
      </c>
      <c r="E489" t="s">
        <v>20</v>
      </c>
      <c r="F489" t="s">
        <v>17</v>
      </c>
      <c r="G489" t="s">
        <v>24</v>
      </c>
      <c r="H489">
        <v>274.39999999999998</v>
      </c>
      <c r="I489">
        <v>243.5</v>
      </c>
      <c r="J489">
        <v>94.3</v>
      </c>
      <c r="K489">
        <v>65.5</v>
      </c>
      <c r="L489">
        <v>28</v>
      </c>
      <c r="M489">
        <v>5.5</v>
      </c>
      <c r="N489">
        <v>0.29467134064906703</v>
      </c>
      <c r="O489">
        <v>9.5433500564508E-2</v>
      </c>
      <c r="P489" t="str">
        <f t="shared" si="14"/>
        <v>F</v>
      </c>
      <c r="Q489" t="str">
        <f t="shared" si="15"/>
        <v>F</v>
      </c>
    </row>
    <row r="490" spans="1:17" hidden="1" x14ac:dyDescent="0.3">
      <c r="A490">
        <v>5995</v>
      </c>
      <c r="B490">
        <v>3180</v>
      </c>
      <c r="C490">
        <v>366</v>
      </c>
      <c r="D490" t="s">
        <v>19</v>
      </c>
      <c r="E490" t="s">
        <v>20</v>
      </c>
      <c r="F490" t="s">
        <v>17</v>
      </c>
      <c r="G490" t="s">
        <v>18</v>
      </c>
      <c r="H490">
        <v>275.89999999999998</v>
      </c>
      <c r="I490">
        <v>255</v>
      </c>
      <c r="J490">
        <v>94.9</v>
      </c>
      <c r="K490">
        <v>64</v>
      </c>
      <c r="L490">
        <v>26.8</v>
      </c>
      <c r="M490">
        <v>17</v>
      </c>
      <c r="N490">
        <v>0.151162736383464</v>
      </c>
      <c r="O490">
        <v>0.13932511697720801</v>
      </c>
      <c r="P490" t="str">
        <f t="shared" si="14"/>
        <v>F</v>
      </c>
      <c r="Q490" t="str">
        <f t="shared" si="15"/>
        <v>F</v>
      </c>
    </row>
    <row r="491" spans="1:17" hidden="1" x14ac:dyDescent="0.3">
      <c r="A491">
        <v>5996</v>
      </c>
      <c r="B491">
        <v>3180</v>
      </c>
      <c r="C491">
        <v>366</v>
      </c>
      <c r="D491" t="s">
        <v>19</v>
      </c>
      <c r="E491" t="s">
        <v>20</v>
      </c>
      <c r="F491" t="s">
        <v>17</v>
      </c>
      <c r="G491" t="s">
        <v>18</v>
      </c>
      <c r="H491">
        <v>275.89999999999998</v>
      </c>
      <c r="I491">
        <v>255</v>
      </c>
      <c r="J491">
        <v>94.9</v>
      </c>
      <c r="K491">
        <v>64</v>
      </c>
      <c r="L491">
        <v>26.8</v>
      </c>
      <c r="M491">
        <v>17</v>
      </c>
      <c r="N491">
        <v>0.17142426742661601</v>
      </c>
      <c r="O491">
        <v>0.14654338711209</v>
      </c>
      <c r="P491" t="str">
        <f t="shared" si="14"/>
        <v>F</v>
      </c>
      <c r="Q491" t="str">
        <f t="shared" si="15"/>
        <v>F</v>
      </c>
    </row>
    <row r="492" spans="1:17" hidden="1" x14ac:dyDescent="0.3">
      <c r="A492">
        <v>6050</v>
      </c>
      <c r="B492">
        <v>3199</v>
      </c>
      <c r="C492">
        <v>345</v>
      </c>
      <c r="D492" t="s">
        <v>19</v>
      </c>
      <c r="E492" t="s">
        <v>20</v>
      </c>
      <c r="F492" t="s">
        <v>17</v>
      </c>
      <c r="G492" t="s">
        <v>22</v>
      </c>
      <c r="H492">
        <v>277.60000000000002</v>
      </c>
      <c r="I492">
        <v>252.5</v>
      </c>
      <c r="J492">
        <v>98.4</v>
      </c>
      <c r="K492">
        <v>67.5</v>
      </c>
      <c r="L492">
        <v>25.8</v>
      </c>
      <c r="M492">
        <v>13.5</v>
      </c>
      <c r="N492">
        <v>0.12230251835943701</v>
      </c>
      <c r="O492">
        <v>0.11901633347967799</v>
      </c>
      <c r="P492" t="str">
        <f t="shared" si="14"/>
        <v>F</v>
      </c>
      <c r="Q492" t="str">
        <f t="shared" si="15"/>
        <v>F</v>
      </c>
    </row>
    <row r="493" spans="1:17" hidden="1" x14ac:dyDescent="0.3">
      <c r="A493">
        <v>6058</v>
      </c>
      <c r="B493">
        <v>3203</v>
      </c>
      <c r="C493">
        <v>320</v>
      </c>
      <c r="D493" t="s">
        <v>19</v>
      </c>
      <c r="E493" t="s">
        <v>20</v>
      </c>
      <c r="F493" t="s">
        <v>17</v>
      </c>
      <c r="G493" t="s">
        <v>25</v>
      </c>
      <c r="H493">
        <v>279</v>
      </c>
      <c r="I493">
        <v>253.5</v>
      </c>
      <c r="J493">
        <v>97.1</v>
      </c>
      <c r="K493">
        <v>64</v>
      </c>
      <c r="L493">
        <v>24</v>
      </c>
      <c r="M493">
        <v>8</v>
      </c>
      <c r="N493">
        <v>0.147976900727883</v>
      </c>
      <c r="O493">
        <v>2.24300280083739E-2</v>
      </c>
      <c r="P493" t="str">
        <f t="shared" si="14"/>
        <v>F</v>
      </c>
      <c r="Q493" t="str">
        <f t="shared" si="15"/>
        <v>T</v>
      </c>
    </row>
    <row r="494" spans="1:17" hidden="1" x14ac:dyDescent="0.3">
      <c r="A494">
        <v>6059</v>
      </c>
      <c r="B494">
        <v>3204</v>
      </c>
      <c r="C494">
        <v>197</v>
      </c>
      <c r="D494" t="s">
        <v>19</v>
      </c>
      <c r="E494" t="s">
        <v>20</v>
      </c>
      <c r="F494" t="s">
        <v>21</v>
      </c>
      <c r="G494" t="s">
        <v>24</v>
      </c>
      <c r="H494">
        <v>280.10000000000002</v>
      </c>
      <c r="I494">
        <v>249.5</v>
      </c>
      <c r="J494">
        <v>95.8</v>
      </c>
      <c r="K494">
        <v>69.5</v>
      </c>
      <c r="L494">
        <v>26.6</v>
      </c>
      <c r="M494">
        <v>6.5</v>
      </c>
      <c r="N494">
        <v>0.17509736997657899</v>
      </c>
      <c r="O494">
        <v>4.06218074107072E-2</v>
      </c>
      <c r="P494" t="str">
        <f t="shared" si="14"/>
        <v>F</v>
      </c>
      <c r="Q494" t="str">
        <f t="shared" si="15"/>
        <v>F</v>
      </c>
    </row>
    <row r="495" spans="1:17" hidden="1" x14ac:dyDescent="0.3">
      <c r="A495">
        <v>6060</v>
      </c>
      <c r="B495">
        <v>3204</v>
      </c>
      <c r="C495">
        <v>197</v>
      </c>
      <c r="D495" t="s">
        <v>19</v>
      </c>
      <c r="E495" t="s">
        <v>20</v>
      </c>
      <c r="F495" t="s">
        <v>21</v>
      </c>
      <c r="G495" t="s">
        <v>24</v>
      </c>
      <c r="H495">
        <v>280.10000000000002</v>
      </c>
      <c r="I495">
        <v>249.5</v>
      </c>
      <c r="J495">
        <v>95.8</v>
      </c>
      <c r="K495">
        <v>69.5</v>
      </c>
      <c r="L495">
        <v>26.6</v>
      </c>
      <c r="M495">
        <v>6.5</v>
      </c>
      <c r="N495">
        <v>0.180985061935338</v>
      </c>
      <c r="O495">
        <v>2.01761934500739E-2</v>
      </c>
      <c r="P495" t="str">
        <f t="shared" si="14"/>
        <v>F</v>
      </c>
      <c r="Q495" t="str">
        <f t="shared" si="15"/>
        <v>T</v>
      </c>
    </row>
    <row r="496" spans="1:17" hidden="1" x14ac:dyDescent="0.3">
      <c r="A496">
        <v>6061</v>
      </c>
      <c r="B496">
        <v>3204</v>
      </c>
      <c r="C496">
        <v>197</v>
      </c>
      <c r="D496" t="s">
        <v>19</v>
      </c>
      <c r="E496" t="s">
        <v>20</v>
      </c>
      <c r="F496" t="s">
        <v>21</v>
      </c>
      <c r="G496" t="s">
        <v>24</v>
      </c>
      <c r="H496">
        <v>280.10000000000002</v>
      </c>
      <c r="I496">
        <v>249.5</v>
      </c>
      <c r="J496">
        <v>95.8</v>
      </c>
      <c r="K496">
        <v>69.5</v>
      </c>
      <c r="L496">
        <v>26.6</v>
      </c>
      <c r="M496">
        <v>6.5</v>
      </c>
      <c r="N496">
        <v>0.20010431695693401</v>
      </c>
      <c r="O496">
        <v>3.0757416491756701E-2</v>
      </c>
      <c r="P496" t="str">
        <f t="shared" si="14"/>
        <v>F</v>
      </c>
      <c r="Q496" t="str">
        <f t="shared" si="15"/>
        <v>F</v>
      </c>
    </row>
    <row r="497" spans="1:17" hidden="1" x14ac:dyDescent="0.3">
      <c r="A497">
        <v>6085</v>
      </c>
      <c r="B497">
        <v>3212</v>
      </c>
      <c r="C497">
        <v>443</v>
      </c>
      <c r="D497" t="s">
        <v>19</v>
      </c>
      <c r="E497" t="s">
        <v>20</v>
      </c>
      <c r="F497" t="s">
        <v>21</v>
      </c>
      <c r="G497" t="s">
        <v>25</v>
      </c>
      <c r="H497">
        <v>272.5</v>
      </c>
      <c r="I497">
        <v>239.5</v>
      </c>
      <c r="J497">
        <v>96</v>
      </c>
      <c r="K497">
        <v>64.5</v>
      </c>
      <c r="L497">
        <v>20.399999999999999</v>
      </c>
      <c r="M497">
        <v>10</v>
      </c>
      <c r="N497">
        <v>0.25980547920548303</v>
      </c>
      <c r="O497">
        <v>7.7925259154002502E-2</v>
      </c>
      <c r="P497" t="str">
        <f t="shared" si="14"/>
        <v>F</v>
      </c>
      <c r="Q497" t="str">
        <f t="shared" si="15"/>
        <v>F</v>
      </c>
    </row>
    <row r="498" spans="1:17" hidden="1" x14ac:dyDescent="0.3">
      <c r="A498">
        <v>6086</v>
      </c>
      <c r="B498">
        <v>3212</v>
      </c>
      <c r="C498">
        <v>443</v>
      </c>
      <c r="D498" t="s">
        <v>19</v>
      </c>
      <c r="E498" t="s">
        <v>20</v>
      </c>
      <c r="F498" t="s">
        <v>21</v>
      </c>
      <c r="G498" t="s">
        <v>25</v>
      </c>
      <c r="H498">
        <v>272.5</v>
      </c>
      <c r="I498">
        <v>239.5</v>
      </c>
      <c r="J498">
        <v>96</v>
      </c>
      <c r="K498">
        <v>64.5</v>
      </c>
      <c r="L498">
        <v>20.399999999999999</v>
      </c>
      <c r="M498">
        <v>10</v>
      </c>
      <c r="N498">
        <v>0.240387166411001</v>
      </c>
      <c r="O498">
        <v>7.4762290370965601E-2</v>
      </c>
      <c r="P498" t="str">
        <f t="shared" si="14"/>
        <v>F</v>
      </c>
      <c r="Q498" t="str">
        <f t="shared" si="15"/>
        <v>F</v>
      </c>
    </row>
    <row r="499" spans="1:17" hidden="1" x14ac:dyDescent="0.3">
      <c r="A499">
        <v>6087</v>
      </c>
      <c r="B499">
        <v>3212</v>
      </c>
      <c r="C499">
        <v>443</v>
      </c>
      <c r="D499" t="s">
        <v>19</v>
      </c>
      <c r="E499" t="s">
        <v>20</v>
      </c>
      <c r="F499" t="s">
        <v>21</v>
      </c>
      <c r="G499" t="s">
        <v>25</v>
      </c>
      <c r="H499">
        <v>272.5</v>
      </c>
      <c r="I499">
        <v>239.5</v>
      </c>
      <c r="J499">
        <v>96</v>
      </c>
      <c r="K499">
        <v>64.5</v>
      </c>
      <c r="L499">
        <v>20.399999999999999</v>
      </c>
      <c r="M499">
        <v>10</v>
      </c>
      <c r="N499">
        <v>0.24014799730018599</v>
      </c>
      <c r="O499">
        <v>6.9470250427102004E-2</v>
      </c>
      <c r="P499" t="str">
        <f t="shared" si="14"/>
        <v>F</v>
      </c>
      <c r="Q499" t="str">
        <f t="shared" si="15"/>
        <v>F</v>
      </c>
    </row>
    <row r="500" spans="1:17" hidden="1" x14ac:dyDescent="0.3">
      <c r="A500">
        <v>6142</v>
      </c>
      <c r="B500">
        <v>3231</v>
      </c>
      <c r="C500">
        <v>367</v>
      </c>
      <c r="D500" t="s">
        <v>19</v>
      </c>
      <c r="E500" t="s">
        <v>20</v>
      </c>
      <c r="F500" t="s">
        <v>21</v>
      </c>
      <c r="G500" t="s">
        <v>26</v>
      </c>
      <c r="H500">
        <v>272.10000000000002</v>
      </c>
      <c r="I500">
        <v>232</v>
      </c>
      <c r="J500">
        <v>91</v>
      </c>
      <c r="K500">
        <v>65.5</v>
      </c>
      <c r="L500">
        <v>23.9</v>
      </c>
      <c r="M500">
        <v>7.5</v>
      </c>
      <c r="N500">
        <v>0.16251949883530301</v>
      </c>
      <c r="O500">
        <v>0.120005126488631</v>
      </c>
      <c r="P500" t="str">
        <f t="shared" si="14"/>
        <v>F</v>
      </c>
      <c r="Q500" t="str">
        <f t="shared" si="15"/>
        <v>F</v>
      </c>
    </row>
    <row r="501" spans="1:17" hidden="1" x14ac:dyDescent="0.3">
      <c r="A501">
        <v>6143</v>
      </c>
      <c r="B501">
        <v>3231</v>
      </c>
      <c r="C501">
        <v>367</v>
      </c>
      <c r="D501" t="s">
        <v>19</v>
      </c>
      <c r="E501" t="s">
        <v>20</v>
      </c>
      <c r="F501" t="s">
        <v>21</v>
      </c>
      <c r="G501" t="s">
        <v>26</v>
      </c>
      <c r="H501">
        <v>272.10000000000002</v>
      </c>
      <c r="I501">
        <v>232</v>
      </c>
      <c r="J501">
        <v>91</v>
      </c>
      <c r="K501">
        <v>65.5</v>
      </c>
      <c r="L501">
        <v>23.9</v>
      </c>
      <c r="M501">
        <v>7.5</v>
      </c>
      <c r="N501">
        <v>0.14770650166850799</v>
      </c>
      <c r="O501">
        <v>0.12334983453015499</v>
      </c>
      <c r="P501" t="str">
        <f t="shared" si="14"/>
        <v>F</v>
      </c>
      <c r="Q501" t="str">
        <f t="shared" si="15"/>
        <v>F</v>
      </c>
    </row>
    <row r="502" spans="1:17" hidden="1" x14ac:dyDescent="0.3">
      <c r="A502">
        <v>6144</v>
      </c>
      <c r="B502">
        <v>3231</v>
      </c>
      <c r="C502">
        <v>367</v>
      </c>
      <c r="D502" t="s">
        <v>19</v>
      </c>
      <c r="E502" t="s">
        <v>20</v>
      </c>
      <c r="F502" t="s">
        <v>21</v>
      </c>
      <c r="G502" t="s">
        <v>26</v>
      </c>
      <c r="H502">
        <v>272.10000000000002</v>
      </c>
      <c r="I502">
        <v>232</v>
      </c>
      <c r="J502">
        <v>91</v>
      </c>
      <c r="K502">
        <v>65.5</v>
      </c>
      <c r="L502">
        <v>23.9</v>
      </c>
      <c r="M502">
        <v>7.5</v>
      </c>
      <c r="N502">
        <v>0.16584215861358001</v>
      </c>
      <c r="O502">
        <v>0.12291148706262101</v>
      </c>
      <c r="P502" t="str">
        <f t="shared" si="14"/>
        <v>F</v>
      </c>
      <c r="Q502" t="str">
        <f t="shared" si="15"/>
        <v>F</v>
      </c>
    </row>
    <row r="503" spans="1:17" hidden="1" x14ac:dyDescent="0.3">
      <c r="A503">
        <v>6150</v>
      </c>
      <c r="B503">
        <v>3235</v>
      </c>
      <c r="C503">
        <v>27</v>
      </c>
      <c r="D503" t="s">
        <v>19</v>
      </c>
      <c r="E503" t="s">
        <v>20</v>
      </c>
      <c r="F503" t="s">
        <v>17</v>
      </c>
      <c r="G503" t="s">
        <v>18</v>
      </c>
      <c r="H503">
        <v>276.60000000000002</v>
      </c>
      <c r="I503">
        <v>251.5</v>
      </c>
      <c r="J503">
        <v>95.3</v>
      </c>
      <c r="K503">
        <v>67.5</v>
      </c>
      <c r="L503">
        <v>29.7</v>
      </c>
      <c r="M503">
        <v>2</v>
      </c>
      <c r="N503">
        <v>0.147432748229993</v>
      </c>
      <c r="O503">
        <v>0.134491098845166</v>
      </c>
      <c r="P503" t="str">
        <f t="shared" si="14"/>
        <v>F</v>
      </c>
      <c r="Q503" t="str">
        <f t="shared" si="15"/>
        <v>F</v>
      </c>
    </row>
    <row r="504" spans="1:17" hidden="1" x14ac:dyDescent="0.3">
      <c r="A504">
        <v>6151</v>
      </c>
      <c r="B504">
        <v>3235</v>
      </c>
      <c r="C504">
        <v>27</v>
      </c>
      <c r="D504" t="s">
        <v>19</v>
      </c>
      <c r="E504" t="s">
        <v>20</v>
      </c>
      <c r="F504" t="s">
        <v>17</v>
      </c>
      <c r="G504" t="s">
        <v>18</v>
      </c>
      <c r="H504">
        <v>276.60000000000002</v>
      </c>
      <c r="I504">
        <v>251.5</v>
      </c>
      <c r="J504">
        <v>95.3</v>
      </c>
      <c r="K504">
        <v>67.5</v>
      </c>
      <c r="L504">
        <v>29.7</v>
      </c>
      <c r="M504">
        <v>2</v>
      </c>
      <c r="N504">
        <v>0.126740128850405</v>
      </c>
      <c r="O504">
        <v>0.135504100535359</v>
      </c>
      <c r="P504" t="str">
        <f t="shared" si="14"/>
        <v>F</v>
      </c>
      <c r="Q504" t="str">
        <f t="shared" si="15"/>
        <v>F</v>
      </c>
    </row>
    <row r="505" spans="1:17" hidden="1" x14ac:dyDescent="0.3">
      <c r="A505">
        <v>6152</v>
      </c>
      <c r="B505">
        <v>3235</v>
      </c>
      <c r="C505">
        <v>27</v>
      </c>
      <c r="D505" t="s">
        <v>19</v>
      </c>
      <c r="E505" t="s">
        <v>20</v>
      </c>
      <c r="F505" t="s">
        <v>17</v>
      </c>
      <c r="G505" t="s">
        <v>18</v>
      </c>
      <c r="H505">
        <v>276.60000000000002</v>
      </c>
      <c r="I505">
        <v>251.5</v>
      </c>
      <c r="J505">
        <v>95.3</v>
      </c>
      <c r="K505">
        <v>67.5</v>
      </c>
      <c r="L505">
        <v>29.7</v>
      </c>
      <c r="M505">
        <v>2</v>
      </c>
      <c r="N505">
        <v>0.16253966136684</v>
      </c>
      <c r="O505">
        <v>0.118495858785285</v>
      </c>
      <c r="P505" t="str">
        <f t="shared" si="14"/>
        <v>F</v>
      </c>
      <c r="Q505" t="str">
        <f t="shared" si="15"/>
        <v>F</v>
      </c>
    </row>
    <row r="506" spans="1:17" hidden="1" x14ac:dyDescent="0.3">
      <c r="A506">
        <v>6186</v>
      </c>
      <c r="B506">
        <v>3246</v>
      </c>
      <c r="C506">
        <v>455</v>
      </c>
      <c r="D506" t="s">
        <v>19</v>
      </c>
      <c r="E506" t="s">
        <v>20</v>
      </c>
      <c r="F506" t="s">
        <v>21</v>
      </c>
      <c r="G506" t="s">
        <v>18</v>
      </c>
      <c r="H506">
        <v>278.5</v>
      </c>
      <c r="I506">
        <v>252.5</v>
      </c>
      <c r="J506">
        <v>92.8</v>
      </c>
      <c r="K506">
        <v>69</v>
      </c>
      <c r="L506">
        <v>25.6</v>
      </c>
      <c r="M506">
        <v>9</v>
      </c>
      <c r="N506">
        <v>0.219813734241842</v>
      </c>
      <c r="O506">
        <v>5.0578614633462297E-2</v>
      </c>
      <c r="P506" t="str">
        <f t="shared" si="14"/>
        <v>F</v>
      </c>
      <c r="Q506" t="str">
        <f t="shared" si="15"/>
        <v>F</v>
      </c>
    </row>
    <row r="507" spans="1:17" hidden="1" x14ac:dyDescent="0.3">
      <c r="A507">
        <v>6187</v>
      </c>
      <c r="B507">
        <v>3246</v>
      </c>
      <c r="C507">
        <v>455</v>
      </c>
      <c r="D507" t="s">
        <v>19</v>
      </c>
      <c r="E507" t="s">
        <v>20</v>
      </c>
      <c r="F507" t="s">
        <v>21</v>
      </c>
      <c r="G507" t="s">
        <v>18</v>
      </c>
      <c r="H507">
        <v>278.5</v>
      </c>
      <c r="I507">
        <v>252.5</v>
      </c>
      <c r="J507">
        <v>92.8</v>
      </c>
      <c r="K507">
        <v>69</v>
      </c>
      <c r="L507">
        <v>25.6</v>
      </c>
      <c r="M507">
        <v>9</v>
      </c>
      <c r="N507">
        <v>0.206685599143171</v>
      </c>
      <c r="O507">
        <v>4.08258161023193E-2</v>
      </c>
      <c r="P507" t="str">
        <f t="shared" si="14"/>
        <v>F</v>
      </c>
      <c r="Q507" t="str">
        <f t="shared" si="15"/>
        <v>F</v>
      </c>
    </row>
    <row r="508" spans="1:17" hidden="1" x14ac:dyDescent="0.3">
      <c r="A508">
        <v>6188</v>
      </c>
      <c r="B508">
        <v>3246</v>
      </c>
      <c r="C508">
        <v>455</v>
      </c>
      <c r="D508" t="s">
        <v>19</v>
      </c>
      <c r="E508" t="s">
        <v>20</v>
      </c>
      <c r="F508" t="s">
        <v>21</v>
      </c>
      <c r="G508" t="s">
        <v>18</v>
      </c>
      <c r="H508">
        <v>278.5</v>
      </c>
      <c r="I508">
        <v>252.5</v>
      </c>
      <c r="J508">
        <v>92.8</v>
      </c>
      <c r="K508">
        <v>69</v>
      </c>
      <c r="L508">
        <v>25.6</v>
      </c>
      <c r="M508">
        <v>9</v>
      </c>
      <c r="N508">
        <v>0.21550944521417001</v>
      </c>
      <c r="O508">
        <v>5.9780726620816203E-2</v>
      </c>
      <c r="P508" t="str">
        <f t="shared" si="14"/>
        <v>F</v>
      </c>
      <c r="Q508" t="str">
        <f t="shared" si="15"/>
        <v>F</v>
      </c>
    </row>
    <row r="509" spans="1:17" hidden="1" x14ac:dyDescent="0.3">
      <c r="A509">
        <v>6189</v>
      </c>
      <c r="B509">
        <v>3246</v>
      </c>
      <c r="C509">
        <v>455</v>
      </c>
      <c r="D509" t="s">
        <v>19</v>
      </c>
      <c r="E509" t="s">
        <v>20</v>
      </c>
      <c r="F509" t="s">
        <v>21</v>
      </c>
      <c r="G509" t="s">
        <v>18</v>
      </c>
      <c r="H509">
        <v>278.5</v>
      </c>
      <c r="I509">
        <v>252.5</v>
      </c>
      <c r="J509">
        <v>92.8</v>
      </c>
      <c r="K509">
        <v>69</v>
      </c>
      <c r="L509">
        <v>25.6</v>
      </c>
      <c r="M509">
        <v>9</v>
      </c>
      <c r="N509">
        <v>0.20355540357520299</v>
      </c>
      <c r="O509">
        <v>5.1526749488733301E-2</v>
      </c>
      <c r="P509" t="str">
        <f t="shared" si="14"/>
        <v>F</v>
      </c>
      <c r="Q509" t="str">
        <f t="shared" si="15"/>
        <v>F</v>
      </c>
    </row>
    <row r="510" spans="1:17" hidden="1" x14ac:dyDescent="0.3">
      <c r="A510">
        <v>6190</v>
      </c>
      <c r="B510">
        <v>3246</v>
      </c>
      <c r="C510">
        <v>455</v>
      </c>
      <c r="D510" t="s">
        <v>19</v>
      </c>
      <c r="E510" t="s">
        <v>20</v>
      </c>
      <c r="F510" t="s">
        <v>21</v>
      </c>
      <c r="G510" t="s">
        <v>18</v>
      </c>
      <c r="H510">
        <v>278.5</v>
      </c>
      <c r="I510">
        <v>252.5</v>
      </c>
      <c r="J510">
        <v>92.8</v>
      </c>
      <c r="K510">
        <v>69</v>
      </c>
      <c r="L510">
        <v>25.6</v>
      </c>
      <c r="M510">
        <v>9</v>
      </c>
      <c r="N510">
        <v>0.20362611440236</v>
      </c>
      <c r="O510">
        <v>5.0900248299984199E-2</v>
      </c>
      <c r="P510" t="str">
        <f t="shared" si="14"/>
        <v>F</v>
      </c>
      <c r="Q510" t="str">
        <f t="shared" si="15"/>
        <v>F</v>
      </c>
    </row>
    <row r="511" spans="1:17" hidden="1" x14ac:dyDescent="0.3">
      <c r="A511">
        <v>6191</v>
      </c>
      <c r="B511">
        <v>3246</v>
      </c>
      <c r="C511">
        <v>455</v>
      </c>
      <c r="D511" t="s">
        <v>19</v>
      </c>
      <c r="E511" t="s">
        <v>20</v>
      </c>
      <c r="F511" t="s">
        <v>21</v>
      </c>
      <c r="G511" t="s">
        <v>18</v>
      </c>
      <c r="H511">
        <v>278.5</v>
      </c>
      <c r="I511">
        <v>252.5</v>
      </c>
      <c r="J511">
        <v>92.8</v>
      </c>
      <c r="K511">
        <v>69</v>
      </c>
      <c r="L511">
        <v>25.6</v>
      </c>
      <c r="M511">
        <v>9</v>
      </c>
      <c r="N511">
        <v>0.220881331561741</v>
      </c>
      <c r="O511">
        <v>3.5326274263146301E-2</v>
      </c>
      <c r="P511" t="str">
        <f t="shared" si="14"/>
        <v>F</v>
      </c>
      <c r="Q511" t="str">
        <f t="shared" si="15"/>
        <v>F</v>
      </c>
    </row>
    <row r="512" spans="1:17" hidden="1" x14ac:dyDescent="0.3">
      <c r="A512">
        <v>6192</v>
      </c>
      <c r="B512">
        <v>3246</v>
      </c>
      <c r="C512">
        <v>455</v>
      </c>
      <c r="D512" t="s">
        <v>19</v>
      </c>
      <c r="E512" t="s">
        <v>20</v>
      </c>
      <c r="F512" t="s">
        <v>21</v>
      </c>
      <c r="G512" t="s">
        <v>18</v>
      </c>
      <c r="H512">
        <v>278.5</v>
      </c>
      <c r="I512">
        <v>252.5</v>
      </c>
      <c r="J512">
        <v>92.8</v>
      </c>
      <c r="K512">
        <v>69</v>
      </c>
      <c r="L512">
        <v>25.6</v>
      </c>
      <c r="M512">
        <v>9</v>
      </c>
      <c r="N512">
        <v>0.220137375082084</v>
      </c>
      <c r="O512">
        <v>4.4378092100708297E-2</v>
      </c>
      <c r="P512" t="str">
        <f t="shared" si="14"/>
        <v>F</v>
      </c>
      <c r="Q512" t="str">
        <f t="shared" si="15"/>
        <v>F</v>
      </c>
    </row>
    <row r="513" spans="1:17" hidden="1" x14ac:dyDescent="0.3">
      <c r="A513">
        <v>6193</v>
      </c>
      <c r="B513">
        <v>3246</v>
      </c>
      <c r="C513">
        <v>455</v>
      </c>
      <c r="D513" t="s">
        <v>19</v>
      </c>
      <c r="E513" t="s">
        <v>20</v>
      </c>
      <c r="F513" t="s">
        <v>21</v>
      </c>
      <c r="G513" t="s">
        <v>18</v>
      </c>
      <c r="H513">
        <v>278.5</v>
      </c>
      <c r="I513">
        <v>252.5</v>
      </c>
      <c r="J513">
        <v>92.8</v>
      </c>
      <c r="K513">
        <v>69</v>
      </c>
      <c r="L513">
        <v>25.6</v>
      </c>
      <c r="M513">
        <v>9</v>
      </c>
      <c r="N513">
        <v>0.22030839382749101</v>
      </c>
      <c r="O513">
        <v>4.334689698172E-2</v>
      </c>
      <c r="P513" t="str">
        <f t="shared" si="14"/>
        <v>F</v>
      </c>
      <c r="Q513" t="str">
        <f t="shared" si="15"/>
        <v>F</v>
      </c>
    </row>
    <row r="514" spans="1:17" hidden="1" x14ac:dyDescent="0.3">
      <c r="A514">
        <v>6204</v>
      </c>
      <c r="B514">
        <v>325</v>
      </c>
      <c r="C514">
        <v>28</v>
      </c>
      <c r="D514" t="s">
        <v>19</v>
      </c>
      <c r="E514" t="s">
        <v>20</v>
      </c>
      <c r="F514" t="s">
        <v>21</v>
      </c>
      <c r="G514" t="s">
        <v>24</v>
      </c>
      <c r="H514">
        <v>274.39999999999998</v>
      </c>
      <c r="I514">
        <v>243.5</v>
      </c>
      <c r="J514">
        <v>94.3</v>
      </c>
      <c r="K514">
        <v>65.5</v>
      </c>
      <c r="L514">
        <v>28</v>
      </c>
      <c r="M514">
        <v>5.5</v>
      </c>
      <c r="N514">
        <v>0.30422181282455102</v>
      </c>
      <c r="O514">
        <v>8.0333950188814299E-2</v>
      </c>
      <c r="P514" t="str">
        <f t="shared" si="14"/>
        <v>F</v>
      </c>
      <c r="Q514" t="str">
        <f t="shared" si="15"/>
        <v>F</v>
      </c>
    </row>
    <row r="515" spans="1:17" hidden="1" x14ac:dyDescent="0.3">
      <c r="A515">
        <v>6264</v>
      </c>
      <c r="B515">
        <v>3274</v>
      </c>
      <c r="C515">
        <v>99</v>
      </c>
      <c r="D515" t="s">
        <v>19</v>
      </c>
      <c r="E515" t="s">
        <v>20</v>
      </c>
      <c r="F515" t="s">
        <v>17</v>
      </c>
      <c r="G515" t="s">
        <v>18</v>
      </c>
      <c r="H515">
        <v>277</v>
      </c>
      <c r="I515">
        <v>257</v>
      </c>
      <c r="J515">
        <v>99.7</v>
      </c>
      <c r="K515">
        <v>69</v>
      </c>
      <c r="L515">
        <v>26.4</v>
      </c>
      <c r="M515">
        <v>7.5</v>
      </c>
      <c r="N515">
        <v>0.11086349205533701</v>
      </c>
      <c r="O515">
        <v>2.4017904769802E-2</v>
      </c>
      <c r="P515" t="str">
        <f t="shared" ref="P515:P578" si="16">IF(N515&lt;0.06641, "T", "F")</f>
        <v>F</v>
      </c>
      <c r="Q515" t="str">
        <f t="shared" ref="Q515:Q578" si="17">IF(O515&lt;0.027899, "T", "F")</f>
        <v>T</v>
      </c>
    </row>
    <row r="516" spans="1:17" hidden="1" x14ac:dyDescent="0.3">
      <c r="A516">
        <v>6265</v>
      </c>
      <c r="B516">
        <v>3274</v>
      </c>
      <c r="C516">
        <v>99</v>
      </c>
      <c r="D516" t="s">
        <v>19</v>
      </c>
      <c r="E516" t="s">
        <v>20</v>
      </c>
      <c r="F516" t="s">
        <v>17</v>
      </c>
      <c r="G516" t="s">
        <v>18</v>
      </c>
      <c r="H516">
        <v>277</v>
      </c>
      <c r="I516">
        <v>257</v>
      </c>
      <c r="J516">
        <v>99.7</v>
      </c>
      <c r="K516">
        <v>69</v>
      </c>
      <c r="L516">
        <v>26.4</v>
      </c>
      <c r="M516">
        <v>7.5</v>
      </c>
      <c r="N516">
        <v>0.11708753700680601</v>
      </c>
      <c r="O516">
        <v>2.3567292826646699E-2</v>
      </c>
      <c r="P516" t="str">
        <f t="shared" si="16"/>
        <v>F</v>
      </c>
      <c r="Q516" t="str">
        <f t="shared" si="17"/>
        <v>T</v>
      </c>
    </row>
    <row r="517" spans="1:17" hidden="1" x14ac:dyDescent="0.3">
      <c r="A517">
        <v>6266</v>
      </c>
      <c r="B517">
        <v>3274</v>
      </c>
      <c r="C517">
        <v>99</v>
      </c>
      <c r="D517" t="s">
        <v>19</v>
      </c>
      <c r="E517" t="s">
        <v>20</v>
      </c>
      <c r="F517" t="s">
        <v>17</v>
      </c>
      <c r="G517" t="s">
        <v>18</v>
      </c>
      <c r="H517">
        <v>277</v>
      </c>
      <c r="I517">
        <v>257</v>
      </c>
      <c r="J517">
        <v>99.7</v>
      </c>
      <c r="K517">
        <v>69</v>
      </c>
      <c r="L517">
        <v>26.4</v>
      </c>
      <c r="M517">
        <v>7.5</v>
      </c>
      <c r="N517">
        <v>8.5848174457779897E-2</v>
      </c>
      <c r="O517">
        <v>3.1964235937172999E-2</v>
      </c>
      <c r="P517" t="str">
        <f t="shared" si="16"/>
        <v>F</v>
      </c>
      <c r="Q517" t="str">
        <f t="shared" si="17"/>
        <v>F</v>
      </c>
    </row>
    <row r="518" spans="1:17" hidden="1" x14ac:dyDescent="0.3">
      <c r="A518">
        <v>6267</v>
      </c>
      <c r="B518">
        <v>3274</v>
      </c>
      <c r="C518">
        <v>99</v>
      </c>
      <c r="D518" t="s">
        <v>19</v>
      </c>
      <c r="E518" t="s">
        <v>20</v>
      </c>
      <c r="F518" t="s">
        <v>17</v>
      </c>
      <c r="G518" t="s">
        <v>18</v>
      </c>
      <c r="H518">
        <v>277</v>
      </c>
      <c r="I518">
        <v>257</v>
      </c>
      <c r="J518">
        <v>99.7</v>
      </c>
      <c r="K518">
        <v>69</v>
      </c>
      <c r="L518">
        <v>26.4</v>
      </c>
      <c r="M518">
        <v>7.5</v>
      </c>
      <c r="N518">
        <v>9.3581448359514902E-2</v>
      </c>
      <c r="O518">
        <v>3.47403795013186E-2</v>
      </c>
      <c r="P518" t="str">
        <f t="shared" si="16"/>
        <v>F</v>
      </c>
      <c r="Q518" t="str">
        <f t="shared" si="17"/>
        <v>F</v>
      </c>
    </row>
    <row r="519" spans="1:17" hidden="1" x14ac:dyDescent="0.3">
      <c r="A519">
        <v>6281</v>
      </c>
      <c r="B519">
        <v>3278</v>
      </c>
      <c r="C519">
        <v>455</v>
      </c>
      <c r="D519" t="s">
        <v>19</v>
      </c>
      <c r="E519" t="s">
        <v>20</v>
      </c>
      <c r="F519" t="s">
        <v>17</v>
      </c>
      <c r="G519" t="s">
        <v>22</v>
      </c>
      <c r="H519">
        <v>278.5</v>
      </c>
      <c r="I519">
        <v>252.5</v>
      </c>
      <c r="J519">
        <v>92.8</v>
      </c>
      <c r="K519">
        <v>69</v>
      </c>
      <c r="L519">
        <v>25.6</v>
      </c>
      <c r="M519">
        <v>9</v>
      </c>
      <c r="N519">
        <v>0.198148183167589</v>
      </c>
      <c r="O519">
        <v>5.6770584229822299E-2</v>
      </c>
      <c r="P519" t="str">
        <f t="shared" si="16"/>
        <v>F</v>
      </c>
      <c r="Q519" t="str">
        <f t="shared" si="17"/>
        <v>F</v>
      </c>
    </row>
    <row r="520" spans="1:17" hidden="1" x14ac:dyDescent="0.3">
      <c r="A520">
        <v>6288</v>
      </c>
      <c r="B520">
        <v>3280</v>
      </c>
      <c r="C520">
        <v>310</v>
      </c>
      <c r="D520" t="s">
        <v>19</v>
      </c>
      <c r="E520" t="s">
        <v>20</v>
      </c>
      <c r="F520" t="s">
        <v>17</v>
      </c>
      <c r="G520" t="s">
        <v>22</v>
      </c>
      <c r="H520">
        <v>273.60000000000002</v>
      </c>
      <c r="I520">
        <v>255</v>
      </c>
      <c r="J520">
        <v>95.2</v>
      </c>
      <c r="K520">
        <v>63.5</v>
      </c>
      <c r="L520">
        <v>27</v>
      </c>
      <c r="M520">
        <v>11.5</v>
      </c>
      <c r="N520">
        <v>3.7720421145420902E-2</v>
      </c>
      <c r="O520">
        <v>0.131009431672065</v>
      </c>
      <c r="P520" t="str">
        <f t="shared" si="16"/>
        <v>T</v>
      </c>
      <c r="Q520" t="str">
        <f t="shared" si="17"/>
        <v>F</v>
      </c>
    </row>
    <row r="521" spans="1:17" hidden="1" x14ac:dyDescent="0.3">
      <c r="A521">
        <v>6289</v>
      </c>
      <c r="B521">
        <v>3280</v>
      </c>
      <c r="C521">
        <v>310</v>
      </c>
      <c r="D521" t="s">
        <v>19</v>
      </c>
      <c r="E521" t="s">
        <v>20</v>
      </c>
      <c r="F521" t="s">
        <v>17</v>
      </c>
      <c r="G521" t="s">
        <v>22</v>
      </c>
      <c r="H521">
        <v>273.60000000000002</v>
      </c>
      <c r="I521">
        <v>255</v>
      </c>
      <c r="J521">
        <v>95.2</v>
      </c>
      <c r="K521">
        <v>63.5</v>
      </c>
      <c r="L521">
        <v>27</v>
      </c>
      <c r="M521">
        <v>11.5</v>
      </c>
      <c r="N521">
        <v>5.7890272532615097E-2</v>
      </c>
      <c r="O521">
        <v>0.108636552521351</v>
      </c>
      <c r="P521" t="str">
        <f t="shared" si="16"/>
        <v>T</v>
      </c>
      <c r="Q521" t="str">
        <f t="shared" si="17"/>
        <v>F</v>
      </c>
    </row>
    <row r="522" spans="1:17" hidden="1" x14ac:dyDescent="0.3">
      <c r="A522">
        <v>6290</v>
      </c>
      <c r="B522">
        <v>3281</v>
      </c>
      <c r="C522">
        <v>345</v>
      </c>
      <c r="D522" t="s">
        <v>19</v>
      </c>
      <c r="E522" t="s">
        <v>20</v>
      </c>
      <c r="F522" t="s">
        <v>21</v>
      </c>
      <c r="G522" t="s">
        <v>25</v>
      </c>
      <c r="H522">
        <v>277.60000000000002</v>
      </c>
      <c r="I522">
        <v>252.5</v>
      </c>
      <c r="J522">
        <v>98.4</v>
      </c>
      <c r="K522">
        <v>67.5</v>
      </c>
      <c r="L522">
        <v>25.8</v>
      </c>
      <c r="M522">
        <v>13.5</v>
      </c>
      <c r="N522">
        <v>0.12914983774814101</v>
      </c>
      <c r="O522">
        <v>0.105610937561524</v>
      </c>
      <c r="P522" t="str">
        <f t="shared" si="16"/>
        <v>F</v>
      </c>
      <c r="Q522" t="str">
        <f t="shared" si="17"/>
        <v>F</v>
      </c>
    </row>
    <row r="523" spans="1:17" hidden="1" x14ac:dyDescent="0.3">
      <c r="A523">
        <v>6291</v>
      </c>
      <c r="B523">
        <v>3281</v>
      </c>
      <c r="C523">
        <v>345</v>
      </c>
      <c r="D523" t="s">
        <v>19</v>
      </c>
      <c r="E523" t="s">
        <v>20</v>
      </c>
      <c r="F523" t="s">
        <v>21</v>
      </c>
      <c r="G523" t="s">
        <v>25</v>
      </c>
      <c r="H523">
        <v>277.60000000000002</v>
      </c>
      <c r="I523">
        <v>252.5</v>
      </c>
      <c r="J523">
        <v>98.4</v>
      </c>
      <c r="K523">
        <v>67.5</v>
      </c>
      <c r="L523">
        <v>25.8</v>
      </c>
      <c r="M523">
        <v>13.5</v>
      </c>
      <c r="N523">
        <v>0.10624579423125501</v>
      </c>
      <c r="O523">
        <v>9.2619850535686499E-2</v>
      </c>
      <c r="P523" t="str">
        <f t="shared" si="16"/>
        <v>F</v>
      </c>
      <c r="Q523" t="str">
        <f t="shared" si="17"/>
        <v>F</v>
      </c>
    </row>
    <row r="524" spans="1:17" hidden="1" x14ac:dyDescent="0.3">
      <c r="A524">
        <v>6327</v>
      </c>
      <c r="B524">
        <v>3297</v>
      </c>
      <c r="C524">
        <v>345</v>
      </c>
      <c r="D524" t="s">
        <v>19</v>
      </c>
      <c r="E524" t="s">
        <v>20</v>
      </c>
      <c r="F524" t="s">
        <v>17</v>
      </c>
      <c r="G524" t="s">
        <v>22</v>
      </c>
      <c r="H524">
        <v>277.60000000000002</v>
      </c>
      <c r="I524">
        <v>252.5</v>
      </c>
      <c r="J524">
        <v>98.4</v>
      </c>
      <c r="K524">
        <v>67.5</v>
      </c>
      <c r="L524">
        <v>25.8</v>
      </c>
      <c r="M524">
        <v>13.5</v>
      </c>
      <c r="N524">
        <v>0.125132254374138</v>
      </c>
      <c r="O524">
        <v>0.101951426797579</v>
      </c>
      <c r="P524" t="str">
        <f t="shared" si="16"/>
        <v>F</v>
      </c>
      <c r="Q524" t="str">
        <f t="shared" si="17"/>
        <v>F</v>
      </c>
    </row>
    <row r="525" spans="1:17" hidden="1" x14ac:dyDescent="0.3">
      <c r="A525">
        <v>6328</v>
      </c>
      <c r="B525">
        <v>3297</v>
      </c>
      <c r="C525">
        <v>345</v>
      </c>
      <c r="D525" t="s">
        <v>19</v>
      </c>
      <c r="E525" t="s">
        <v>20</v>
      </c>
      <c r="F525" t="s">
        <v>17</v>
      </c>
      <c r="G525" t="s">
        <v>22</v>
      </c>
      <c r="H525">
        <v>277.60000000000002</v>
      </c>
      <c r="I525">
        <v>252.5</v>
      </c>
      <c r="J525">
        <v>98.4</v>
      </c>
      <c r="K525">
        <v>67.5</v>
      </c>
      <c r="L525">
        <v>25.8</v>
      </c>
      <c r="M525">
        <v>13.5</v>
      </c>
      <c r="N525">
        <v>0.10175281593008199</v>
      </c>
      <c r="O525">
        <v>8.4445167330209403E-2</v>
      </c>
      <c r="P525" t="str">
        <f t="shared" si="16"/>
        <v>F</v>
      </c>
      <c r="Q525" t="str">
        <f t="shared" si="17"/>
        <v>F</v>
      </c>
    </row>
    <row r="526" spans="1:17" hidden="1" x14ac:dyDescent="0.3">
      <c r="A526">
        <v>6329</v>
      </c>
      <c r="B526">
        <v>3297</v>
      </c>
      <c r="C526">
        <v>345</v>
      </c>
      <c r="D526" t="s">
        <v>19</v>
      </c>
      <c r="E526" t="s">
        <v>20</v>
      </c>
      <c r="F526" t="s">
        <v>17</v>
      </c>
      <c r="G526" t="s">
        <v>22</v>
      </c>
      <c r="H526">
        <v>277.60000000000002</v>
      </c>
      <c r="I526">
        <v>252.5</v>
      </c>
      <c r="J526">
        <v>98.4</v>
      </c>
      <c r="K526">
        <v>67.5</v>
      </c>
      <c r="L526">
        <v>25.8</v>
      </c>
      <c r="M526">
        <v>13.5</v>
      </c>
      <c r="N526">
        <v>0.103157279100294</v>
      </c>
      <c r="O526">
        <v>0.10186038664772901</v>
      </c>
      <c r="P526" t="str">
        <f t="shared" si="16"/>
        <v>F</v>
      </c>
      <c r="Q526" t="str">
        <f t="shared" si="17"/>
        <v>F</v>
      </c>
    </row>
    <row r="527" spans="1:17" hidden="1" x14ac:dyDescent="0.3">
      <c r="A527">
        <v>6347</v>
      </c>
      <c r="B527">
        <v>3303</v>
      </c>
      <c r="C527">
        <v>335</v>
      </c>
      <c r="D527" t="s">
        <v>19</v>
      </c>
      <c r="E527" t="s">
        <v>20</v>
      </c>
      <c r="F527" t="s">
        <v>17</v>
      </c>
      <c r="G527" t="s">
        <v>25</v>
      </c>
      <c r="H527">
        <v>278.5</v>
      </c>
      <c r="I527">
        <v>240.5</v>
      </c>
      <c r="J527">
        <v>94.4</v>
      </c>
      <c r="K527">
        <v>69</v>
      </c>
      <c r="L527">
        <v>25.8</v>
      </c>
      <c r="M527">
        <v>8.5</v>
      </c>
      <c r="N527">
        <v>3.7024433890356902E-2</v>
      </c>
      <c r="O527">
        <v>3.48802789062529E-2</v>
      </c>
      <c r="P527" t="str">
        <f t="shared" si="16"/>
        <v>T</v>
      </c>
      <c r="Q527" t="str">
        <f t="shared" si="17"/>
        <v>F</v>
      </c>
    </row>
    <row r="528" spans="1:17" x14ac:dyDescent="0.3">
      <c r="A528">
        <v>6348</v>
      </c>
      <c r="B528">
        <v>3303</v>
      </c>
      <c r="C528">
        <v>335</v>
      </c>
      <c r="D528" t="s">
        <v>19</v>
      </c>
      <c r="E528" t="s">
        <v>20</v>
      </c>
      <c r="F528" t="s">
        <v>17</v>
      </c>
      <c r="G528" t="s">
        <v>25</v>
      </c>
      <c r="H528">
        <v>278.5</v>
      </c>
      <c r="I528">
        <v>240.5</v>
      </c>
      <c r="J528">
        <v>94.4</v>
      </c>
      <c r="K528">
        <v>69</v>
      </c>
      <c r="L528">
        <v>25.8</v>
      </c>
      <c r="M528">
        <v>8.5</v>
      </c>
      <c r="N528">
        <v>4.7001390560579399E-2</v>
      </c>
      <c r="O528">
        <v>2.0467403438841899E-2</v>
      </c>
      <c r="P528" t="str">
        <f t="shared" si="16"/>
        <v>T</v>
      </c>
      <c r="Q528" t="str">
        <f t="shared" si="17"/>
        <v>T</v>
      </c>
    </row>
    <row r="529" spans="1:17" hidden="1" x14ac:dyDescent="0.3">
      <c r="A529">
        <v>6364</v>
      </c>
      <c r="B529">
        <v>3310</v>
      </c>
      <c r="C529">
        <v>413</v>
      </c>
      <c r="D529" t="s">
        <v>19</v>
      </c>
      <c r="E529" t="s">
        <v>20</v>
      </c>
      <c r="F529" t="s">
        <v>21</v>
      </c>
      <c r="G529" t="s">
        <v>25</v>
      </c>
      <c r="H529">
        <v>279</v>
      </c>
      <c r="I529">
        <v>247.5</v>
      </c>
      <c r="J529">
        <v>93.5</v>
      </c>
      <c r="K529">
        <v>66</v>
      </c>
      <c r="L529">
        <v>25.5</v>
      </c>
      <c r="M529">
        <v>10</v>
      </c>
      <c r="N529">
        <v>0.22349977735368101</v>
      </c>
      <c r="O529">
        <v>8.5255962871356894E-2</v>
      </c>
      <c r="P529" t="str">
        <f t="shared" si="16"/>
        <v>F</v>
      </c>
      <c r="Q529" t="str">
        <f t="shared" si="17"/>
        <v>F</v>
      </c>
    </row>
    <row r="530" spans="1:17" hidden="1" x14ac:dyDescent="0.3">
      <c r="A530">
        <v>6365</v>
      </c>
      <c r="B530">
        <v>3310</v>
      </c>
      <c r="C530">
        <v>413</v>
      </c>
      <c r="D530" t="s">
        <v>19</v>
      </c>
      <c r="E530" t="s">
        <v>20</v>
      </c>
      <c r="F530" t="s">
        <v>21</v>
      </c>
      <c r="G530" t="s">
        <v>25</v>
      </c>
      <c r="H530">
        <v>279</v>
      </c>
      <c r="I530">
        <v>247.5</v>
      </c>
      <c r="J530">
        <v>93.5</v>
      </c>
      <c r="K530">
        <v>66</v>
      </c>
      <c r="L530">
        <v>25.5</v>
      </c>
      <c r="M530">
        <v>10</v>
      </c>
      <c r="N530">
        <v>0.24396641035185801</v>
      </c>
      <c r="O530">
        <v>6.3258973465923907E-2</v>
      </c>
      <c r="P530" t="str">
        <f t="shared" si="16"/>
        <v>F</v>
      </c>
      <c r="Q530" t="str">
        <f t="shared" si="17"/>
        <v>F</v>
      </c>
    </row>
    <row r="531" spans="1:17" hidden="1" x14ac:dyDescent="0.3">
      <c r="A531">
        <v>6366</v>
      </c>
      <c r="B531">
        <v>3312</v>
      </c>
      <c r="C531">
        <v>298</v>
      </c>
      <c r="D531" t="s">
        <v>19</v>
      </c>
      <c r="E531" t="s">
        <v>20</v>
      </c>
      <c r="F531" t="s">
        <v>17</v>
      </c>
      <c r="G531" t="s">
        <v>25</v>
      </c>
      <c r="H531">
        <v>275.60000000000002</v>
      </c>
      <c r="I531">
        <v>251</v>
      </c>
      <c r="J531">
        <v>95.1</v>
      </c>
      <c r="K531">
        <v>66.5</v>
      </c>
      <c r="L531">
        <v>25.3</v>
      </c>
      <c r="M531">
        <v>10.5</v>
      </c>
      <c r="N531">
        <v>0.27734687899003801</v>
      </c>
      <c r="O531">
        <v>7.14400236609119E-2</v>
      </c>
      <c r="P531" t="str">
        <f t="shared" si="16"/>
        <v>F</v>
      </c>
      <c r="Q531" t="str">
        <f t="shared" si="17"/>
        <v>F</v>
      </c>
    </row>
    <row r="532" spans="1:17" hidden="1" x14ac:dyDescent="0.3">
      <c r="A532">
        <v>6383</v>
      </c>
      <c r="B532">
        <v>3317</v>
      </c>
      <c r="C532">
        <v>203</v>
      </c>
      <c r="D532" t="s">
        <v>19</v>
      </c>
      <c r="E532" t="s">
        <v>20</v>
      </c>
      <c r="F532" t="s">
        <v>17</v>
      </c>
      <c r="G532" t="s">
        <v>24</v>
      </c>
      <c r="H532">
        <v>277.60000000000002</v>
      </c>
      <c r="I532">
        <v>247.5</v>
      </c>
      <c r="J532">
        <v>94</v>
      </c>
      <c r="K532">
        <v>65</v>
      </c>
      <c r="L532">
        <v>24.9</v>
      </c>
      <c r="M532">
        <v>9.5</v>
      </c>
      <c r="N532">
        <v>0.250899024864503</v>
      </c>
      <c r="O532">
        <v>5.7270824577829497E-2</v>
      </c>
      <c r="P532" t="str">
        <f t="shared" si="16"/>
        <v>F</v>
      </c>
      <c r="Q532" t="str">
        <f t="shared" si="17"/>
        <v>F</v>
      </c>
    </row>
    <row r="533" spans="1:17" hidden="1" x14ac:dyDescent="0.3">
      <c r="A533">
        <v>6384</v>
      </c>
      <c r="B533">
        <v>3317</v>
      </c>
      <c r="C533">
        <v>203</v>
      </c>
      <c r="D533" t="s">
        <v>19</v>
      </c>
      <c r="E533" t="s">
        <v>20</v>
      </c>
      <c r="F533" t="s">
        <v>17</v>
      </c>
      <c r="G533" t="s">
        <v>24</v>
      </c>
      <c r="H533">
        <v>277.60000000000002</v>
      </c>
      <c r="I533">
        <v>247.5</v>
      </c>
      <c r="J533">
        <v>94</v>
      </c>
      <c r="K533">
        <v>65</v>
      </c>
      <c r="L533">
        <v>24.9</v>
      </c>
      <c r="M533">
        <v>9.5</v>
      </c>
      <c r="N533">
        <v>0.26979671153199802</v>
      </c>
      <c r="O533">
        <v>3.4317775730937597E-2</v>
      </c>
      <c r="P533" t="str">
        <f t="shared" si="16"/>
        <v>F</v>
      </c>
      <c r="Q533" t="str">
        <f t="shared" si="17"/>
        <v>F</v>
      </c>
    </row>
    <row r="534" spans="1:17" hidden="1" x14ac:dyDescent="0.3">
      <c r="A534">
        <v>6387</v>
      </c>
      <c r="B534">
        <v>3319</v>
      </c>
      <c r="C534">
        <v>147</v>
      </c>
      <c r="D534" t="s">
        <v>19</v>
      </c>
      <c r="E534" t="s">
        <v>20</v>
      </c>
      <c r="F534" t="s">
        <v>21</v>
      </c>
      <c r="G534" t="s">
        <v>26</v>
      </c>
      <c r="H534">
        <v>274.7</v>
      </c>
      <c r="I534">
        <v>246</v>
      </c>
      <c r="J534">
        <v>94.8</v>
      </c>
      <c r="K534">
        <v>66.5</v>
      </c>
      <c r="L534">
        <v>23.6</v>
      </c>
      <c r="M534">
        <v>10.5</v>
      </c>
      <c r="N534">
        <v>0.14392868809551099</v>
      </c>
      <c r="O534">
        <v>0.104709176723866</v>
      </c>
      <c r="P534" t="str">
        <f t="shared" si="16"/>
        <v>F</v>
      </c>
      <c r="Q534" t="str">
        <f t="shared" si="17"/>
        <v>F</v>
      </c>
    </row>
    <row r="535" spans="1:17" hidden="1" x14ac:dyDescent="0.3">
      <c r="A535">
        <v>6388</v>
      </c>
      <c r="B535">
        <v>3319</v>
      </c>
      <c r="C535">
        <v>147</v>
      </c>
      <c r="D535" t="s">
        <v>19</v>
      </c>
      <c r="E535" t="s">
        <v>20</v>
      </c>
      <c r="F535" t="s">
        <v>21</v>
      </c>
      <c r="G535" t="s">
        <v>26</v>
      </c>
      <c r="H535">
        <v>274.7</v>
      </c>
      <c r="I535">
        <v>246</v>
      </c>
      <c r="J535">
        <v>94.8</v>
      </c>
      <c r="K535">
        <v>66.5</v>
      </c>
      <c r="L535">
        <v>23.6</v>
      </c>
      <c r="M535">
        <v>10.5</v>
      </c>
      <c r="N535">
        <v>0.147751848239563</v>
      </c>
      <c r="O535">
        <v>0.12186014682313499</v>
      </c>
      <c r="P535" t="str">
        <f t="shared" si="16"/>
        <v>F</v>
      </c>
      <c r="Q535" t="str">
        <f t="shared" si="17"/>
        <v>F</v>
      </c>
    </row>
    <row r="536" spans="1:17" hidden="1" x14ac:dyDescent="0.3">
      <c r="A536">
        <v>6389</v>
      </c>
      <c r="B536">
        <v>3319</v>
      </c>
      <c r="C536">
        <v>147</v>
      </c>
      <c r="D536" t="s">
        <v>19</v>
      </c>
      <c r="E536" t="s">
        <v>20</v>
      </c>
      <c r="F536" t="s">
        <v>21</v>
      </c>
      <c r="G536" t="s">
        <v>26</v>
      </c>
      <c r="H536">
        <v>274.7</v>
      </c>
      <c r="I536">
        <v>246</v>
      </c>
      <c r="J536">
        <v>94.8</v>
      </c>
      <c r="K536">
        <v>66.5</v>
      </c>
      <c r="L536">
        <v>23.6</v>
      </c>
      <c r="M536">
        <v>10.5</v>
      </c>
      <c r="N536">
        <v>0.120725067481968</v>
      </c>
      <c r="O536">
        <v>0.10320784216888</v>
      </c>
      <c r="P536" t="str">
        <f t="shared" si="16"/>
        <v>F</v>
      </c>
      <c r="Q536" t="str">
        <f t="shared" si="17"/>
        <v>F</v>
      </c>
    </row>
    <row r="537" spans="1:17" hidden="1" x14ac:dyDescent="0.3">
      <c r="A537">
        <v>6432</v>
      </c>
      <c r="B537">
        <v>3333</v>
      </c>
      <c r="C537">
        <v>68</v>
      </c>
      <c r="D537" t="s">
        <v>19</v>
      </c>
      <c r="E537" t="s">
        <v>20</v>
      </c>
      <c r="F537" t="s">
        <v>17</v>
      </c>
      <c r="G537" t="s">
        <v>22</v>
      </c>
      <c r="H537">
        <v>275.60000000000002</v>
      </c>
      <c r="I537">
        <v>254.5</v>
      </c>
      <c r="J537">
        <v>95.5</v>
      </c>
      <c r="K537">
        <v>65.5</v>
      </c>
      <c r="L537">
        <v>29.1</v>
      </c>
      <c r="M537">
        <v>10</v>
      </c>
      <c r="N537">
        <v>0.20156888046941701</v>
      </c>
      <c r="O537">
        <v>0.15516206063467999</v>
      </c>
      <c r="P537" t="str">
        <f t="shared" si="16"/>
        <v>F</v>
      </c>
      <c r="Q537" t="str">
        <f t="shared" si="17"/>
        <v>F</v>
      </c>
    </row>
    <row r="538" spans="1:17" hidden="1" x14ac:dyDescent="0.3">
      <c r="A538">
        <v>6433</v>
      </c>
      <c r="B538">
        <v>3333</v>
      </c>
      <c r="C538">
        <v>68</v>
      </c>
      <c r="D538" t="s">
        <v>19</v>
      </c>
      <c r="E538" t="s">
        <v>20</v>
      </c>
      <c r="F538" t="s">
        <v>17</v>
      </c>
      <c r="G538" t="s">
        <v>22</v>
      </c>
      <c r="H538">
        <v>275.60000000000002</v>
      </c>
      <c r="I538">
        <v>254.5</v>
      </c>
      <c r="J538">
        <v>95.5</v>
      </c>
      <c r="K538">
        <v>65.5</v>
      </c>
      <c r="L538">
        <v>29.1</v>
      </c>
      <c r="M538">
        <v>10</v>
      </c>
      <c r="N538">
        <v>0.21046422709798199</v>
      </c>
      <c r="O538">
        <v>0.18501731978646299</v>
      </c>
      <c r="P538" t="str">
        <f t="shared" si="16"/>
        <v>F</v>
      </c>
      <c r="Q538" t="str">
        <f t="shared" si="17"/>
        <v>F</v>
      </c>
    </row>
    <row r="539" spans="1:17" hidden="1" x14ac:dyDescent="0.3">
      <c r="A539">
        <v>6434</v>
      </c>
      <c r="B539">
        <v>3333</v>
      </c>
      <c r="C539">
        <v>68</v>
      </c>
      <c r="D539" t="s">
        <v>19</v>
      </c>
      <c r="E539" t="s">
        <v>20</v>
      </c>
      <c r="F539" t="s">
        <v>17</v>
      </c>
      <c r="G539" t="s">
        <v>22</v>
      </c>
      <c r="H539">
        <v>275.60000000000002</v>
      </c>
      <c r="I539">
        <v>254.5</v>
      </c>
      <c r="J539">
        <v>95.5</v>
      </c>
      <c r="K539">
        <v>65.5</v>
      </c>
      <c r="L539">
        <v>29.1</v>
      </c>
      <c r="M539">
        <v>10</v>
      </c>
      <c r="N539">
        <v>0.20191551052001</v>
      </c>
      <c r="O539">
        <v>0.175837993920091</v>
      </c>
      <c r="P539" t="str">
        <f t="shared" si="16"/>
        <v>F</v>
      </c>
      <c r="Q539" t="str">
        <f t="shared" si="17"/>
        <v>F</v>
      </c>
    </row>
    <row r="540" spans="1:17" hidden="1" x14ac:dyDescent="0.3">
      <c r="A540">
        <v>6444</v>
      </c>
      <c r="B540">
        <v>3338</v>
      </c>
      <c r="C540">
        <v>118</v>
      </c>
      <c r="D540" t="s">
        <v>19</v>
      </c>
      <c r="E540" t="s">
        <v>20</v>
      </c>
      <c r="F540" t="s">
        <v>21</v>
      </c>
      <c r="G540" t="s">
        <v>26</v>
      </c>
      <c r="H540">
        <v>276.39999999999998</v>
      </c>
      <c r="I540">
        <v>245.5</v>
      </c>
      <c r="J540">
        <v>96.4</v>
      </c>
      <c r="K540">
        <v>67.5</v>
      </c>
      <c r="L540">
        <v>24.9</v>
      </c>
      <c r="M540">
        <v>4</v>
      </c>
      <c r="N540">
        <v>0.1531762592683</v>
      </c>
      <c r="O540">
        <v>0.245629178848802</v>
      </c>
      <c r="P540" t="str">
        <f t="shared" si="16"/>
        <v>F</v>
      </c>
      <c r="Q540" t="str">
        <f t="shared" si="17"/>
        <v>F</v>
      </c>
    </row>
    <row r="541" spans="1:17" hidden="1" x14ac:dyDescent="0.3">
      <c r="A541">
        <v>6549</v>
      </c>
      <c r="B541">
        <v>3380</v>
      </c>
      <c r="C541">
        <v>303</v>
      </c>
      <c r="D541" t="s">
        <v>19</v>
      </c>
      <c r="E541" t="s">
        <v>20</v>
      </c>
      <c r="F541" t="s">
        <v>21</v>
      </c>
      <c r="G541" t="s">
        <v>22</v>
      </c>
      <c r="H541">
        <v>277.60000000000002</v>
      </c>
      <c r="I541">
        <v>254.5</v>
      </c>
      <c r="J541">
        <v>94.7</v>
      </c>
      <c r="K541">
        <v>67</v>
      </c>
      <c r="L541">
        <v>27.3</v>
      </c>
      <c r="M541">
        <v>14</v>
      </c>
      <c r="N541">
        <v>6.6533422014157198E-2</v>
      </c>
      <c r="O541">
        <v>0.157436305797996</v>
      </c>
      <c r="P541" t="str">
        <f t="shared" si="16"/>
        <v>F</v>
      </c>
      <c r="Q541" t="str">
        <f t="shared" si="17"/>
        <v>F</v>
      </c>
    </row>
    <row r="542" spans="1:17" hidden="1" x14ac:dyDescent="0.3">
      <c r="A542">
        <v>6550</v>
      </c>
      <c r="B542">
        <v>3381</v>
      </c>
      <c r="C542">
        <v>298</v>
      </c>
      <c r="D542" t="s">
        <v>19</v>
      </c>
      <c r="E542" t="s">
        <v>20</v>
      </c>
      <c r="F542" t="s">
        <v>21</v>
      </c>
      <c r="G542" t="s">
        <v>25</v>
      </c>
      <c r="H542">
        <v>275.60000000000002</v>
      </c>
      <c r="I542">
        <v>251</v>
      </c>
      <c r="J542">
        <v>95.1</v>
      </c>
      <c r="K542">
        <v>66.5</v>
      </c>
      <c r="L542">
        <v>25.3</v>
      </c>
      <c r="M542">
        <v>10.5</v>
      </c>
      <c r="N542">
        <v>0.308448724036615</v>
      </c>
      <c r="O542">
        <v>7.9505796458361394E-2</v>
      </c>
      <c r="P542" t="str">
        <f t="shared" si="16"/>
        <v>F</v>
      </c>
      <c r="Q542" t="str">
        <f t="shared" si="17"/>
        <v>F</v>
      </c>
    </row>
    <row r="543" spans="1:17" hidden="1" x14ac:dyDescent="0.3">
      <c r="A543">
        <v>6551</v>
      </c>
      <c r="B543">
        <v>3381</v>
      </c>
      <c r="C543">
        <v>298</v>
      </c>
      <c r="D543" t="s">
        <v>19</v>
      </c>
      <c r="E543" t="s">
        <v>20</v>
      </c>
      <c r="F543" t="s">
        <v>21</v>
      </c>
      <c r="G543" t="s">
        <v>25</v>
      </c>
      <c r="H543">
        <v>275.60000000000002</v>
      </c>
      <c r="I543">
        <v>251</v>
      </c>
      <c r="J543">
        <v>95.1</v>
      </c>
      <c r="K543">
        <v>66.5</v>
      </c>
      <c r="L543">
        <v>25.3</v>
      </c>
      <c r="M543">
        <v>10.5</v>
      </c>
      <c r="N543">
        <v>0.29712382879363902</v>
      </c>
      <c r="O543">
        <v>5.5072532207583999E-2</v>
      </c>
      <c r="P543" t="str">
        <f t="shared" si="16"/>
        <v>F</v>
      </c>
      <c r="Q543" t="str">
        <f t="shared" si="17"/>
        <v>F</v>
      </c>
    </row>
    <row r="544" spans="1:17" hidden="1" x14ac:dyDescent="0.3">
      <c r="A544">
        <v>6552</v>
      </c>
      <c r="B544">
        <v>3381</v>
      </c>
      <c r="C544">
        <v>298</v>
      </c>
      <c r="D544" t="s">
        <v>19</v>
      </c>
      <c r="E544" t="s">
        <v>20</v>
      </c>
      <c r="F544" t="s">
        <v>21</v>
      </c>
      <c r="G544" t="s">
        <v>25</v>
      </c>
      <c r="H544">
        <v>275.60000000000002</v>
      </c>
      <c r="I544">
        <v>251</v>
      </c>
      <c r="J544">
        <v>95.1</v>
      </c>
      <c r="K544">
        <v>66.5</v>
      </c>
      <c r="L544">
        <v>25.3</v>
      </c>
      <c r="M544">
        <v>10.5</v>
      </c>
      <c r="N544">
        <v>0.30059446295961001</v>
      </c>
      <c r="O544">
        <v>7.0607277507154606E-2</v>
      </c>
      <c r="P544" t="str">
        <f t="shared" si="16"/>
        <v>F</v>
      </c>
      <c r="Q544" t="str">
        <f t="shared" si="17"/>
        <v>F</v>
      </c>
    </row>
    <row r="545" spans="1:17" hidden="1" x14ac:dyDescent="0.3">
      <c r="A545">
        <v>6553</v>
      </c>
      <c r="B545">
        <v>3381</v>
      </c>
      <c r="C545">
        <v>298</v>
      </c>
      <c r="D545" t="s">
        <v>19</v>
      </c>
      <c r="E545" t="s">
        <v>20</v>
      </c>
      <c r="F545" t="s">
        <v>21</v>
      </c>
      <c r="G545" t="s">
        <v>25</v>
      </c>
      <c r="H545">
        <v>275.60000000000002</v>
      </c>
      <c r="I545">
        <v>251</v>
      </c>
      <c r="J545">
        <v>95.1</v>
      </c>
      <c r="K545">
        <v>66.5</v>
      </c>
      <c r="L545">
        <v>25.3</v>
      </c>
      <c r="M545">
        <v>10.5</v>
      </c>
      <c r="N545">
        <v>0.29397775870310699</v>
      </c>
      <c r="O545">
        <v>4.4896377814180398E-2</v>
      </c>
      <c r="P545" t="str">
        <f t="shared" si="16"/>
        <v>F</v>
      </c>
      <c r="Q545" t="str">
        <f t="shared" si="17"/>
        <v>F</v>
      </c>
    </row>
    <row r="546" spans="1:17" hidden="1" x14ac:dyDescent="0.3">
      <c r="A546">
        <v>6578</v>
      </c>
      <c r="B546">
        <v>3391</v>
      </c>
      <c r="C546">
        <v>269</v>
      </c>
      <c r="D546" t="s">
        <v>19</v>
      </c>
      <c r="E546" t="s">
        <v>20</v>
      </c>
      <c r="F546" t="s">
        <v>21</v>
      </c>
      <c r="G546" t="s">
        <v>18</v>
      </c>
      <c r="H546">
        <v>273.8</v>
      </c>
      <c r="I546">
        <v>243</v>
      </c>
      <c r="J546">
        <v>91.5</v>
      </c>
      <c r="K546">
        <v>66</v>
      </c>
      <c r="L546">
        <v>24.8</v>
      </c>
      <c r="M546">
        <v>8.5</v>
      </c>
      <c r="N546">
        <v>0.10775873445784399</v>
      </c>
      <c r="O546">
        <v>0.121888176352577</v>
      </c>
      <c r="P546" t="str">
        <f t="shared" si="16"/>
        <v>F</v>
      </c>
      <c r="Q546" t="str">
        <f t="shared" si="17"/>
        <v>F</v>
      </c>
    </row>
    <row r="547" spans="1:17" hidden="1" x14ac:dyDescent="0.3">
      <c r="A547">
        <v>6579</v>
      </c>
      <c r="B547">
        <v>3392</v>
      </c>
      <c r="C547">
        <v>197</v>
      </c>
      <c r="D547" t="s">
        <v>19</v>
      </c>
      <c r="E547" t="s">
        <v>20</v>
      </c>
      <c r="F547" t="s">
        <v>17</v>
      </c>
      <c r="G547" t="s">
        <v>25</v>
      </c>
      <c r="H547">
        <v>280.10000000000002</v>
      </c>
      <c r="I547">
        <v>249.5</v>
      </c>
      <c r="J547">
        <v>95.8</v>
      </c>
      <c r="K547">
        <v>69.5</v>
      </c>
      <c r="L547">
        <v>26.6</v>
      </c>
      <c r="M547">
        <v>6.5</v>
      </c>
      <c r="N547">
        <v>0.17792887490193099</v>
      </c>
      <c r="O547">
        <v>1.5126977504637601E-2</v>
      </c>
      <c r="P547" t="str">
        <f t="shared" si="16"/>
        <v>F</v>
      </c>
      <c r="Q547" t="str">
        <f t="shared" si="17"/>
        <v>T</v>
      </c>
    </row>
    <row r="548" spans="1:17" hidden="1" x14ac:dyDescent="0.3">
      <c r="A548">
        <v>6580</v>
      </c>
      <c r="B548">
        <v>3392</v>
      </c>
      <c r="C548">
        <v>197</v>
      </c>
      <c r="D548" t="s">
        <v>19</v>
      </c>
      <c r="E548" t="s">
        <v>20</v>
      </c>
      <c r="F548" t="s">
        <v>17</v>
      </c>
      <c r="G548" t="s">
        <v>25</v>
      </c>
      <c r="H548">
        <v>280.10000000000002</v>
      </c>
      <c r="I548">
        <v>249.5</v>
      </c>
      <c r="J548">
        <v>95.8</v>
      </c>
      <c r="K548">
        <v>69.5</v>
      </c>
      <c r="L548">
        <v>26.6</v>
      </c>
      <c r="M548">
        <v>6.5</v>
      </c>
      <c r="N548">
        <v>0.18117282359245401</v>
      </c>
      <c r="O548">
        <v>2.1552328249349099E-2</v>
      </c>
      <c r="P548" t="str">
        <f t="shared" si="16"/>
        <v>F</v>
      </c>
      <c r="Q548" t="str">
        <f t="shared" si="17"/>
        <v>T</v>
      </c>
    </row>
    <row r="549" spans="1:17" hidden="1" x14ac:dyDescent="0.3">
      <c r="A549">
        <v>6582</v>
      </c>
      <c r="B549">
        <v>3393</v>
      </c>
      <c r="C549">
        <v>193</v>
      </c>
      <c r="D549" t="s">
        <v>19</v>
      </c>
      <c r="E549" t="s">
        <v>20</v>
      </c>
      <c r="F549" t="s">
        <v>17</v>
      </c>
      <c r="G549" t="s">
        <v>25</v>
      </c>
      <c r="H549">
        <v>279.60000000000002</v>
      </c>
      <c r="I549">
        <v>259.5</v>
      </c>
      <c r="J549">
        <v>97.1</v>
      </c>
      <c r="K549">
        <v>67.5</v>
      </c>
      <c r="L549">
        <v>25.4</v>
      </c>
      <c r="M549">
        <v>7.5</v>
      </c>
      <c r="N549">
        <v>0.100997982852638</v>
      </c>
      <c r="O549">
        <v>3.0974228354056599E-2</v>
      </c>
      <c r="P549" t="str">
        <f t="shared" si="16"/>
        <v>F</v>
      </c>
      <c r="Q549" t="str">
        <f t="shared" si="17"/>
        <v>F</v>
      </c>
    </row>
    <row r="550" spans="1:17" hidden="1" x14ac:dyDescent="0.3">
      <c r="A550">
        <v>6586</v>
      </c>
      <c r="B550">
        <v>3396</v>
      </c>
      <c r="C550">
        <v>99</v>
      </c>
      <c r="D550" t="s">
        <v>19</v>
      </c>
      <c r="E550" t="s">
        <v>20</v>
      </c>
      <c r="F550" t="s">
        <v>21</v>
      </c>
      <c r="G550" t="s">
        <v>26</v>
      </c>
      <c r="H550">
        <v>277</v>
      </c>
      <c r="I550">
        <v>257</v>
      </c>
      <c r="J550">
        <v>99.7</v>
      </c>
      <c r="K550">
        <v>69</v>
      </c>
      <c r="L550">
        <v>26.4</v>
      </c>
      <c r="M550">
        <v>7.5</v>
      </c>
      <c r="N550">
        <v>0.12778813428109201</v>
      </c>
      <c r="O550">
        <v>6.0494957982700902E-2</v>
      </c>
      <c r="P550" t="str">
        <f t="shared" si="16"/>
        <v>F</v>
      </c>
      <c r="Q550" t="str">
        <f t="shared" si="17"/>
        <v>F</v>
      </c>
    </row>
    <row r="551" spans="1:17" hidden="1" x14ac:dyDescent="0.3">
      <c r="A551">
        <v>6587</v>
      </c>
      <c r="B551">
        <v>3396</v>
      </c>
      <c r="C551">
        <v>99</v>
      </c>
      <c r="D551" t="s">
        <v>19</v>
      </c>
      <c r="E551" t="s">
        <v>20</v>
      </c>
      <c r="F551" t="s">
        <v>21</v>
      </c>
      <c r="G551" t="s">
        <v>26</v>
      </c>
      <c r="H551">
        <v>277</v>
      </c>
      <c r="I551">
        <v>257</v>
      </c>
      <c r="J551">
        <v>99.7</v>
      </c>
      <c r="K551">
        <v>69</v>
      </c>
      <c r="L551">
        <v>26.4</v>
      </c>
      <c r="M551">
        <v>7.5</v>
      </c>
      <c r="N551">
        <v>0.119600840000485</v>
      </c>
      <c r="O551">
        <v>4.0384302088247101E-2</v>
      </c>
      <c r="P551" t="str">
        <f t="shared" si="16"/>
        <v>F</v>
      </c>
      <c r="Q551" t="str">
        <f t="shared" si="17"/>
        <v>F</v>
      </c>
    </row>
    <row r="552" spans="1:17" hidden="1" x14ac:dyDescent="0.3">
      <c r="A552">
        <v>6611</v>
      </c>
      <c r="B552">
        <v>3402</v>
      </c>
      <c r="C552">
        <v>455</v>
      </c>
      <c r="D552" t="s">
        <v>19</v>
      </c>
      <c r="E552" t="s">
        <v>20</v>
      </c>
      <c r="F552" t="s">
        <v>17</v>
      </c>
      <c r="G552" t="s">
        <v>25</v>
      </c>
      <c r="H552">
        <v>278.5</v>
      </c>
      <c r="I552">
        <v>252.5</v>
      </c>
      <c r="J552">
        <v>92.8</v>
      </c>
      <c r="K552">
        <v>69</v>
      </c>
      <c r="L552">
        <v>25.6</v>
      </c>
      <c r="M552">
        <v>9</v>
      </c>
      <c r="N552">
        <v>0.21257534731310801</v>
      </c>
      <c r="O552">
        <v>5.87847413345104E-2</v>
      </c>
      <c r="P552" t="str">
        <f t="shared" si="16"/>
        <v>F</v>
      </c>
      <c r="Q552" t="str">
        <f t="shared" si="17"/>
        <v>F</v>
      </c>
    </row>
    <row r="553" spans="1:17" hidden="1" x14ac:dyDescent="0.3">
      <c r="A553">
        <v>6612</v>
      </c>
      <c r="B553">
        <v>3402</v>
      </c>
      <c r="C553">
        <v>455</v>
      </c>
      <c r="D553" t="s">
        <v>19</v>
      </c>
      <c r="E553" t="s">
        <v>20</v>
      </c>
      <c r="F553" t="s">
        <v>17</v>
      </c>
      <c r="G553" t="s">
        <v>25</v>
      </c>
      <c r="H553">
        <v>278.5</v>
      </c>
      <c r="I553">
        <v>252.5</v>
      </c>
      <c r="J553">
        <v>92.8</v>
      </c>
      <c r="K553">
        <v>69</v>
      </c>
      <c r="L553">
        <v>25.6</v>
      </c>
      <c r="M553">
        <v>9</v>
      </c>
      <c r="N553">
        <v>0.198266510584515</v>
      </c>
      <c r="O553">
        <v>5.0433608818893999E-2</v>
      </c>
      <c r="P553" t="str">
        <f t="shared" si="16"/>
        <v>F</v>
      </c>
      <c r="Q553" t="str">
        <f t="shared" si="17"/>
        <v>F</v>
      </c>
    </row>
    <row r="554" spans="1:17" hidden="1" x14ac:dyDescent="0.3">
      <c r="A554">
        <v>6649</v>
      </c>
      <c r="B554">
        <v>3417</v>
      </c>
      <c r="C554">
        <v>29</v>
      </c>
      <c r="D554" t="s">
        <v>19</v>
      </c>
      <c r="E554" t="s">
        <v>20</v>
      </c>
      <c r="F554" t="s">
        <v>17</v>
      </c>
      <c r="G554" t="s">
        <v>18</v>
      </c>
      <c r="H554">
        <v>276.60000000000002</v>
      </c>
      <c r="I554">
        <v>256.5</v>
      </c>
      <c r="J554">
        <v>98.4</v>
      </c>
      <c r="K554">
        <v>67.5</v>
      </c>
      <c r="L554">
        <v>28.3</v>
      </c>
      <c r="M554">
        <v>8</v>
      </c>
      <c r="N554">
        <v>0.20580353320005501</v>
      </c>
      <c r="O554">
        <v>0.105065237271335</v>
      </c>
      <c r="P554" t="str">
        <f t="shared" si="16"/>
        <v>F</v>
      </c>
      <c r="Q554" t="str">
        <f t="shared" si="17"/>
        <v>F</v>
      </c>
    </row>
    <row r="555" spans="1:17" hidden="1" x14ac:dyDescent="0.3">
      <c r="A555">
        <v>6650</v>
      </c>
      <c r="B555">
        <v>3417</v>
      </c>
      <c r="C555">
        <v>29</v>
      </c>
      <c r="D555" t="s">
        <v>19</v>
      </c>
      <c r="E555" t="s">
        <v>20</v>
      </c>
      <c r="F555" t="s">
        <v>17</v>
      </c>
      <c r="G555" t="s">
        <v>18</v>
      </c>
      <c r="H555">
        <v>276.60000000000002</v>
      </c>
      <c r="I555">
        <v>256.5</v>
      </c>
      <c r="J555">
        <v>98.4</v>
      </c>
      <c r="K555">
        <v>67.5</v>
      </c>
      <c r="L555">
        <v>28.3</v>
      </c>
      <c r="M555">
        <v>8</v>
      </c>
      <c r="N555">
        <v>0.19712454823227299</v>
      </c>
      <c r="O555">
        <v>7.7235437348535704E-2</v>
      </c>
      <c r="P555" t="str">
        <f t="shared" si="16"/>
        <v>F</v>
      </c>
      <c r="Q555" t="str">
        <f t="shared" si="17"/>
        <v>F</v>
      </c>
    </row>
    <row r="556" spans="1:17" hidden="1" x14ac:dyDescent="0.3">
      <c r="A556">
        <v>6651</v>
      </c>
      <c r="B556">
        <v>3417</v>
      </c>
      <c r="C556">
        <v>29</v>
      </c>
      <c r="D556" t="s">
        <v>19</v>
      </c>
      <c r="E556" t="s">
        <v>20</v>
      </c>
      <c r="F556" t="s">
        <v>17</v>
      </c>
      <c r="G556" t="s">
        <v>18</v>
      </c>
      <c r="H556">
        <v>276.60000000000002</v>
      </c>
      <c r="I556">
        <v>256.5</v>
      </c>
      <c r="J556">
        <v>98.4</v>
      </c>
      <c r="K556">
        <v>67.5</v>
      </c>
      <c r="L556">
        <v>28.3</v>
      </c>
      <c r="M556">
        <v>8</v>
      </c>
      <c r="N556">
        <v>0.19189009970927001</v>
      </c>
      <c r="O556">
        <v>9.8968167262166895E-2</v>
      </c>
      <c r="P556" t="str">
        <f t="shared" si="16"/>
        <v>F</v>
      </c>
      <c r="Q556" t="str">
        <f t="shared" si="17"/>
        <v>F</v>
      </c>
    </row>
    <row r="557" spans="1:17" hidden="1" x14ac:dyDescent="0.3">
      <c r="A557">
        <v>6654</v>
      </c>
      <c r="B557">
        <v>3419</v>
      </c>
      <c r="C557">
        <v>310</v>
      </c>
      <c r="D557" t="s">
        <v>19</v>
      </c>
      <c r="E557" t="s">
        <v>20</v>
      </c>
      <c r="F557" t="s">
        <v>17</v>
      </c>
      <c r="G557" t="s">
        <v>18</v>
      </c>
      <c r="H557">
        <v>273.60000000000002</v>
      </c>
      <c r="I557">
        <v>255</v>
      </c>
      <c r="J557">
        <v>95.2</v>
      </c>
      <c r="K557">
        <v>63.5</v>
      </c>
      <c r="L557">
        <v>27</v>
      </c>
      <c r="M557">
        <v>11.5</v>
      </c>
      <c r="N557">
        <v>2.3301010549818701E-2</v>
      </c>
      <c r="O557">
        <v>0.113837689333612</v>
      </c>
      <c r="P557" t="str">
        <f t="shared" si="16"/>
        <v>T</v>
      </c>
      <c r="Q557" t="str">
        <f t="shared" si="17"/>
        <v>F</v>
      </c>
    </row>
    <row r="558" spans="1:17" hidden="1" x14ac:dyDescent="0.3">
      <c r="A558">
        <v>6655</v>
      </c>
      <c r="B558">
        <v>3419</v>
      </c>
      <c r="C558">
        <v>310</v>
      </c>
      <c r="D558" t="s">
        <v>19</v>
      </c>
      <c r="E558" t="s">
        <v>20</v>
      </c>
      <c r="F558" t="s">
        <v>17</v>
      </c>
      <c r="G558" t="s">
        <v>18</v>
      </c>
      <c r="H558">
        <v>273.60000000000002</v>
      </c>
      <c r="I558">
        <v>255</v>
      </c>
      <c r="J558">
        <v>95.2</v>
      </c>
      <c r="K558">
        <v>63.5</v>
      </c>
      <c r="L558">
        <v>27</v>
      </c>
      <c r="M558">
        <v>11.5</v>
      </c>
      <c r="N558">
        <v>3.68958150779546E-2</v>
      </c>
      <c r="O558">
        <v>0.120012721721464</v>
      </c>
      <c r="P558" t="str">
        <f t="shared" si="16"/>
        <v>T</v>
      </c>
      <c r="Q558" t="str">
        <f t="shared" si="17"/>
        <v>F</v>
      </c>
    </row>
    <row r="559" spans="1:17" hidden="1" x14ac:dyDescent="0.3">
      <c r="A559">
        <v>6656</v>
      </c>
      <c r="B559">
        <v>3419</v>
      </c>
      <c r="C559">
        <v>310</v>
      </c>
      <c r="D559" t="s">
        <v>19</v>
      </c>
      <c r="E559" t="s">
        <v>20</v>
      </c>
      <c r="F559" t="s">
        <v>17</v>
      </c>
      <c r="G559" t="s">
        <v>18</v>
      </c>
      <c r="H559">
        <v>273.60000000000002</v>
      </c>
      <c r="I559">
        <v>255</v>
      </c>
      <c r="J559">
        <v>95.2</v>
      </c>
      <c r="K559">
        <v>63.5</v>
      </c>
      <c r="L559">
        <v>27</v>
      </c>
      <c r="M559">
        <v>11.5</v>
      </c>
      <c r="N559">
        <v>2.4722035077672799E-2</v>
      </c>
      <c r="O559">
        <v>0.102693800662193</v>
      </c>
      <c r="P559" t="str">
        <f t="shared" si="16"/>
        <v>T</v>
      </c>
      <c r="Q559" t="str">
        <f t="shared" si="17"/>
        <v>F</v>
      </c>
    </row>
    <row r="560" spans="1:17" hidden="1" x14ac:dyDescent="0.3">
      <c r="A560">
        <v>6657</v>
      </c>
      <c r="B560">
        <v>3419</v>
      </c>
      <c r="C560">
        <v>310</v>
      </c>
      <c r="D560" t="s">
        <v>19</v>
      </c>
      <c r="E560" t="s">
        <v>20</v>
      </c>
      <c r="F560" t="s">
        <v>17</v>
      </c>
      <c r="G560" t="s">
        <v>18</v>
      </c>
      <c r="H560">
        <v>273.60000000000002</v>
      </c>
      <c r="I560">
        <v>255</v>
      </c>
      <c r="J560">
        <v>95.2</v>
      </c>
      <c r="K560">
        <v>63.5</v>
      </c>
      <c r="L560">
        <v>27</v>
      </c>
      <c r="M560">
        <v>11.5</v>
      </c>
      <c r="N560">
        <v>5.54982885817734E-2</v>
      </c>
      <c r="O560">
        <v>0.13035638070622599</v>
      </c>
      <c r="P560" t="str">
        <f t="shared" si="16"/>
        <v>T</v>
      </c>
      <c r="Q560" t="str">
        <f t="shared" si="17"/>
        <v>F</v>
      </c>
    </row>
    <row r="561" spans="1:17" hidden="1" x14ac:dyDescent="0.3">
      <c r="A561">
        <v>6658</v>
      </c>
      <c r="B561">
        <v>3419</v>
      </c>
      <c r="C561">
        <v>310</v>
      </c>
      <c r="D561" t="s">
        <v>19</v>
      </c>
      <c r="E561" t="s">
        <v>20</v>
      </c>
      <c r="F561" t="s">
        <v>17</v>
      </c>
      <c r="G561" t="s">
        <v>18</v>
      </c>
      <c r="H561">
        <v>273.60000000000002</v>
      </c>
      <c r="I561">
        <v>255</v>
      </c>
      <c r="J561">
        <v>95.2</v>
      </c>
      <c r="K561">
        <v>63.5</v>
      </c>
      <c r="L561">
        <v>27</v>
      </c>
      <c r="M561">
        <v>11.5</v>
      </c>
      <c r="N561">
        <v>4.43824216978266E-2</v>
      </c>
      <c r="O561">
        <v>0.107546790287739</v>
      </c>
      <c r="P561" t="str">
        <f t="shared" si="16"/>
        <v>T</v>
      </c>
      <c r="Q561" t="str">
        <f t="shared" si="17"/>
        <v>F</v>
      </c>
    </row>
    <row r="562" spans="1:17" hidden="1" x14ac:dyDescent="0.3">
      <c r="A562">
        <v>6659</v>
      </c>
      <c r="B562">
        <v>3419</v>
      </c>
      <c r="C562">
        <v>310</v>
      </c>
      <c r="D562" t="s">
        <v>19</v>
      </c>
      <c r="E562" t="s">
        <v>20</v>
      </c>
      <c r="F562" t="s">
        <v>17</v>
      </c>
      <c r="G562" t="s">
        <v>18</v>
      </c>
      <c r="H562">
        <v>273.60000000000002</v>
      </c>
      <c r="I562">
        <v>255</v>
      </c>
      <c r="J562">
        <v>95.2</v>
      </c>
      <c r="K562">
        <v>63.5</v>
      </c>
      <c r="L562">
        <v>27</v>
      </c>
      <c r="M562">
        <v>11.5</v>
      </c>
      <c r="N562">
        <v>2.4680371673770199E-2</v>
      </c>
      <c r="O562">
        <v>0.100874973789002</v>
      </c>
      <c r="P562" t="str">
        <f t="shared" si="16"/>
        <v>T</v>
      </c>
      <c r="Q562" t="str">
        <f t="shared" si="17"/>
        <v>F</v>
      </c>
    </row>
    <row r="563" spans="1:17" hidden="1" x14ac:dyDescent="0.3">
      <c r="A563">
        <v>6661</v>
      </c>
      <c r="B563">
        <v>342</v>
      </c>
      <c r="C563">
        <v>443</v>
      </c>
      <c r="D563" t="s">
        <v>19</v>
      </c>
      <c r="E563" t="s">
        <v>20</v>
      </c>
      <c r="F563" t="s">
        <v>21</v>
      </c>
      <c r="G563" t="s">
        <v>22</v>
      </c>
      <c r="H563">
        <v>272.5</v>
      </c>
      <c r="I563">
        <v>239.5</v>
      </c>
      <c r="J563">
        <v>96</v>
      </c>
      <c r="K563">
        <v>64.5</v>
      </c>
      <c r="L563">
        <v>20.399999999999999</v>
      </c>
      <c r="M563">
        <v>10</v>
      </c>
      <c r="N563">
        <v>0.23510605576455201</v>
      </c>
      <c r="O563">
        <v>6.4143329787031494E-2</v>
      </c>
      <c r="P563" t="str">
        <f t="shared" si="16"/>
        <v>F</v>
      </c>
      <c r="Q563" t="str">
        <f t="shared" si="17"/>
        <v>F</v>
      </c>
    </row>
    <row r="564" spans="1:17" hidden="1" x14ac:dyDescent="0.3">
      <c r="A564">
        <v>6662</v>
      </c>
      <c r="B564">
        <v>342</v>
      </c>
      <c r="C564">
        <v>443</v>
      </c>
      <c r="D564" t="s">
        <v>19</v>
      </c>
      <c r="E564" t="s">
        <v>20</v>
      </c>
      <c r="F564" t="s">
        <v>21</v>
      </c>
      <c r="G564" t="s">
        <v>22</v>
      </c>
      <c r="H564">
        <v>272.5</v>
      </c>
      <c r="I564">
        <v>239.5</v>
      </c>
      <c r="J564">
        <v>96</v>
      </c>
      <c r="K564">
        <v>64.5</v>
      </c>
      <c r="L564">
        <v>20.399999999999999</v>
      </c>
      <c r="M564">
        <v>10</v>
      </c>
      <c r="N564">
        <v>0.25960306630570501</v>
      </c>
      <c r="O564">
        <v>7.1462373208174806E-2</v>
      </c>
      <c r="P564" t="str">
        <f t="shared" si="16"/>
        <v>F</v>
      </c>
      <c r="Q564" t="str">
        <f t="shared" si="17"/>
        <v>F</v>
      </c>
    </row>
    <row r="565" spans="1:17" hidden="1" x14ac:dyDescent="0.3">
      <c r="A565">
        <v>6672</v>
      </c>
      <c r="B565">
        <v>3424</v>
      </c>
      <c r="C565">
        <v>450</v>
      </c>
      <c r="D565" t="s">
        <v>19</v>
      </c>
      <c r="E565" t="s">
        <v>20</v>
      </c>
      <c r="F565" t="s">
        <v>21</v>
      </c>
      <c r="G565" t="s">
        <v>18</v>
      </c>
      <c r="H565">
        <v>277.39999999999998</v>
      </c>
      <c r="I565">
        <v>240</v>
      </c>
      <c r="J565">
        <v>88.5</v>
      </c>
      <c r="K565">
        <v>65.5</v>
      </c>
      <c r="L565">
        <v>30.2</v>
      </c>
      <c r="M565">
        <v>5</v>
      </c>
      <c r="N565">
        <v>0.106139303705518</v>
      </c>
      <c r="O565">
        <v>0.19341975519313401</v>
      </c>
      <c r="P565" t="str">
        <f t="shared" si="16"/>
        <v>F</v>
      </c>
      <c r="Q565" t="str">
        <f t="shared" si="17"/>
        <v>F</v>
      </c>
    </row>
    <row r="566" spans="1:17" hidden="1" x14ac:dyDescent="0.3">
      <c r="A566">
        <v>6673</v>
      </c>
      <c r="B566">
        <v>3424</v>
      </c>
      <c r="C566">
        <v>450</v>
      </c>
      <c r="D566" t="s">
        <v>19</v>
      </c>
      <c r="E566" t="s">
        <v>20</v>
      </c>
      <c r="F566" t="s">
        <v>21</v>
      </c>
      <c r="G566" t="s">
        <v>18</v>
      </c>
      <c r="H566">
        <v>277.39999999999998</v>
      </c>
      <c r="I566">
        <v>240</v>
      </c>
      <c r="J566">
        <v>88.5</v>
      </c>
      <c r="K566">
        <v>65.5</v>
      </c>
      <c r="L566">
        <v>30.2</v>
      </c>
      <c r="M566">
        <v>5</v>
      </c>
      <c r="N566">
        <v>0.12117081111639499</v>
      </c>
      <c r="O566">
        <v>0.19275126571624801</v>
      </c>
      <c r="P566" t="str">
        <f t="shared" si="16"/>
        <v>F</v>
      </c>
      <c r="Q566" t="str">
        <f t="shared" si="17"/>
        <v>F</v>
      </c>
    </row>
    <row r="567" spans="1:17" hidden="1" x14ac:dyDescent="0.3">
      <c r="A567">
        <v>6699</v>
      </c>
      <c r="B567">
        <v>3435</v>
      </c>
      <c r="C567">
        <v>62</v>
      </c>
      <c r="D567" t="s">
        <v>19</v>
      </c>
      <c r="E567" t="s">
        <v>20</v>
      </c>
      <c r="F567" t="s">
        <v>17</v>
      </c>
      <c r="G567" t="s">
        <v>24</v>
      </c>
      <c r="H567">
        <v>274.5</v>
      </c>
      <c r="I567">
        <v>256.5</v>
      </c>
      <c r="J567">
        <v>98.4</v>
      </c>
      <c r="K567">
        <v>71.5</v>
      </c>
      <c r="L567">
        <v>29.3</v>
      </c>
      <c r="M567">
        <v>6</v>
      </c>
      <c r="N567">
        <v>0.26476544398698998</v>
      </c>
      <c r="O567">
        <v>0.130178341226975</v>
      </c>
      <c r="P567" t="str">
        <f t="shared" si="16"/>
        <v>F</v>
      </c>
      <c r="Q567" t="str">
        <f t="shared" si="17"/>
        <v>F</v>
      </c>
    </row>
    <row r="568" spans="1:17" hidden="1" x14ac:dyDescent="0.3">
      <c r="A568">
        <v>6700</v>
      </c>
      <c r="B568">
        <v>3435</v>
      </c>
      <c r="C568">
        <v>62</v>
      </c>
      <c r="D568" t="s">
        <v>19</v>
      </c>
      <c r="E568" t="s">
        <v>20</v>
      </c>
      <c r="F568" t="s">
        <v>17</v>
      </c>
      <c r="G568" t="s">
        <v>24</v>
      </c>
      <c r="H568">
        <v>274.5</v>
      </c>
      <c r="I568">
        <v>256.5</v>
      </c>
      <c r="J568">
        <v>98.4</v>
      </c>
      <c r="K568">
        <v>71.5</v>
      </c>
      <c r="L568">
        <v>29.3</v>
      </c>
      <c r="M568">
        <v>6</v>
      </c>
      <c r="N568">
        <v>0.25973353999626603</v>
      </c>
      <c r="O568">
        <v>0.119821266061651</v>
      </c>
      <c r="P568" t="str">
        <f t="shared" si="16"/>
        <v>F</v>
      </c>
      <c r="Q568" t="str">
        <f t="shared" si="17"/>
        <v>F</v>
      </c>
    </row>
    <row r="569" spans="1:17" hidden="1" x14ac:dyDescent="0.3">
      <c r="A569">
        <v>6701</v>
      </c>
      <c r="B569">
        <v>3437</v>
      </c>
      <c r="C569">
        <v>149</v>
      </c>
      <c r="D569" t="s">
        <v>19</v>
      </c>
      <c r="E569" t="s">
        <v>20</v>
      </c>
      <c r="F569" t="s">
        <v>17</v>
      </c>
      <c r="G569" t="s">
        <v>18</v>
      </c>
      <c r="H569">
        <v>275.8</v>
      </c>
      <c r="I569">
        <v>245.5</v>
      </c>
      <c r="J569">
        <v>93.1</v>
      </c>
      <c r="K569">
        <v>67</v>
      </c>
      <c r="L569">
        <v>28.1</v>
      </c>
      <c r="M569">
        <v>7</v>
      </c>
      <c r="N569">
        <v>0.17457525799281101</v>
      </c>
      <c r="O569">
        <v>0.10038670171203599</v>
      </c>
      <c r="P569" t="str">
        <f t="shared" si="16"/>
        <v>F</v>
      </c>
      <c r="Q569" t="str">
        <f t="shared" si="17"/>
        <v>F</v>
      </c>
    </row>
    <row r="570" spans="1:17" hidden="1" x14ac:dyDescent="0.3">
      <c r="A570">
        <v>6702</v>
      </c>
      <c r="B570">
        <v>3437</v>
      </c>
      <c r="C570">
        <v>149</v>
      </c>
      <c r="D570" t="s">
        <v>19</v>
      </c>
      <c r="E570" t="s">
        <v>20</v>
      </c>
      <c r="F570" t="s">
        <v>17</v>
      </c>
      <c r="G570" t="s">
        <v>18</v>
      </c>
      <c r="H570">
        <v>275.8</v>
      </c>
      <c r="I570">
        <v>245.5</v>
      </c>
      <c r="J570">
        <v>93.1</v>
      </c>
      <c r="K570">
        <v>67</v>
      </c>
      <c r="L570">
        <v>28.1</v>
      </c>
      <c r="M570">
        <v>7</v>
      </c>
      <c r="N570">
        <v>0.14022690602056601</v>
      </c>
      <c r="O570">
        <v>8.8358574367889797E-2</v>
      </c>
      <c r="P570" t="str">
        <f t="shared" si="16"/>
        <v>F</v>
      </c>
      <c r="Q570" t="str">
        <f t="shared" si="17"/>
        <v>F</v>
      </c>
    </row>
    <row r="571" spans="1:17" hidden="1" x14ac:dyDescent="0.3">
      <c r="A571">
        <v>6703</v>
      </c>
      <c r="B571">
        <v>3437</v>
      </c>
      <c r="C571">
        <v>149</v>
      </c>
      <c r="D571" t="s">
        <v>19</v>
      </c>
      <c r="E571" t="s">
        <v>20</v>
      </c>
      <c r="F571" t="s">
        <v>17</v>
      </c>
      <c r="G571" t="s">
        <v>18</v>
      </c>
      <c r="H571">
        <v>275.8</v>
      </c>
      <c r="I571">
        <v>245.5</v>
      </c>
      <c r="J571">
        <v>93.1</v>
      </c>
      <c r="K571">
        <v>67</v>
      </c>
      <c r="L571">
        <v>28.1</v>
      </c>
      <c r="M571">
        <v>7</v>
      </c>
      <c r="N571">
        <v>0.16750668932938301</v>
      </c>
      <c r="O571">
        <v>8.7436306655348198E-2</v>
      </c>
      <c r="P571" t="str">
        <f t="shared" si="16"/>
        <v>F</v>
      </c>
      <c r="Q571" t="str">
        <f t="shared" si="17"/>
        <v>F</v>
      </c>
    </row>
    <row r="572" spans="1:17" hidden="1" x14ac:dyDescent="0.3">
      <c r="A572">
        <v>6704</v>
      </c>
      <c r="B572">
        <v>3437</v>
      </c>
      <c r="C572">
        <v>149</v>
      </c>
      <c r="D572" t="s">
        <v>19</v>
      </c>
      <c r="E572" t="s">
        <v>20</v>
      </c>
      <c r="F572" t="s">
        <v>17</v>
      </c>
      <c r="G572" t="s">
        <v>18</v>
      </c>
      <c r="H572">
        <v>275.8</v>
      </c>
      <c r="I572">
        <v>245.5</v>
      </c>
      <c r="J572">
        <v>93.1</v>
      </c>
      <c r="K572">
        <v>67</v>
      </c>
      <c r="L572">
        <v>28.1</v>
      </c>
      <c r="M572">
        <v>7</v>
      </c>
      <c r="N572">
        <v>0.169594683964501</v>
      </c>
      <c r="O572">
        <v>8.4205542943712602E-2</v>
      </c>
      <c r="P572" t="str">
        <f t="shared" si="16"/>
        <v>F</v>
      </c>
      <c r="Q572" t="str">
        <f t="shared" si="17"/>
        <v>F</v>
      </c>
    </row>
    <row r="573" spans="1:17" hidden="1" x14ac:dyDescent="0.3">
      <c r="A573">
        <v>6726</v>
      </c>
      <c r="B573">
        <v>3445</v>
      </c>
      <c r="C573">
        <v>320</v>
      </c>
      <c r="D573" t="s">
        <v>19</v>
      </c>
      <c r="E573" t="s">
        <v>20</v>
      </c>
      <c r="F573" t="s">
        <v>21</v>
      </c>
      <c r="G573" t="s">
        <v>25</v>
      </c>
      <c r="H573">
        <v>279</v>
      </c>
      <c r="I573">
        <v>253.5</v>
      </c>
      <c r="J573">
        <v>97.1</v>
      </c>
      <c r="K573">
        <v>64</v>
      </c>
      <c r="L573">
        <v>24</v>
      </c>
      <c r="M573">
        <v>8</v>
      </c>
      <c r="N573">
        <v>0.14860744404020099</v>
      </c>
      <c r="O573">
        <v>3.4536329320263202E-2</v>
      </c>
      <c r="P573" t="str">
        <f t="shared" si="16"/>
        <v>F</v>
      </c>
      <c r="Q573" t="str">
        <f t="shared" si="17"/>
        <v>F</v>
      </c>
    </row>
    <row r="574" spans="1:17" hidden="1" x14ac:dyDescent="0.3">
      <c r="A574">
        <v>6746</v>
      </c>
      <c r="B574">
        <v>3451</v>
      </c>
      <c r="C574">
        <v>269</v>
      </c>
      <c r="D574" t="s">
        <v>19</v>
      </c>
      <c r="E574" t="s">
        <v>20</v>
      </c>
      <c r="F574" t="s">
        <v>21</v>
      </c>
      <c r="G574" t="s">
        <v>18</v>
      </c>
      <c r="H574">
        <v>273.8</v>
      </c>
      <c r="I574">
        <v>243</v>
      </c>
      <c r="J574">
        <v>91.5</v>
      </c>
      <c r="K574">
        <v>66</v>
      </c>
      <c r="L574">
        <v>24.8</v>
      </c>
      <c r="M574">
        <v>8.5</v>
      </c>
      <c r="N574">
        <v>0.104325057836942</v>
      </c>
      <c r="O574">
        <v>0.128024218381175</v>
      </c>
      <c r="P574" t="str">
        <f t="shared" si="16"/>
        <v>F</v>
      </c>
      <c r="Q574" t="str">
        <f t="shared" si="17"/>
        <v>F</v>
      </c>
    </row>
    <row r="575" spans="1:17" hidden="1" x14ac:dyDescent="0.3">
      <c r="A575">
        <v>6757</v>
      </c>
      <c r="B575">
        <v>3455</v>
      </c>
      <c r="C575">
        <v>310</v>
      </c>
      <c r="D575" t="s">
        <v>19</v>
      </c>
      <c r="E575" t="s">
        <v>20</v>
      </c>
      <c r="F575" t="s">
        <v>17</v>
      </c>
      <c r="G575" t="s">
        <v>18</v>
      </c>
      <c r="H575">
        <v>273.60000000000002</v>
      </c>
      <c r="I575">
        <v>255</v>
      </c>
      <c r="J575">
        <v>95.2</v>
      </c>
      <c r="K575">
        <v>63.5</v>
      </c>
      <c r="L575">
        <v>27</v>
      </c>
      <c r="M575">
        <v>11.5</v>
      </c>
      <c r="N575">
        <v>4.1585399526663298E-2</v>
      </c>
      <c r="O575">
        <v>0.103474893154561</v>
      </c>
      <c r="P575" t="str">
        <f t="shared" si="16"/>
        <v>T</v>
      </c>
      <c r="Q575" t="str">
        <f t="shared" si="17"/>
        <v>F</v>
      </c>
    </row>
    <row r="576" spans="1:17" hidden="1" x14ac:dyDescent="0.3">
      <c r="A576">
        <v>6758</v>
      </c>
      <c r="B576">
        <v>3455</v>
      </c>
      <c r="C576">
        <v>310</v>
      </c>
      <c r="D576" t="s">
        <v>19</v>
      </c>
      <c r="E576" t="s">
        <v>20</v>
      </c>
      <c r="F576" t="s">
        <v>17</v>
      </c>
      <c r="G576" t="s">
        <v>18</v>
      </c>
      <c r="H576">
        <v>273.60000000000002</v>
      </c>
      <c r="I576">
        <v>255</v>
      </c>
      <c r="J576">
        <v>95.2</v>
      </c>
      <c r="K576">
        <v>63.5</v>
      </c>
      <c r="L576">
        <v>27</v>
      </c>
      <c r="M576">
        <v>11.5</v>
      </c>
      <c r="N576">
        <v>3.6733482110436998E-2</v>
      </c>
      <c r="O576">
        <v>0.11831826820118201</v>
      </c>
      <c r="P576" t="str">
        <f t="shared" si="16"/>
        <v>T</v>
      </c>
      <c r="Q576" t="str">
        <f t="shared" si="17"/>
        <v>F</v>
      </c>
    </row>
    <row r="577" spans="1:17" hidden="1" x14ac:dyDescent="0.3">
      <c r="A577">
        <v>6759</v>
      </c>
      <c r="B577">
        <v>3455</v>
      </c>
      <c r="C577">
        <v>310</v>
      </c>
      <c r="D577" t="s">
        <v>19</v>
      </c>
      <c r="E577" t="s">
        <v>20</v>
      </c>
      <c r="F577" t="s">
        <v>17</v>
      </c>
      <c r="G577" t="s">
        <v>18</v>
      </c>
      <c r="H577">
        <v>273.60000000000002</v>
      </c>
      <c r="I577">
        <v>255</v>
      </c>
      <c r="J577">
        <v>95.2</v>
      </c>
      <c r="K577">
        <v>63.5</v>
      </c>
      <c r="L577">
        <v>27</v>
      </c>
      <c r="M577">
        <v>11.5</v>
      </c>
      <c r="N577">
        <v>3.9511640648252702E-2</v>
      </c>
      <c r="O577">
        <v>0.10871686791327</v>
      </c>
      <c r="P577" t="str">
        <f t="shared" si="16"/>
        <v>T</v>
      </c>
      <c r="Q577" t="str">
        <f t="shared" si="17"/>
        <v>F</v>
      </c>
    </row>
    <row r="578" spans="1:17" hidden="1" x14ac:dyDescent="0.3">
      <c r="A578">
        <v>6760</v>
      </c>
      <c r="B578">
        <v>3455</v>
      </c>
      <c r="C578">
        <v>310</v>
      </c>
      <c r="D578" t="s">
        <v>19</v>
      </c>
      <c r="E578" t="s">
        <v>20</v>
      </c>
      <c r="F578" t="s">
        <v>17</v>
      </c>
      <c r="G578" t="s">
        <v>18</v>
      </c>
      <c r="H578">
        <v>273.60000000000002</v>
      </c>
      <c r="I578">
        <v>255</v>
      </c>
      <c r="J578">
        <v>95.2</v>
      </c>
      <c r="K578">
        <v>63.5</v>
      </c>
      <c r="L578">
        <v>27</v>
      </c>
      <c r="M578">
        <v>11.5</v>
      </c>
      <c r="N578">
        <v>2.9959434425834201E-2</v>
      </c>
      <c r="O578">
        <v>0.121668164769726</v>
      </c>
      <c r="P578" t="str">
        <f t="shared" si="16"/>
        <v>T</v>
      </c>
      <c r="Q578" t="str">
        <f t="shared" si="17"/>
        <v>F</v>
      </c>
    </row>
    <row r="579" spans="1:17" hidden="1" x14ac:dyDescent="0.3">
      <c r="A579">
        <v>6785</v>
      </c>
      <c r="B579">
        <v>3465</v>
      </c>
      <c r="C579">
        <v>366</v>
      </c>
      <c r="D579" t="s">
        <v>19</v>
      </c>
      <c r="E579" t="s">
        <v>20</v>
      </c>
      <c r="F579" t="s">
        <v>21</v>
      </c>
      <c r="G579" t="s">
        <v>18</v>
      </c>
      <c r="H579">
        <v>275.89999999999998</v>
      </c>
      <c r="I579">
        <v>255</v>
      </c>
      <c r="J579">
        <v>94.9</v>
      </c>
      <c r="K579">
        <v>64</v>
      </c>
      <c r="L579">
        <v>26.8</v>
      </c>
      <c r="M579">
        <v>17</v>
      </c>
      <c r="N579">
        <v>0.17859531608037099</v>
      </c>
      <c r="O579">
        <v>0.14118206486790599</v>
      </c>
      <c r="P579" t="str">
        <f t="shared" ref="P579:P642" si="18">IF(N579&lt;0.06641, "T", "F")</f>
        <v>F</v>
      </c>
      <c r="Q579" t="str">
        <f t="shared" ref="Q579:Q642" si="19">IF(O579&lt;0.027899, "T", "F")</f>
        <v>F</v>
      </c>
    </row>
    <row r="580" spans="1:17" hidden="1" x14ac:dyDescent="0.3">
      <c r="A580">
        <v>6786</v>
      </c>
      <c r="B580">
        <v>3465</v>
      </c>
      <c r="C580">
        <v>366</v>
      </c>
      <c r="D580" t="s">
        <v>19</v>
      </c>
      <c r="E580" t="s">
        <v>20</v>
      </c>
      <c r="F580" t="s">
        <v>21</v>
      </c>
      <c r="G580" t="s">
        <v>18</v>
      </c>
      <c r="H580">
        <v>275.89999999999998</v>
      </c>
      <c r="I580">
        <v>255</v>
      </c>
      <c r="J580">
        <v>94.9</v>
      </c>
      <c r="K580">
        <v>64</v>
      </c>
      <c r="L580">
        <v>26.8</v>
      </c>
      <c r="M580">
        <v>17</v>
      </c>
      <c r="N580">
        <v>0.17244099582036801</v>
      </c>
      <c r="O580">
        <v>0.13976263378245901</v>
      </c>
      <c r="P580" t="str">
        <f t="shared" si="18"/>
        <v>F</v>
      </c>
      <c r="Q580" t="str">
        <f t="shared" si="19"/>
        <v>F</v>
      </c>
    </row>
    <row r="581" spans="1:17" hidden="1" x14ac:dyDescent="0.3">
      <c r="A581">
        <v>6787</v>
      </c>
      <c r="B581">
        <v>3465</v>
      </c>
      <c r="C581">
        <v>366</v>
      </c>
      <c r="D581" t="s">
        <v>19</v>
      </c>
      <c r="E581" t="s">
        <v>20</v>
      </c>
      <c r="F581" t="s">
        <v>21</v>
      </c>
      <c r="G581" t="s">
        <v>18</v>
      </c>
      <c r="H581">
        <v>275.89999999999998</v>
      </c>
      <c r="I581">
        <v>255</v>
      </c>
      <c r="J581">
        <v>94.9</v>
      </c>
      <c r="K581">
        <v>64</v>
      </c>
      <c r="L581">
        <v>26.8</v>
      </c>
      <c r="M581">
        <v>17</v>
      </c>
      <c r="N581">
        <v>0.182741274491109</v>
      </c>
      <c r="O581">
        <v>0.141094582577559</v>
      </c>
      <c r="P581" t="str">
        <f t="shared" si="18"/>
        <v>F</v>
      </c>
      <c r="Q581" t="str">
        <f t="shared" si="19"/>
        <v>F</v>
      </c>
    </row>
    <row r="582" spans="1:17" hidden="1" x14ac:dyDescent="0.3">
      <c r="A582">
        <v>6788</v>
      </c>
      <c r="B582">
        <v>3465</v>
      </c>
      <c r="C582">
        <v>366</v>
      </c>
      <c r="D582" t="s">
        <v>19</v>
      </c>
      <c r="E582" t="s">
        <v>20</v>
      </c>
      <c r="F582" t="s">
        <v>21</v>
      </c>
      <c r="G582" t="s">
        <v>18</v>
      </c>
      <c r="H582">
        <v>275.89999999999998</v>
      </c>
      <c r="I582">
        <v>255</v>
      </c>
      <c r="J582">
        <v>94.9</v>
      </c>
      <c r="K582">
        <v>64</v>
      </c>
      <c r="L582">
        <v>26.8</v>
      </c>
      <c r="M582">
        <v>17</v>
      </c>
      <c r="N582">
        <v>0.18413619972871501</v>
      </c>
      <c r="O582">
        <v>0.13717269869591001</v>
      </c>
      <c r="P582" t="str">
        <f t="shared" si="18"/>
        <v>F</v>
      </c>
      <c r="Q582" t="str">
        <f t="shared" si="19"/>
        <v>F</v>
      </c>
    </row>
    <row r="583" spans="1:17" hidden="1" x14ac:dyDescent="0.3">
      <c r="A583">
        <v>6789</v>
      </c>
      <c r="B583">
        <v>3465</v>
      </c>
      <c r="C583">
        <v>366</v>
      </c>
      <c r="D583" t="s">
        <v>19</v>
      </c>
      <c r="E583" t="s">
        <v>20</v>
      </c>
      <c r="F583" t="s">
        <v>21</v>
      </c>
      <c r="G583" t="s">
        <v>18</v>
      </c>
      <c r="H583">
        <v>275.89999999999998</v>
      </c>
      <c r="I583">
        <v>255</v>
      </c>
      <c r="J583">
        <v>94.9</v>
      </c>
      <c r="K583">
        <v>64</v>
      </c>
      <c r="L583">
        <v>26.8</v>
      </c>
      <c r="M583">
        <v>17</v>
      </c>
      <c r="N583">
        <v>0.16067290829095501</v>
      </c>
      <c r="O583">
        <v>0.143186760552237</v>
      </c>
      <c r="P583" t="str">
        <f t="shared" si="18"/>
        <v>F</v>
      </c>
      <c r="Q583" t="str">
        <f t="shared" si="19"/>
        <v>F</v>
      </c>
    </row>
    <row r="584" spans="1:17" hidden="1" x14ac:dyDescent="0.3">
      <c r="A584">
        <v>6808</v>
      </c>
      <c r="B584">
        <v>3472</v>
      </c>
      <c r="C584">
        <v>102</v>
      </c>
      <c r="D584" t="s">
        <v>19</v>
      </c>
      <c r="E584" t="s">
        <v>20</v>
      </c>
      <c r="F584" t="s">
        <v>17</v>
      </c>
      <c r="G584" t="s">
        <v>22</v>
      </c>
      <c r="H584">
        <v>273.60000000000002</v>
      </c>
      <c r="I584">
        <v>246</v>
      </c>
      <c r="J584">
        <v>93.6</v>
      </c>
      <c r="K584">
        <v>64.5</v>
      </c>
      <c r="L584">
        <v>25.6</v>
      </c>
      <c r="M584">
        <v>1.5</v>
      </c>
      <c r="N584">
        <v>0.16577928896258401</v>
      </c>
      <c r="O584">
        <v>0.19823131643759001</v>
      </c>
      <c r="P584" t="str">
        <f t="shared" si="18"/>
        <v>F</v>
      </c>
      <c r="Q584" t="str">
        <f t="shared" si="19"/>
        <v>F</v>
      </c>
    </row>
    <row r="585" spans="1:17" hidden="1" x14ac:dyDescent="0.3">
      <c r="A585">
        <v>6809</v>
      </c>
      <c r="B585">
        <v>3472</v>
      </c>
      <c r="C585">
        <v>102</v>
      </c>
      <c r="D585" t="s">
        <v>19</v>
      </c>
      <c r="E585" t="s">
        <v>20</v>
      </c>
      <c r="F585" t="s">
        <v>17</v>
      </c>
      <c r="G585" t="s">
        <v>22</v>
      </c>
      <c r="H585">
        <v>273.60000000000002</v>
      </c>
      <c r="I585">
        <v>246</v>
      </c>
      <c r="J585">
        <v>93.6</v>
      </c>
      <c r="K585">
        <v>64.5</v>
      </c>
      <c r="L585">
        <v>25.6</v>
      </c>
      <c r="M585">
        <v>1.5</v>
      </c>
      <c r="N585">
        <v>0.17701745656510401</v>
      </c>
      <c r="O585">
        <v>0.19843172888382099</v>
      </c>
      <c r="P585" t="str">
        <f t="shared" si="18"/>
        <v>F</v>
      </c>
      <c r="Q585" t="str">
        <f t="shared" si="19"/>
        <v>F</v>
      </c>
    </row>
    <row r="586" spans="1:17" hidden="1" x14ac:dyDescent="0.3">
      <c r="A586">
        <v>6847</v>
      </c>
      <c r="B586">
        <v>3489</v>
      </c>
      <c r="C586">
        <v>341</v>
      </c>
      <c r="D586" t="s">
        <v>19</v>
      </c>
      <c r="E586" t="s">
        <v>20</v>
      </c>
      <c r="F586" t="s">
        <v>17</v>
      </c>
      <c r="G586" t="s">
        <v>18</v>
      </c>
      <c r="H586">
        <v>273</v>
      </c>
      <c r="I586">
        <v>246.5</v>
      </c>
      <c r="J586">
        <v>95.4</v>
      </c>
      <c r="K586">
        <v>66.5</v>
      </c>
      <c r="L586">
        <v>26.4</v>
      </c>
      <c r="M586">
        <v>11</v>
      </c>
      <c r="N586">
        <v>0.28876144448533497</v>
      </c>
      <c r="O586">
        <v>6.8725436631956002E-2</v>
      </c>
      <c r="P586" t="str">
        <f t="shared" si="18"/>
        <v>F</v>
      </c>
      <c r="Q586" t="str">
        <f t="shared" si="19"/>
        <v>F</v>
      </c>
    </row>
    <row r="587" spans="1:17" hidden="1" x14ac:dyDescent="0.3">
      <c r="A587">
        <v>6859</v>
      </c>
      <c r="B587">
        <v>3494</v>
      </c>
      <c r="C587">
        <v>118</v>
      </c>
      <c r="D587" t="s">
        <v>19</v>
      </c>
      <c r="E587" t="s">
        <v>20</v>
      </c>
      <c r="F587" t="s">
        <v>21</v>
      </c>
      <c r="G587" t="s">
        <v>25</v>
      </c>
      <c r="H587">
        <v>276.39999999999998</v>
      </c>
      <c r="I587">
        <v>245.5</v>
      </c>
      <c r="J587">
        <v>96.4</v>
      </c>
      <c r="K587">
        <v>67.5</v>
      </c>
      <c r="L587">
        <v>24.9</v>
      </c>
      <c r="M587">
        <v>4</v>
      </c>
      <c r="N587">
        <v>0.14429965544628501</v>
      </c>
      <c r="O587">
        <v>0.22804773045781601</v>
      </c>
      <c r="P587" t="str">
        <f t="shared" si="18"/>
        <v>F</v>
      </c>
      <c r="Q587" t="str">
        <f t="shared" si="19"/>
        <v>F</v>
      </c>
    </row>
    <row r="588" spans="1:17" hidden="1" x14ac:dyDescent="0.3">
      <c r="A588">
        <v>6866</v>
      </c>
      <c r="B588">
        <v>3499</v>
      </c>
      <c r="C588">
        <v>68</v>
      </c>
      <c r="D588" t="s">
        <v>19</v>
      </c>
      <c r="E588" t="s">
        <v>20</v>
      </c>
      <c r="F588" t="s">
        <v>17</v>
      </c>
      <c r="G588" t="s">
        <v>24</v>
      </c>
      <c r="H588">
        <v>275.60000000000002</v>
      </c>
      <c r="I588">
        <v>254.5</v>
      </c>
      <c r="J588">
        <v>95.5</v>
      </c>
      <c r="K588">
        <v>65.5</v>
      </c>
      <c r="L588">
        <v>29.1</v>
      </c>
      <c r="M588">
        <v>10</v>
      </c>
      <c r="N588">
        <v>0.20479031626817201</v>
      </c>
      <c r="O588">
        <v>0.181389116604843</v>
      </c>
      <c r="P588" t="str">
        <f t="shared" si="18"/>
        <v>F</v>
      </c>
      <c r="Q588" t="str">
        <f t="shared" si="19"/>
        <v>F</v>
      </c>
    </row>
    <row r="589" spans="1:17" hidden="1" x14ac:dyDescent="0.3">
      <c r="A589">
        <v>6867</v>
      </c>
      <c r="B589">
        <v>3499</v>
      </c>
      <c r="C589">
        <v>68</v>
      </c>
      <c r="D589" t="s">
        <v>19</v>
      </c>
      <c r="E589" t="s">
        <v>20</v>
      </c>
      <c r="F589" t="s">
        <v>17</v>
      </c>
      <c r="G589" t="s">
        <v>24</v>
      </c>
      <c r="H589">
        <v>275.60000000000002</v>
      </c>
      <c r="I589">
        <v>254.5</v>
      </c>
      <c r="J589">
        <v>95.5</v>
      </c>
      <c r="K589">
        <v>65.5</v>
      </c>
      <c r="L589">
        <v>29.1</v>
      </c>
      <c r="M589">
        <v>10</v>
      </c>
      <c r="N589">
        <v>0.205053405675172</v>
      </c>
      <c r="O589">
        <v>0.18905923765194499</v>
      </c>
      <c r="P589" t="str">
        <f t="shared" si="18"/>
        <v>F</v>
      </c>
      <c r="Q589" t="str">
        <f t="shared" si="19"/>
        <v>F</v>
      </c>
    </row>
    <row r="590" spans="1:17" hidden="1" x14ac:dyDescent="0.3">
      <c r="A590">
        <v>6897</v>
      </c>
      <c r="B590">
        <v>3511</v>
      </c>
      <c r="C590">
        <v>99</v>
      </c>
      <c r="D590" t="s">
        <v>19</v>
      </c>
      <c r="E590" t="s">
        <v>20</v>
      </c>
      <c r="F590" t="s">
        <v>17</v>
      </c>
      <c r="G590" t="s">
        <v>22</v>
      </c>
      <c r="H590">
        <v>277</v>
      </c>
      <c r="I590">
        <v>257</v>
      </c>
      <c r="J590">
        <v>99.7</v>
      </c>
      <c r="K590">
        <v>69</v>
      </c>
      <c r="L590">
        <v>26.4</v>
      </c>
      <c r="M590">
        <v>7.5</v>
      </c>
      <c r="N590">
        <v>0.112559967657171</v>
      </c>
      <c r="O590">
        <v>2.6740509061988701E-2</v>
      </c>
      <c r="P590" t="str">
        <f t="shared" si="18"/>
        <v>F</v>
      </c>
      <c r="Q590" t="str">
        <f t="shared" si="19"/>
        <v>T</v>
      </c>
    </row>
    <row r="591" spans="1:17" hidden="1" x14ac:dyDescent="0.3">
      <c r="A591">
        <v>6905</v>
      </c>
      <c r="B591">
        <v>3513</v>
      </c>
      <c r="C591">
        <v>18</v>
      </c>
      <c r="D591" t="s">
        <v>19</v>
      </c>
      <c r="E591" t="s">
        <v>20</v>
      </c>
      <c r="F591" t="s">
        <v>17</v>
      </c>
      <c r="G591" t="s">
        <v>22</v>
      </c>
      <c r="H591">
        <v>271.39999999999998</v>
      </c>
      <c r="I591">
        <v>244</v>
      </c>
      <c r="J591">
        <v>97.3</v>
      </c>
      <c r="K591">
        <v>64</v>
      </c>
      <c r="L591">
        <v>23.3</v>
      </c>
      <c r="M591">
        <v>6.5</v>
      </c>
      <c r="N591">
        <v>0.237277882209011</v>
      </c>
      <c r="O591">
        <v>2.8817053002333998E-3</v>
      </c>
      <c r="P591" t="str">
        <f t="shared" si="18"/>
        <v>F</v>
      </c>
      <c r="Q591" t="str">
        <f t="shared" si="19"/>
        <v>T</v>
      </c>
    </row>
    <row r="592" spans="1:17" hidden="1" x14ac:dyDescent="0.3">
      <c r="A592">
        <v>6991</v>
      </c>
      <c r="B592">
        <v>3544</v>
      </c>
      <c r="C592">
        <v>32</v>
      </c>
      <c r="D592" t="s">
        <v>19</v>
      </c>
      <c r="E592" t="s">
        <v>20</v>
      </c>
      <c r="F592" t="s">
        <v>21</v>
      </c>
      <c r="G592" t="s">
        <v>24</v>
      </c>
      <c r="H592">
        <v>274.8</v>
      </c>
      <c r="I592">
        <v>261</v>
      </c>
      <c r="J592">
        <v>101</v>
      </c>
      <c r="K592">
        <v>66</v>
      </c>
      <c r="L592">
        <v>24.4</v>
      </c>
      <c r="M592">
        <v>8.5</v>
      </c>
      <c r="N592">
        <v>0.132462326992457</v>
      </c>
      <c r="O592">
        <v>0.14377813838831099</v>
      </c>
      <c r="P592" t="str">
        <f t="shared" si="18"/>
        <v>F</v>
      </c>
      <c r="Q592" t="str">
        <f t="shared" si="19"/>
        <v>F</v>
      </c>
    </row>
    <row r="593" spans="1:17" hidden="1" x14ac:dyDescent="0.3">
      <c r="A593">
        <v>6998</v>
      </c>
      <c r="B593">
        <v>3548</v>
      </c>
      <c r="C593">
        <v>203</v>
      </c>
      <c r="D593" t="s">
        <v>19</v>
      </c>
      <c r="E593" t="s">
        <v>20</v>
      </c>
      <c r="F593" t="s">
        <v>21</v>
      </c>
      <c r="G593" t="s">
        <v>26</v>
      </c>
      <c r="H593">
        <v>277.60000000000002</v>
      </c>
      <c r="I593">
        <v>247.5</v>
      </c>
      <c r="J593">
        <v>94</v>
      </c>
      <c r="K593">
        <v>65</v>
      </c>
      <c r="L593">
        <v>24.9</v>
      </c>
      <c r="M593">
        <v>9.5</v>
      </c>
      <c r="N593">
        <v>0.28915383433189801</v>
      </c>
      <c r="O593">
        <v>6.1510658053076803E-2</v>
      </c>
      <c r="P593" t="str">
        <f t="shared" si="18"/>
        <v>F</v>
      </c>
      <c r="Q593" t="str">
        <f t="shared" si="19"/>
        <v>F</v>
      </c>
    </row>
    <row r="594" spans="1:17" hidden="1" x14ac:dyDescent="0.3">
      <c r="A594">
        <v>6999</v>
      </c>
      <c r="B594">
        <v>3548</v>
      </c>
      <c r="C594">
        <v>203</v>
      </c>
      <c r="D594" t="s">
        <v>19</v>
      </c>
      <c r="E594" t="s">
        <v>20</v>
      </c>
      <c r="F594" t="s">
        <v>21</v>
      </c>
      <c r="G594" t="s">
        <v>26</v>
      </c>
      <c r="H594">
        <v>277.60000000000002</v>
      </c>
      <c r="I594">
        <v>247.5</v>
      </c>
      <c r="J594">
        <v>94</v>
      </c>
      <c r="K594">
        <v>65</v>
      </c>
      <c r="L594">
        <v>24.9</v>
      </c>
      <c r="M594">
        <v>9.5</v>
      </c>
      <c r="N594">
        <v>0.26251591947914299</v>
      </c>
      <c r="O594">
        <v>7.3590053248494394E-2</v>
      </c>
      <c r="P594" t="str">
        <f t="shared" si="18"/>
        <v>F</v>
      </c>
      <c r="Q594" t="str">
        <f t="shared" si="19"/>
        <v>F</v>
      </c>
    </row>
    <row r="595" spans="1:17" hidden="1" x14ac:dyDescent="0.3">
      <c r="A595">
        <v>7000</v>
      </c>
      <c r="B595">
        <v>3548</v>
      </c>
      <c r="C595">
        <v>203</v>
      </c>
      <c r="D595" t="s">
        <v>19</v>
      </c>
      <c r="E595" t="s">
        <v>20</v>
      </c>
      <c r="F595" t="s">
        <v>21</v>
      </c>
      <c r="G595" t="s">
        <v>26</v>
      </c>
      <c r="H595">
        <v>277.60000000000002</v>
      </c>
      <c r="I595">
        <v>247.5</v>
      </c>
      <c r="J595">
        <v>94</v>
      </c>
      <c r="K595">
        <v>65</v>
      </c>
      <c r="L595">
        <v>24.9</v>
      </c>
      <c r="M595">
        <v>9.5</v>
      </c>
      <c r="N595">
        <v>0.25450573868572002</v>
      </c>
      <c r="O595">
        <v>6.0311004763456001E-2</v>
      </c>
      <c r="P595" t="str">
        <f t="shared" si="18"/>
        <v>F</v>
      </c>
      <c r="Q595" t="str">
        <f t="shared" si="19"/>
        <v>F</v>
      </c>
    </row>
    <row r="596" spans="1:17" hidden="1" x14ac:dyDescent="0.3">
      <c r="A596">
        <v>7061</v>
      </c>
      <c r="B596">
        <v>3565</v>
      </c>
      <c r="C596">
        <v>310</v>
      </c>
      <c r="D596" t="s">
        <v>19</v>
      </c>
      <c r="E596" t="s">
        <v>20</v>
      </c>
      <c r="F596" t="s">
        <v>17</v>
      </c>
      <c r="G596" t="s">
        <v>26</v>
      </c>
      <c r="H596">
        <v>273.60000000000002</v>
      </c>
      <c r="I596">
        <v>255</v>
      </c>
      <c r="J596">
        <v>95.2</v>
      </c>
      <c r="K596">
        <v>63.5</v>
      </c>
      <c r="L596">
        <v>27</v>
      </c>
      <c r="M596">
        <v>11.5</v>
      </c>
      <c r="N596">
        <v>4.4254064380347902E-2</v>
      </c>
      <c r="O596">
        <v>0.12655111019081899</v>
      </c>
      <c r="P596" t="str">
        <f t="shared" si="18"/>
        <v>T</v>
      </c>
      <c r="Q596" t="str">
        <f t="shared" si="19"/>
        <v>F</v>
      </c>
    </row>
    <row r="597" spans="1:17" hidden="1" x14ac:dyDescent="0.3">
      <c r="A597">
        <v>7062</v>
      </c>
      <c r="B597">
        <v>3565</v>
      </c>
      <c r="C597">
        <v>310</v>
      </c>
      <c r="D597" t="s">
        <v>19</v>
      </c>
      <c r="E597" t="s">
        <v>20</v>
      </c>
      <c r="F597" t="s">
        <v>17</v>
      </c>
      <c r="G597" t="s">
        <v>26</v>
      </c>
      <c r="H597">
        <v>273.60000000000002</v>
      </c>
      <c r="I597">
        <v>255</v>
      </c>
      <c r="J597">
        <v>95.2</v>
      </c>
      <c r="K597">
        <v>63.5</v>
      </c>
      <c r="L597">
        <v>27</v>
      </c>
      <c r="M597">
        <v>11.5</v>
      </c>
      <c r="N597">
        <v>3.7935707908841397E-2</v>
      </c>
      <c r="O597">
        <v>0.122534471239164</v>
      </c>
      <c r="P597" t="str">
        <f t="shared" si="18"/>
        <v>T</v>
      </c>
      <c r="Q597" t="str">
        <f t="shared" si="19"/>
        <v>F</v>
      </c>
    </row>
    <row r="598" spans="1:17" hidden="1" x14ac:dyDescent="0.3">
      <c r="A598">
        <v>7078</v>
      </c>
      <c r="B598">
        <v>3570</v>
      </c>
      <c r="C598">
        <v>62</v>
      </c>
      <c r="D598" t="s">
        <v>19</v>
      </c>
      <c r="E598" t="s">
        <v>20</v>
      </c>
      <c r="F598" t="s">
        <v>17</v>
      </c>
      <c r="G598" t="s">
        <v>24</v>
      </c>
      <c r="H598">
        <v>274.5</v>
      </c>
      <c r="I598">
        <v>256.5</v>
      </c>
      <c r="J598">
        <v>98.4</v>
      </c>
      <c r="K598">
        <v>71.5</v>
      </c>
      <c r="L598">
        <v>29.3</v>
      </c>
      <c r="M598">
        <v>6</v>
      </c>
      <c r="N598">
        <v>0.27468695015905398</v>
      </c>
      <c r="O598">
        <v>0.119898167251584</v>
      </c>
      <c r="P598" t="str">
        <f t="shared" si="18"/>
        <v>F</v>
      </c>
      <c r="Q598" t="str">
        <f t="shared" si="19"/>
        <v>F</v>
      </c>
    </row>
    <row r="599" spans="1:17" hidden="1" x14ac:dyDescent="0.3">
      <c r="A599">
        <v>7100</v>
      </c>
      <c r="B599">
        <v>3578</v>
      </c>
      <c r="C599">
        <v>89</v>
      </c>
      <c r="D599" t="s">
        <v>19</v>
      </c>
      <c r="E599" t="s">
        <v>20</v>
      </c>
      <c r="F599" t="s">
        <v>17</v>
      </c>
      <c r="G599" t="s">
        <v>26</v>
      </c>
      <c r="H599">
        <v>275.89999999999998</v>
      </c>
      <c r="I599">
        <v>245.5</v>
      </c>
      <c r="J599">
        <v>92.8</v>
      </c>
      <c r="K599">
        <v>66.5</v>
      </c>
      <c r="L599">
        <v>26.7</v>
      </c>
      <c r="M599">
        <v>12.5</v>
      </c>
      <c r="N599">
        <v>7.5887618955844102E-2</v>
      </c>
      <c r="O599">
        <v>0.11332477412454101</v>
      </c>
      <c r="P599" t="str">
        <f t="shared" si="18"/>
        <v>F</v>
      </c>
      <c r="Q599" t="str">
        <f t="shared" si="19"/>
        <v>F</v>
      </c>
    </row>
    <row r="600" spans="1:17" hidden="1" x14ac:dyDescent="0.3">
      <c r="A600">
        <v>7101</v>
      </c>
      <c r="B600">
        <v>3578</v>
      </c>
      <c r="C600">
        <v>89</v>
      </c>
      <c r="D600" t="s">
        <v>19</v>
      </c>
      <c r="E600" t="s">
        <v>20</v>
      </c>
      <c r="F600" t="s">
        <v>17</v>
      </c>
      <c r="G600" t="s">
        <v>26</v>
      </c>
      <c r="H600">
        <v>275.89999999999998</v>
      </c>
      <c r="I600">
        <v>245.5</v>
      </c>
      <c r="J600">
        <v>92.8</v>
      </c>
      <c r="K600">
        <v>66.5</v>
      </c>
      <c r="L600">
        <v>26.7</v>
      </c>
      <c r="M600">
        <v>12.5</v>
      </c>
      <c r="N600">
        <v>8.4844912716986201E-2</v>
      </c>
      <c r="O600">
        <v>0.119213243174498</v>
      </c>
      <c r="P600" t="str">
        <f t="shared" si="18"/>
        <v>F</v>
      </c>
      <c r="Q600" t="str">
        <f t="shared" si="19"/>
        <v>F</v>
      </c>
    </row>
    <row r="601" spans="1:17" hidden="1" x14ac:dyDescent="0.3">
      <c r="A601">
        <v>7134</v>
      </c>
      <c r="B601">
        <v>3588</v>
      </c>
      <c r="C601">
        <v>274</v>
      </c>
      <c r="D601" t="s">
        <v>19</v>
      </c>
      <c r="E601" t="s">
        <v>20</v>
      </c>
      <c r="F601" t="s">
        <v>17</v>
      </c>
      <c r="G601" t="s">
        <v>25</v>
      </c>
      <c r="H601">
        <v>270.8</v>
      </c>
      <c r="I601">
        <v>241</v>
      </c>
      <c r="J601">
        <v>93</v>
      </c>
      <c r="K601">
        <v>61.5</v>
      </c>
      <c r="L601">
        <v>24.5</v>
      </c>
      <c r="M601">
        <v>11.5</v>
      </c>
      <c r="N601">
        <v>0.110812875362141</v>
      </c>
      <c r="O601">
        <v>0.19958393265430499</v>
      </c>
      <c r="P601" t="str">
        <f t="shared" si="18"/>
        <v>F</v>
      </c>
      <c r="Q601" t="str">
        <f t="shared" si="19"/>
        <v>F</v>
      </c>
    </row>
    <row r="602" spans="1:17" hidden="1" x14ac:dyDescent="0.3">
      <c r="A602">
        <v>7153</v>
      </c>
      <c r="B602">
        <v>3596</v>
      </c>
      <c r="C602">
        <v>298</v>
      </c>
      <c r="D602" t="s">
        <v>19</v>
      </c>
      <c r="E602" t="s">
        <v>20</v>
      </c>
      <c r="F602" t="s">
        <v>17</v>
      </c>
      <c r="G602" t="s">
        <v>18</v>
      </c>
      <c r="H602">
        <v>275.60000000000002</v>
      </c>
      <c r="I602">
        <v>251</v>
      </c>
      <c r="J602">
        <v>95.1</v>
      </c>
      <c r="K602">
        <v>66.5</v>
      </c>
      <c r="L602">
        <v>25.3</v>
      </c>
      <c r="M602">
        <v>10.5</v>
      </c>
      <c r="N602">
        <v>0.30977937870096001</v>
      </c>
      <c r="O602">
        <v>6.4971360914839696E-2</v>
      </c>
      <c r="P602" t="str">
        <f t="shared" si="18"/>
        <v>F</v>
      </c>
      <c r="Q602" t="str">
        <f t="shared" si="19"/>
        <v>F</v>
      </c>
    </row>
    <row r="603" spans="1:17" hidden="1" x14ac:dyDescent="0.3">
      <c r="A603">
        <v>7229</v>
      </c>
      <c r="B603">
        <v>3618</v>
      </c>
      <c r="C603">
        <v>269</v>
      </c>
      <c r="D603" t="s">
        <v>19</v>
      </c>
      <c r="E603" t="s">
        <v>20</v>
      </c>
      <c r="F603" t="s">
        <v>17</v>
      </c>
      <c r="G603" t="s">
        <v>25</v>
      </c>
      <c r="H603">
        <v>273.8</v>
      </c>
      <c r="I603">
        <v>243</v>
      </c>
      <c r="J603">
        <v>91.5</v>
      </c>
      <c r="K603">
        <v>66</v>
      </c>
      <c r="L603">
        <v>24.8</v>
      </c>
      <c r="M603">
        <v>8.5</v>
      </c>
      <c r="N603">
        <v>8.6014582594046998E-2</v>
      </c>
      <c r="O603">
        <v>0.13992831691969601</v>
      </c>
      <c r="P603" t="str">
        <f t="shared" si="18"/>
        <v>F</v>
      </c>
      <c r="Q603" t="str">
        <f t="shared" si="19"/>
        <v>F</v>
      </c>
    </row>
    <row r="604" spans="1:17" hidden="1" x14ac:dyDescent="0.3">
      <c r="A604">
        <v>7241</v>
      </c>
      <c r="B604">
        <v>3621</v>
      </c>
      <c r="C604">
        <v>197</v>
      </c>
      <c r="D604" t="s">
        <v>19</v>
      </c>
      <c r="E604" t="s">
        <v>20</v>
      </c>
      <c r="F604" t="s">
        <v>21</v>
      </c>
      <c r="G604" t="s">
        <v>26</v>
      </c>
      <c r="H604">
        <v>280.10000000000002</v>
      </c>
      <c r="I604">
        <v>249.5</v>
      </c>
      <c r="J604">
        <v>95.8</v>
      </c>
      <c r="K604">
        <v>69.5</v>
      </c>
      <c r="L604">
        <v>26.6</v>
      </c>
      <c r="M604">
        <v>6.5</v>
      </c>
      <c r="N604">
        <v>0.190640866925054</v>
      </c>
      <c r="O604">
        <v>2.1178496527371499E-2</v>
      </c>
      <c r="P604" t="str">
        <f t="shared" si="18"/>
        <v>F</v>
      </c>
      <c r="Q604" t="str">
        <f t="shared" si="19"/>
        <v>T</v>
      </c>
    </row>
    <row r="605" spans="1:17" hidden="1" x14ac:dyDescent="0.3">
      <c r="A605">
        <v>7242</v>
      </c>
      <c r="B605">
        <v>3621</v>
      </c>
      <c r="C605">
        <v>197</v>
      </c>
      <c r="D605" t="s">
        <v>19</v>
      </c>
      <c r="E605" t="s">
        <v>20</v>
      </c>
      <c r="F605" t="s">
        <v>21</v>
      </c>
      <c r="G605" t="s">
        <v>26</v>
      </c>
      <c r="H605">
        <v>280.10000000000002</v>
      </c>
      <c r="I605">
        <v>249.5</v>
      </c>
      <c r="J605">
        <v>95.8</v>
      </c>
      <c r="K605">
        <v>69.5</v>
      </c>
      <c r="L605">
        <v>26.6</v>
      </c>
      <c r="M605">
        <v>6.5</v>
      </c>
      <c r="N605">
        <v>0.19626909101071699</v>
      </c>
      <c r="O605">
        <v>5.3138323321455898E-2</v>
      </c>
      <c r="P605" t="str">
        <f t="shared" si="18"/>
        <v>F</v>
      </c>
      <c r="Q605" t="str">
        <f t="shared" si="19"/>
        <v>F</v>
      </c>
    </row>
    <row r="606" spans="1:17" hidden="1" x14ac:dyDescent="0.3">
      <c r="A606">
        <v>7243</v>
      </c>
      <c r="B606">
        <v>3621</v>
      </c>
      <c r="C606">
        <v>197</v>
      </c>
      <c r="D606" t="s">
        <v>19</v>
      </c>
      <c r="E606" t="s">
        <v>20</v>
      </c>
      <c r="F606" t="s">
        <v>21</v>
      </c>
      <c r="G606" t="s">
        <v>26</v>
      </c>
      <c r="H606">
        <v>280.10000000000002</v>
      </c>
      <c r="I606">
        <v>249.5</v>
      </c>
      <c r="J606">
        <v>95.8</v>
      </c>
      <c r="K606">
        <v>69.5</v>
      </c>
      <c r="L606">
        <v>26.6</v>
      </c>
      <c r="M606">
        <v>6.5</v>
      </c>
      <c r="N606">
        <v>0.17923885744537199</v>
      </c>
      <c r="O606">
        <v>2.61493913766996E-2</v>
      </c>
      <c r="P606" t="str">
        <f t="shared" si="18"/>
        <v>F</v>
      </c>
      <c r="Q606" t="str">
        <f t="shared" si="19"/>
        <v>T</v>
      </c>
    </row>
    <row r="607" spans="1:17" hidden="1" x14ac:dyDescent="0.3">
      <c r="A607">
        <v>7244</v>
      </c>
      <c r="B607">
        <v>3621</v>
      </c>
      <c r="C607">
        <v>197</v>
      </c>
      <c r="D607" t="s">
        <v>19</v>
      </c>
      <c r="E607" t="s">
        <v>20</v>
      </c>
      <c r="F607" t="s">
        <v>21</v>
      </c>
      <c r="G607" t="s">
        <v>26</v>
      </c>
      <c r="H607">
        <v>280.10000000000002</v>
      </c>
      <c r="I607">
        <v>249.5</v>
      </c>
      <c r="J607">
        <v>95.8</v>
      </c>
      <c r="K607">
        <v>69.5</v>
      </c>
      <c r="L607">
        <v>26.6</v>
      </c>
      <c r="M607">
        <v>6.5</v>
      </c>
      <c r="N607">
        <v>0.19033929429723101</v>
      </c>
      <c r="O607">
        <v>5.7797480460111399E-2</v>
      </c>
      <c r="P607" t="str">
        <f t="shared" si="18"/>
        <v>F</v>
      </c>
      <c r="Q607" t="str">
        <f t="shared" si="19"/>
        <v>F</v>
      </c>
    </row>
    <row r="608" spans="1:17" hidden="1" x14ac:dyDescent="0.3">
      <c r="A608">
        <v>7245</v>
      </c>
      <c r="B608">
        <v>3621</v>
      </c>
      <c r="C608">
        <v>197</v>
      </c>
      <c r="D608" t="s">
        <v>19</v>
      </c>
      <c r="E608" t="s">
        <v>20</v>
      </c>
      <c r="F608" t="s">
        <v>21</v>
      </c>
      <c r="G608" t="s">
        <v>26</v>
      </c>
      <c r="H608">
        <v>280.10000000000002</v>
      </c>
      <c r="I608">
        <v>249.5</v>
      </c>
      <c r="J608">
        <v>95.8</v>
      </c>
      <c r="K608">
        <v>69.5</v>
      </c>
      <c r="L608">
        <v>26.6</v>
      </c>
      <c r="M608">
        <v>6.5</v>
      </c>
      <c r="N608">
        <v>0.187356480618282</v>
      </c>
      <c r="O608">
        <v>3.4771658020989499E-2</v>
      </c>
      <c r="P608" t="str">
        <f t="shared" si="18"/>
        <v>F</v>
      </c>
      <c r="Q608" t="str">
        <f t="shared" si="19"/>
        <v>F</v>
      </c>
    </row>
    <row r="609" spans="1:17" hidden="1" x14ac:dyDescent="0.3">
      <c r="A609">
        <v>7246</v>
      </c>
      <c r="B609">
        <v>3621</v>
      </c>
      <c r="C609">
        <v>197</v>
      </c>
      <c r="D609" t="s">
        <v>19</v>
      </c>
      <c r="E609" t="s">
        <v>20</v>
      </c>
      <c r="F609" t="s">
        <v>21</v>
      </c>
      <c r="G609" t="s">
        <v>26</v>
      </c>
      <c r="H609">
        <v>280.10000000000002</v>
      </c>
      <c r="I609">
        <v>249.5</v>
      </c>
      <c r="J609">
        <v>95.8</v>
      </c>
      <c r="K609">
        <v>69.5</v>
      </c>
      <c r="L609">
        <v>26.6</v>
      </c>
      <c r="M609">
        <v>6.5</v>
      </c>
      <c r="N609">
        <v>0.206429915439311</v>
      </c>
      <c r="O609">
        <v>4.1981492503878601E-2</v>
      </c>
      <c r="P609" t="str">
        <f t="shared" si="18"/>
        <v>F</v>
      </c>
      <c r="Q609" t="str">
        <f t="shared" si="19"/>
        <v>F</v>
      </c>
    </row>
    <row r="610" spans="1:17" x14ac:dyDescent="0.3">
      <c r="A610">
        <v>7289</v>
      </c>
      <c r="B610">
        <v>3635</v>
      </c>
      <c r="C610">
        <v>335</v>
      </c>
      <c r="D610" t="s">
        <v>19</v>
      </c>
      <c r="E610" t="s">
        <v>20</v>
      </c>
      <c r="F610" t="s">
        <v>21</v>
      </c>
      <c r="G610" t="s">
        <v>18</v>
      </c>
      <c r="H610">
        <v>278.5</v>
      </c>
      <c r="I610">
        <v>240.5</v>
      </c>
      <c r="J610">
        <v>94.4</v>
      </c>
      <c r="K610">
        <v>69</v>
      </c>
      <c r="L610">
        <v>25.8</v>
      </c>
      <c r="M610">
        <v>8.5</v>
      </c>
      <c r="N610">
        <v>3.9157035387012103E-2</v>
      </c>
      <c r="O610">
        <v>1.8804311999295199E-2</v>
      </c>
      <c r="P610" t="str">
        <f t="shared" si="18"/>
        <v>T</v>
      </c>
      <c r="Q610" t="str">
        <f t="shared" si="19"/>
        <v>T</v>
      </c>
    </row>
    <row r="611" spans="1:17" hidden="1" x14ac:dyDescent="0.3">
      <c r="A611">
        <v>7290</v>
      </c>
      <c r="B611">
        <v>3635</v>
      </c>
      <c r="C611">
        <v>335</v>
      </c>
      <c r="D611" t="s">
        <v>19</v>
      </c>
      <c r="E611" t="s">
        <v>20</v>
      </c>
      <c r="F611" t="s">
        <v>21</v>
      </c>
      <c r="G611" t="s">
        <v>18</v>
      </c>
      <c r="H611">
        <v>278.5</v>
      </c>
      <c r="I611">
        <v>240.5</v>
      </c>
      <c r="J611">
        <v>94.4</v>
      </c>
      <c r="K611">
        <v>69</v>
      </c>
      <c r="L611">
        <v>25.8</v>
      </c>
      <c r="M611">
        <v>8.5</v>
      </c>
      <c r="N611">
        <v>2.1366808903172701E-2</v>
      </c>
      <c r="O611">
        <v>5.2236622736867598E-2</v>
      </c>
      <c r="P611" t="str">
        <f t="shared" si="18"/>
        <v>T</v>
      </c>
      <c r="Q611" t="str">
        <f t="shared" si="19"/>
        <v>F</v>
      </c>
    </row>
    <row r="612" spans="1:17" hidden="1" x14ac:dyDescent="0.3">
      <c r="A612">
        <v>7291</v>
      </c>
      <c r="B612">
        <v>3635</v>
      </c>
      <c r="C612">
        <v>335</v>
      </c>
      <c r="D612" t="s">
        <v>19</v>
      </c>
      <c r="E612" t="s">
        <v>20</v>
      </c>
      <c r="F612" t="s">
        <v>21</v>
      </c>
      <c r="G612" t="s">
        <v>18</v>
      </c>
      <c r="H612">
        <v>278.5</v>
      </c>
      <c r="I612">
        <v>240.5</v>
      </c>
      <c r="J612">
        <v>94.4</v>
      </c>
      <c r="K612">
        <v>69</v>
      </c>
      <c r="L612">
        <v>25.8</v>
      </c>
      <c r="M612">
        <v>8.5</v>
      </c>
      <c r="N612">
        <v>2.4326404084514901E-2</v>
      </c>
      <c r="O612">
        <v>4.9200962632788101E-2</v>
      </c>
      <c r="P612" t="str">
        <f t="shared" si="18"/>
        <v>T</v>
      </c>
      <c r="Q612" t="str">
        <f t="shared" si="19"/>
        <v>F</v>
      </c>
    </row>
    <row r="613" spans="1:17" hidden="1" x14ac:dyDescent="0.3">
      <c r="A613">
        <v>7374</v>
      </c>
      <c r="B613">
        <v>3661</v>
      </c>
      <c r="C613">
        <v>345</v>
      </c>
      <c r="D613" t="s">
        <v>19</v>
      </c>
      <c r="E613" t="s">
        <v>20</v>
      </c>
      <c r="F613" t="s">
        <v>17</v>
      </c>
      <c r="G613" t="s">
        <v>24</v>
      </c>
      <c r="H613">
        <v>277.60000000000002</v>
      </c>
      <c r="I613">
        <v>252.5</v>
      </c>
      <c r="J613">
        <v>98.4</v>
      </c>
      <c r="K613">
        <v>67.5</v>
      </c>
      <c r="L613">
        <v>25.8</v>
      </c>
      <c r="M613">
        <v>13.5</v>
      </c>
      <c r="N613">
        <v>0.13389440576912201</v>
      </c>
      <c r="O613">
        <v>0.106992789512139</v>
      </c>
      <c r="P613" t="str">
        <f t="shared" si="18"/>
        <v>F</v>
      </c>
      <c r="Q613" t="str">
        <f t="shared" si="19"/>
        <v>F</v>
      </c>
    </row>
    <row r="614" spans="1:17" hidden="1" x14ac:dyDescent="0.3">
      <c r="A614">
        <v>7430</v>
      </c>
      <c r="B614">
        <v>3684</v>
      </c>
      <c r="C614">
        <v>341</v>
      </c>
      <c r="D614" t="s">
        <v>19</v>
      </c>
      <c r="E614" t="s">
        <v>20</v>
      </c>
      <c r="F614" t="s">
        <v>17</v>
      </c>
      <c r="G614" t="s">
        <v>24</v>
      </c>
      <c r="H614">
        <v>273</v>
      </c>
      <c r="I614">
        <v>246.5</v>
      </c>
      <c r="J614">
        <v>95.4</v>
      </c>
      <c r="K614">
        <v>66.5</v>
      </c>
      <c r="L614">
        <v>26.4</v>
      </c>
      <c r="M614">
        <v>11</v>
      </c>
      <c r="N614">
        <v>0.29397325834093602</v>
      </c>
      <c r="O614">
        <v>9.0139644635222699E-2</v>
      </c>
      <c r="P614" t="str">
        <f t="shared" si="18"/>
        <v>F</v>
      </c>
      <c r="Q614" t="str">
        <f t="shared" si="19"/>
        <v>F</v>
      </c>
    </row>
    <row r="615" spans="1:17" hidden="1" x14ac:dyDescent="0.3">
      <c r="A615">
        <v>7431</v>
      </c>
      <c r="B615">
        <v>3684</v>
      </c>
      <c r="C615">
        <v>341</v>
      </c>
      <c r="D615" t="s">
        <v>19</v>
      </c>
      <c r="E615" t="s">
        <v>20</v>
      </c>
      <c r="F615" t="s">
        <v>17</v>
      </c>
      <c r="G615" t="s">
        <v>24</v>
      </c>
      <c r="H615">
        <v>273</v>
      </c>
      <c r="I615">
        <v>246.5</v>
      </c>
      <c r="J615">
        <v>95.4</v>
      </c>
      <c r="K615">
        <v>66.5</v>
      </c>
      <c r="L615">
        <v>26.4</v>
      </c>
      <c r="M615">
        <v>11</v>
      </c>
      <c r="N615">
        <v>0.29282398402880699</v>
      </c>
      <c r="O615">
        <v>9.0706232402512396E-2</v>
      </c>
      <c r="P615" t="str">
        <f t="shared" si="18"/>
        <v>F</v>
      </c>
      <c r="Q615" t="str">
        <f t="shared" si="19"/>
        <v>F</v>
      </c>
    </row>
    <row r="616" spans="1:17" hidden="1" x14ac:dyDescent="0.3">
      <c r="A616">
        <v>7449</v>
      </c>
      <c r="B616">
        <v>3693</v>
      </c>
      <c r="C616">
        <v>89</v>
      </c>
      <c r="D616" t="s">
        <v>19</v>
      </c>
      <c r="E616" t="s">
        <v>20</v>
      </c>
      <c r="F616" t="s">
        <v>21</v>
      </c>
      <c r="G616" t="s">
        <v>24</v>
      </c>
      <c r="H616">
        <v>275.89999999999998</v>
      </c>
      <c r="I616">
        <v>245.5</v>
      </c>
      <c r="J616">
        <v>92.8</v>
      </c>
      <c r="K616">
        <v>66.5</v>
      </c>
      <c r="L616">
        <v>26.7</v>
      </c>
      <c r="M616">
        <v>12.5</v>
      </c>
      <c r="N616">
        <v>7.8058369184921803E-2</v>
      </c>
      <c r="O616">
        <v>0.11583198981789</v>
      </c>
      <c r="P616" t="str">
        <f t="shared" si="18"/>
        <v>F</v>
      </c>
      <c r="Q616" t="str">
        <f t="shared" si="19"/>
        <v>F</v>
      </c>
    </row>
    <row r="617" spans="1:17" hidden="1" x14ac:dyDescent="0.3">
      <c r="A617">
        <v>7450</v>
      </c>
      <c r="B617">
        <v>3693</v>
      </c>
      <c r="C617">
        <v>89</v>
      </c>
      <c r="D617" t="s">
        <v>19</v>
      </c>
      <c r="E617" t="s">
        <v>20</v>
      </c>
      <c r="F617" t="s">
        <v>21</v>
      </c>
      <c r="G617" t="s">
        <v>24</v>
      </c>
      <c r="H617">
        <v>275.89999999999998</v>
      </c>
      <c r="I617">
        <v>245.5</v>
      </c>
      <c r="J617">
        <v>92.8</v>
      </c>
      <c r="K617">
        <v>66.5</v>
      </c>
      <c r="L617">
        <v>26.7</v>
      </c>
      <c r="M617">
        <v>12.5</v>
      </c>
      <c r="N617">
        <v>8.3498217189781995E-2</v>
      </c>
      <c r="O617">
        <v>0.104065600693445</v>
      </c>
      <c r="P617" t="str">
        <f t="shared" si="18"/>
        <v>F</v>
      </c>
      <c r="Q617" t="str">
        <f t="shared" si="19"/>
        <v>F</v>
      </c>
    </row>
    <row r="618" spans="1:17" hidden="1" x14ac:dyDescent="0.3">
      <c r="A618">
        <v>7460</v>
      </c>
      <c r="B618">
        <v>3700</v>
      </c>
      <c r="C618">
        <v>269</v>
      </c>
      <c r="D618" t="s">
        <v>19</v>
      </c>
      <c r="E618" t="s">
        <v>20</v>
      </c>
      <c r="F618" t="s">
        <v>21</v>
      </c>
      <c r="G618" t="s">
        <v>22</v>
      </c>
      <c r="H618">
        <v>273.8</v>
      </c>
      <c r="I618">
        <v>243</v>
      </c>
      <c r="J618">
        <v>91.5</v>
      </c>
      <c r="K618">
        <v>66</v>
      </c>
      <c r="L618">
        <v>24.8</v>
      </c>
      <c r="M618">
        <v>8.5</v>
      </c>
      <c r="N618">
        <v>9.6540242951452804E-2</v>
      </c>
      <c r="O618">
        <v>0.14665988078888001</v>
      </c>
      <c r="P618" t="str">
        <f t="shared" si="18"/>
        <v>F</v>
      </c>
      <c r="Q618" t="str">
        <f t="shared" si="19"/>
        <v>F</v>
      </c>
    </row>
    <row r="619" spans="1:17" hidden="1" x14ac:dyDescent="0.3">
      <c r="A619">
        <v>7461</v>
      </c>
      <c r="B619">
        <v>3700</v>
      </c>
      <c r="C619">
        <v>269</v>
      </c>
      <c r="D619" t="s">
        <v>19</v>
      </c>
      <c r="E619" t="s">
        <v>20</v>
      </c>
      <c r="F619" t="s">
        <v>21</v>
      </c>
      <c r="G619" t="s">
        <v>22</v>
      </c>
      <c r="H619">
        <v>273.8</v>
      </c>
      <c r="I619">
        <v>243</v>
      </c>
      <c r="J619">
        <v>91.5</v>
      </c>
      <c r="K619">
        <v>66</v>
      </c>
      <c r="L619">
        <v>24.8</v>
      </c>
      <c r="M619">
        <v>8.5</v>
      </c>
      <c r="N619">
        <v>0.100789294961473</v>
      </c>
      <c r="O619">
        <v>0.11265727239175299</v>
      </c>
      <c r="P619" t="str">
        <f t="shared" si="18"/>
        <v>F</v>
      </c>
      <c r="Q619" t="str">
        <f t="shared" si="19"/>
        <v>F</v>
      </c>
    </row>
    <row r="620" spans="1:17" hidden="1" x14ac:dyDescent="0.3">
      <c r="A620">
        <v>7462</v>
      </c>
      <c r="B620">
        <v>3700</v>
      </c>
      <c r="C620">
        <v>269</v>
      </c>
      <c r="D620" t="s">
        <v>19</v>
      </c>
      <c r="E620" t="s">
        <v>20</v>
      </c>
      <c r="F620" t="s">
        <v>21</v>
      </c>
      <c r="G620" t="s">
        <v>22</v>
      </c>
      <c r="H620">
        <v>273.8</v>
      </c>
      <c r="I620">
        <v>243</v>
      </c>
      <c r="J620">
        <v>91.5</v>
      </c>
      <c r="K620">
        <v>66</v>
      </c>
      <c r="L620">
        <v>24.8</v>
      </c>
      <c r="M620">
        <v>8.5</v>
      </c>
      <c r="N620">
        <v>9.2236360608525705E-2</v>
      </c>
      <c r="O620">
        <v>0.142454929416096</v>
      </c>
      <c r="P620" t="str">
        <f t="shared" si="18"/>
        <v>F</v>
      </c>
      <c r="Q620" t="str">
        <f t="shared" si="19"/>
        <v>F</v>
      </c>
    </row>
    <row r="621" spans="1:17" hidden="1" x14ac:dyDescent="0.3">
      <c r="A621">
        <v>7470</v>
      </c>
      <c r="B621">
        <v>3704</v>
      </c>
      <c r="C621">
        <v>303</v>
      </c>
      <c r="D621" t="s">
        <v>19</v>
      </c>
      <c r="E621" t="s">
        <v>20</v>
      </c>
      <c r="F621" t="s">
        <v>21</v>
      </c>
      <c r="G621" t="s">
        <v>25</v>
      </c>
      <c r="H621">
        <v>277.60000000000002</v>
      </c>
      <c r="I621">
        <v>254.5</v>
      </c>
      <c r="J621">
        <v>94.7</v>
      </c>
      <c r="K621">
        <v>67</v>
      </c>
      <c r="L621">
        <v>27.3</v>
      </c>
      <c r="M621">
        <v>14</v>
      </c>
      <c r="N621">
        <v>7.1144405517023904E-2</v>
      </c>
      <c r="O621">
        <v>0.14975976523203</v>
      </c>
      <c r="P621" t="str">
        <f t="shared" si="18"/>
        <v>F</v>
      </c>
      <c r="Q621" t="str">
        <f t="shared" si="19"/>
        <v>F</v>
      </c>
    </row>
    <row r="622" spans="1:17" hidden="1" x14ac:dyDescent="0.3">
      <c r="A622">
        <v>7539</v>
      </c>
      <c r="B622">
        <v>3728</v>
      </c>
      <c r="C622">
        <v>203</v>
      </c>
      <c r="D622" t="s">
        <v>19</v>
      </c>
      <c r="E622" t="s">
        <v>20</v>
      </c>
      <c r="F622" t="s">
        <v>17</v>
      </c>
      <c r="G622" t="s">
        <v>22</v>
      </c>
      <c r="H622">
        <v>277.60000000000002</v>
      </c>
      <c r="I622">
        <v>247.5</v>
      </c>
      <c r="J622">
        <v>94</v>
      </c>
      <c r="K622">
        <v>65</v>
      </c>
      <c r="L622">
        <v>24.9</v>
      </c>
      <c r="M622">
        <v>9.5</v>
      </c>
      <c r="N622">
        <v>0.25038555924051797</v>
      </c>
      <c r="O622">
        <v>5.3053955804101799E-2</v>
      </c>
      <c r="P622" t="str">
        <f t="shared" si="18"/>
        <v>F</v>
      </c>
      <c r="Q622" t="str">
        <f t="shared" si="19"/>
        <v>F</v>
      </c>
    </row>
    <row r="623" spans="1:17" hidden="1" x14ac:dyDescent="0.3">
      <c r="A623">
        <v>7540</v>
      </c>
      <c r="B623">
        <v>3728</v>
      </c>
      <c r="C623">
        <v>203</v>
      </c>
      <c r="D623" t="s">
        <v>19</v>
      </c>
      <c r="E623" t="s">
        <v>20</v>
      </c>
      <c r="F623" t="s">
        <v>17</v>
      </c>
      <c r="G623" t="s">
        <v>22</v>
      </c>
      <c r="H623">
        <v>277.60000000000002</v>
      </c>
      <c r="I623">
        <v>247.5</v>
      </c>
      <c r="J623">
        <v>94</v>
      </c>
      <c r="K623">
        <v>65</v>
      </c>
      <c r="L623">
        <v>24.9</v>
      </c>
      <c r="M623">
        <v>9.5</v>
      </c>
      <c r="N623">
        <v>0.279904989301551</v>
      </c>
      <c r="O623">
        <v>4.7039926441727102E-2</v>
      </c>
      <c r="P623" t="str">
        <f t="shared" si="18"/>
        <v>F</v>
      </c>
      <c r="Q623" t="str">
        <f t="shared" si="19"/>
        <v>F</v>
      </c>
    </row>
    <row r="624" spans="1:17" hidden="1" x14ac:dyDescent="0.3">
      <c r="A624">
        <v>7541</v>
      </c>
      <c r="B624">
        <v>3728</v>
      </c>
      <c r="C624">
        <v>203</v>
      </c>
      <c r="D624" t="s">
        <v>19</v>
      </c>
      <c r="E624" t="s">
        <v>20</v>
      </c>
      <c r="F624" t="s">
        <v>17</v>
      </c>
      <c r="G624" t="s">
        <v>22</v>
      </c>
      <c r="H624">
        <v>277.60000000000002</v>
      </c>
      <c r="I624">
        <v>247.5</v>
      </c>
      <c r="J624">
        <v>94</v>
      </c>
      <c r="K624">
        <v>65</v>
      </c>
      <c r="L624">
        <v>24.9</v>
      </c>
      <c r="M624">
        <v>9.5</v>
      </c>
      <c r="N624">
        <v>0.26850192770889603</v>
      </c>
      <c r="O624">
        <v>5.5266017911985398E-2</v>
      </c>
      <c r="P624" t="str">
        <f t="shared" si="18"/>
        <v>F</v>
      </c>
      <c r="Q624" t="str">
        <f t="shared" si="19"/>
        <v>F</v>
      </c>
    </row>
    <row r="625" spans="1:17" hidden="1" x14ac:dyDescent="0.3">
      <c r="A625">
        <v>7542</v>
      </c>
      <c r="B625">
        <v>3728</v>
      </c>
      <c r="C625">
        <v>203</v>
      </c>
      <c r="D625" t="s">
        <v>19</v>
      </c>
      <c r="E625" t="s">
        <v>20</v>
      </c>
      <c r="F625" t="s">
        <v>17</v>
      </c>
      <c r="G625" t="s">
        <v>22</v>
      </c>
      <c r="H625">
        <v>277.60000000000002</v>
      </c>
      <c r="I625">
        <v>247.5</v>
      </c>
      <c r="J625">
        <v>94</v>
      </c>
      <c r="K625">
        <v>65</v>
      </c>
      <c r="L625">
        <v>24.9</v>
      </c>
      <c r="M625">
        <v>9.5</v>
      </c>
      <c r="N625">
        <v>0.27751688241599498</v>
      </c>
      <c r="O625">
        <v>4.1424559064465703E-2</v>
      </c>
      <c r="P625" t="str">
        <f t="shared" si="18"/>
        <v>F</v>
      </c>
      <c r="Q625" t="str">
        <f t="shared" si="19"/>
        <v>F</v>
      </c>
    </row>
    <row r="626" spans="1:17" hidden="1" x14ac:dyDescent="0.3">
      <c r="A626">
        <v>7641</v>
      </c>
      <c r="B626">
        <v>3762</v>
      </c>
      <c r="C626">
        <v>345</v>
      </c>
      <c r="D626" t="s">
        <v>19</v>
      </c>
      <c r="E626" t="s">
        <v>20</v>
      </c>
      <c r="F626" t="s">
        <v>21</v>
      </c>
      <c r="G626" t="s">
        <v>18</v>
      </c>
      <c r="H626">
        <v>277.60000000000002</v>
      </c>
      <c r="I626">
        <v>252.5</v>
      </c>
      <c r="J626">
        <v>98.4</v>
      </c>
      <c r="K626">
        <v>67.5</v>
      </c>
      <c r="L626">
        <v>25.8</v>
      </c>
      <c r="M626">
        <v>13.5</v>
      </c>
      <c r="N626">
        <v>0.10525998907782</v>
      </c>
      <c r="O626">
        <v>0.10088325493759601</v>
      </c>
      <c r="P626" t="str">
        <f t="shared" si="18"/>
        <v>F</v>
      </c>
      <c r="Q626" t="str">
        <f t="shared" si="19"/>
        <v>F</v>
      </c>
    </row>
    <row r="627" spans="1:17" hidden="1" x14ac:dyDescent="0.3">
      <c r="A627">
        <v>7652</v>
      </c>
      <c r="B627">
        <v>3768</v>
      </c>
      <c r="C627">
        <v>346</v>
      </c>
      <c r="D627" t="s">
        <v>19</v>
      </c>
      <c r="E627" t="s">
        <v>20</v>
      </c>
      <c r="F627" t="s">
        <v>17</v>
      </c>
      <c r="G627" t="s">
        <v>18</v>
      </c>
      <c r="H627">
        <v>271.60000000000002</v>
      </c>
      <c r="I627">
        <v>238</v>
      </c>
      <c r="J627">
        <v>91.3</v>
      </c>
      <c r="K627">
        <v>63</v>
      </c>
      <c r="L627">
        <v>24.7</v>
      </c>
      <c r="M627">
        <v>8</v>
      </c>
      <c r="N627">
        <v>0.161367060091367</v>
      </c>
      <c r="O627">
        <v>4.3190542964918598E-3</v>
      </c>
      <c r="P627" t="str">
        <f t="shared" si="18"/>
        <v>F</v>
      </c>
      <c r="Q627" t="str">
        <f t="shared" si="19"/>
        <v>T</v>
      </c>
    </row>
    <row r="628" spans="1:17" hidden="1" x14ac:dyDescent="0.3">
      <c r="A628">
        <v>7654</v>
      </c>
      <c r="B628">
        <v>3768</v>
      </c>
      <c r="C628">
        <v>346</v>
      </c>
      <c r="D628" t="s">
        <v>19</v>
      </c>
      <c r="E628" t="s">
        <v>20</v>
      </c>
      <c r="F628" t="s">
        <v>17</v>
      </c>
      <c r="G628" t="s">
        <v>18</v>
      </c>
      <c r="H628">
        <v>271.60000000000002</v>
      </c>
      <c r="I628">
        <v>238</v>
      </c>
      <c r="J628">
        <v>91.3</v>
      </c>
      <c r="K628">
        <v>63</v>
      </c>
      <c r="L628">
        <v>24.7</v>
      </c>
      <c r="M628">
        <v>8</v>
      </c>
      <c r="N628">
        <v>0.168627488891778</v>
      </c>
      <c r="O628">
        <v>8.6832888098152504E-3</v>
      </c>
      <c r="P628" t="str">
        <f t="shared" si="18"/>
        <v>F</v>
      </c>
      <c r="Q628" t="str">
        <f t="shared" si="19"/>
        <v>T</v>
      </c>
    </row>
    <row r="629" spans="1:17" hidden="1" x14ac:dyDescent="0.3">
      <c r="A629">
        <v>7655</v>
      </c>
      <c r="B629">
        <v>3768</v>
      </c>
      <c r="C629">
        <v>346</v>
      </c>
      <c r="D629" t="s">
        <v>19</v>
      </c>
      <c r="E629" t="s">
        <v>20</v>
      </c>
      <c r="F629" t="s">
        <v>17</v>
      </c>
      <c r="G629" t="s">
        <v>18</v>
      </c>
      <c r="H629">
        <v>271.60000000000002</v>
      </c>
      <c r="I629">
        <v>238</v>
      </c>
      <c r="J629">
        <v>91.3</v>
      </c>
      <c r="K629">
        <v>63</v>
      </c>
      <c r="L629">
        <v>24.7</v>
      </c>
      <c r="M629">
        <v>8</v>
      </c>
      <c r="N629">
        <v>0.17228764936093599</v>
      </c>
      <c r="O629">
        <v>1.8113711515223899E-2</v>
      </c>
      <c r="P629" t="str">
        <f t="shared" si="18"/>
        <v>F</v>
      </c>
      <c r="Q629" t="str">
        <f t="shared" si="19"/>
        <v>T</v>
      </c>
    </row>
    <row r="630" spans="1:17" hidden="1" x14ac:dyDescent="0.3">
      <c r="A630">
        <v>7693</v>
      </c>
      <c r="B630">
        <v>3784</v>
      </c>
      <c r="C630">
        <v>68</v>
      </c>
      <c r="D630" t="s">
        <v>19</v>
      </c>
      <c r="E630" t="s">
        <v>20</v>
      </c>
      <c r="F630" t="s">
        <v>17</v>
      </c>
      <c r="G630" t="s">
        <v>18</v>
      </c>
      <c r="H630">
        <v>275.60000000000002</v>
      </c>
      <c r="I630">
        <v>254.5</v>
      </c>
      <c r="J630">
        <v>95.5</v>
      </c>
      <c r="K630">
        <v>65.5</v>
      </c>
      <c r="L630">
        <v>29.1</v>
      </c>
      <c r="M630">
        <v>10</v>
      </c>
      <c r="N630">
        <v>0.20405488843309999</v>
      </c>
      <c r="O630">
        <v>0.17496461899313301</v>
      </c>
      <c r="P630" t="str">
        <f t="shared" si="18"/>
        <v>F</v>
      </c>
      <c r="Q630" t="str">
        <f t="shared" si="19"/>
        <v>F</v>
      </c>
    </row>
    <row r="631" spans="1:17" hidden="1" x14ac:dyDescent="0.3">
      <c r="A631">
        <v>7756</v>
      </c>
      <c r="B631">
        <v>3805</v>
      </c>
      <c r="C631">
        <v>18</v>
      </c>
      <c r="D631" t="s">
        <v>19</v>
      </c>
      <c r="E631" t="s">
        <v>20</v>
      </c>
      <c r="F631" t="s">
        <v>21</v>
      </c>
      <c r="G631" t="s">
        <v>22</v>
      </c>
      <c r="H631">
        <v>271.39999999999998</v>
      </c>
      <c r="I631">
        <v>244</v>
      </c>
      <c r="J631">
        <v>97.3</v>
      </c>
      <c r="K631">
        <v>64</v>
      </c>
      <c r="L631">
        <v>23.3</v>
      </c>
      <c r="M631">
        <v>6.5</v>
      </c>
      <c r="N631">
        <v>0.26694446281308298</v>
      </c>
      <c r="O631">
        <v>1.3584645911625701E-3</v>
      </c>
      <c r="P631" t="str">
        <f t="shared" si="18"/>
        <v>F</v>
      </c>
      <c r="Q631" t="str">
        <f t="shared" si="19"/>
        <v>T</v>
      </c>
    </row>
    <row r="632" spans="1:17" hidden="1" x14ac:dyDescent="0.3">
      <c r="A632">
        <v>7762</v>
      </c>
      <c r="B632">
        <v>3808</v>
      </c>
      <c r="C632">
        <v>274</v>
      </c>
      <c r="D632" t="s">
        <v>19</v>
      </c>
      <c r="E632" t="s">
        <v>20</v>
      </c>
      <c r="F632" t="s">
        <v>17</v>
      </c>
      <c r="G632" t="s">
        <v>25</v>
      </c>
      <c r="H632">
        <v>270.8</v>
      </c>
      <c r="I632">
        <v>241</v>
      </c>
      <c r="J632">
        <v>93</v>
      </c>
      <c r="K632">
        <v>61.5</v>
      </c>
      <c r="L632">
        <v>24.5</v>
      </c>
      <c r="M632">
        <v>11.5</v>
      </c>
      <c r="N632">
        <v>0.117740174518984</v>
      </c>
      <c r="O632">
        <v>0.196984865976183</v>
      </c>
      <c r="P632" t="str">
        <f t="shared" si="18"/>
        <v>F</v>
      </c>
      <c r="Q632" t="str">
        <f t="shared" si="19"/>
        <v>F</v>
      </c>
    </row>
    <row r="633" spans="1:17" hidden="1" x14ac:dyDescent="0.3">
      <c r="A633">
        <v>7810</v>
      </c>
      <c r="B633">
        <v>3828</v>
      </c>
      <c r="C633">
        <v>455</v>
      </c>
      <c r="D633" t="s">
        <v>19</v>
      </c>
      <c r="E633" t="s">
        <v>20</v>
      </c>
      <c r="F633" t="s">
        <v>21</v>
      </c>
      <c r="G633" t="s">
        <v>22</v>
      </c>
      <c r="H633">
        <v>278.5</v>
      </c>
      <c r="I633">
        <v>252.5</v>
      </c>
      <c r="J633">
        <v>92.8</v>
      </c>
      <c r="K633">
        <v>69</v>
      </c>
      <c r="L633">
        <v>25.6</v>
      </c>
      <c r="M633">
        <v>9</v>
      </c>
      <c r="N633">
        <v>0.20788133883021101</v>
      </c>
      <c r="O633">
        <v>6.8563857510256995E-2</v>
      </c>
      <c r="P633" t="str">
        <f t="shared" si="18"/>
        <v>F</v>
      </c>
      <c r="Q633" t="str">
        <f t="shared" si="19"/>
        <v>F</v>
      </c>
    </row>
    <row r="634" spans="1:17" hidden="1" x14ac:dyDescent="0.3">
      <c r="A634">
        <v>7811</v>
      </c>
      <c r="B634">
        <v>3828</v>
      </c>
      <c r="C634">
        <v>455</v>
      </c>
      <c r="D634" t="s">
        <v>19</v>
      </c>
      <c r="E634" t="s">
        <v>20</v>
      </c>
      <c r="F634" t="s">
        <v>21</v>
      </c>
      <c r="G634" t="s">
        <v>22</v>
      </c>
      <c r="H634">
        <v>278.5</v>
      </c>
      <c r="I634">
        <v>252.5</v>
      </c>
      <c r="J634">
        <v>92.8</v>
      </c>
      <c r="K634">
        <v>69</v>
      </c>
      <c r="L634">
        <v>25.6</v>
      </c>
      <c r="M634">
        <v>9</v>
      </c>
      <c r="N634">
        <v>0.22245099779663499</v>
      </c>
      <c r="O634">
        <v>6.7111972986949806E-2</v>
      </c>
      <c r="P634" t="str">
        <f t="shared" si="18"/>
        <v>F</v>
      </c>
      <c r="Q634" t="str">
        <f t="shared" si="19"/>
        <v>F</v>
      </c>
    </row>
    <row r="635" spans="1:17" hidden="1" x14ac:dyDescent="0.3">
      <c r="A635">
        <v>7812</v>
      </c>
      <c r="B635">
        <v>3828</v>
      </c>
      <c r="C635">
        <v>455</v>
      </c>
      <c r="D635" t="s">
        <v>19</v>
      </c>
      <c r="E635" t="s">
        <v>20</v>
      </c>
      <c r="F635" t="s">
        <v>21</v>
      </c>
      <c r="G635" t="s">
        <v>22</v>
      </c>
      <c r="H635">
        <v>278.5</v>
      </c>
      <c r="I635">
        <v>252.5</v>
      </c>
      <c r="J635">
        <v>92.8</v>
      </c>
      <c r="K635">
        <v>69</v>
      </c>
      <c r="L635">
        <v>25.6</v>
      </c>
      <c r="M635">
        <v>9</v>
      </c>
      <c r="N635">
        <v>0.20413473838441201</v>
      </c>
      <c r="O635">
        <v>3.2393908136014199E-2</v>
      </c>
      <c r="P635" t="str">
        <f t="shared" si="18"/>
        <v>F</v>
      </c>
      <c r="Q635" t="str">
        <f t="shared" si="19"/>
        <v>F</v>
      </c>
    </row>
    <row r="636" spans="1:17" hidden="1" x14ac:dyDescent="0.3">
      <c r="A636">
        <v>7813</v>
      </c>
      <c r="B636">
        <v>3828</v>
      </c>
      <c r="C636">
        <v>455</v>
      </c>
      <c r="D636" t="s">
        <v>19</v>
      </c>
      <c r="E636" t="s">
        <v>20</v>
      </c>
      <c r="F636" t="s">
        <v>21</v>
      </c>
      <c r="G636" t="s">
        <v>22</v>
      </c>
      <c r="H636">
        <v>278.5</v>
      </c>
      <c r="I636">
        <v>252.5</v>
      </c>
      <c r="J636">
        <v>92.8</v>
      </c>
      <c r="K636">
        <v>69</v>
      </c>
      <c r="L636">
        <v>25.6</v>
      </c>
      <c r="M636">
        <v>9</v>
      </c>
      <c r="N636">
        <v>0.19598933379676001</v>
      </c>
      <c r="O636">
        <v>5.1779388651840799E-2</v>
      </c>
      <c r="P636" t="str">
        <f t="shared" si="18"/>
        <v>F</v>
      </c>
      <c r="Q636" t="str">
        <f t="shared" si="19"/>
        <v>F</v>
      </c>
    </row>
    <row r="637" spans="1:17" hidden="1" x14ac:dyDescent="0.3">
      <c r="A637">
        <v>7818</v>
      </c>
      <c r="B637">
        <v>383</v>
      </c>
      <c r="C637">
        <v>346</v>
      </c>
      <c r="D637" t="s">
        <v>19</v>
      </c>
      <c r="E637" t="s">
        <v>20</v>
      </c>
      <c r="F637" t="s">
        <v>17</v>
      </c>
      <c r="G637" t="s">
        <v>24</v>
      </c>
      <c r="H637">
        <v>271.60000000000002</v>
      </c>
      <c r="I637">
        <v>238</v>
      </c>
      <c r="J637">
        <v>91.3</v>
      </c>
      <c r="K637">
        <v>63</v>
      </c>
      <c r="L637">
        <v>24.7</v>
      </c>
      <c r="M637">
        <v>8</v>
      </c>
      <c r="N637">
        <v>0.19071364212443201</v>
      </c>
      <c r="O637">
        <v>1.38352158064664E-2</v>
      </c>
      <c r="P637" t="str">
        <f t="shared" si="18"/>
        <v>F</v>
      </c>
      <c r="Q637" t="str">
        <f t="shared" si="19"/>
        <v>T</v>
      </c>
    </row>
    <row r="638" spans="1:17" hidden="1" x14ac:dyDescent="0.3">
      <c r="A638">
        <v>7851</v>
      </c>
      <c r="B638">
        <v>3845</v>
      </c>
      <c r="C638">
        <v>314</v>
      </c>
      <c r="D638" t="s">
        <v>19</v>
      </c>
      <c r="E638" t="s">
        <v>20</v>
      </c>
      <c r="F638" t="s">
        <v>21</v>
      </c>
      <c r="G638" t="s">
        <v>18</v>
      </c>
      <c r="H638">
        <v>273.5</v>
      </c>
      <c r="I638">
        <v>251.5</v>
      </c>
      <c r="J638">
        <v>97.5</v>
      </c>
      <c r="K638">
        <v>65</v>
      </c>
      <c r="L638">
        <v>25.5</v>
      </c>
      <c r="M638">
        <v>13</v>
      </c>
      <c r="N638">
        <v>0.219257813697738</v>
      </c>
      <c r="O638">
        <v>9.7427073273103404E-2</v>
      </c>
      <c r="P638" t="str">
        <f t="shared" si="18"/>
        <v>F</v>
      </c>
      <c r="Q638" t="str">
        <f t="shared" si="19"/>
        <v>F</v>
      </c>
    </row>
    <row r="639" spans="1:17" hidden="1" x14ac:dyDescent="0.3">
      <c r="A639">
        <v>7852</v>
      </c>
      <c r="B639">
        <v>3845</v>
      </c>
      <c r="C639">
        <v>314</v>
      </c>
      <c r="D639" t="s">
        <v>19</v>
      </c>
      <c r="E639" t="s">
        <v>20</v>
      </c>
      <c r="F639" t="s">
        <v>21</v>
      </c>
      <c r="G639" t="s">
        <v>18</v>
      </c>
      <c r="H639">
        <v>273.5</v>
      </c>
      <c r="I639">
        <v>251.5</v>
      </c>
      <c r="J639">
        <v>97.5</v>
      </c>
      <c r="K639">
        <v>65</v>
      </c>
      <c r="L639">
        <v>25.5</v>
      </c>
      <c r="M639">
        <v>13</v>
      </c>
      <c r="N639">
        <v>0.22718767985500099</v>
      </c>
      <c r="O639">
        <v>0.10604898710704599</v>
      </c>
      <c r="P639" t="str">
        <f t="shared" si="18"/>
        <v>F</v>
      </c>
      <c r="Q639" t="str">
        <f t="shared" si="19"/>
        <v>F</v>
      </c>
    </row>
    <row r="640" spans="1:17" hidden="1" x14ac:dyDescent="0.3">
      <c r="A640">
        <v>7853</v>
      </c>
      <c r="B640">
        <v>3845</v>
      </c>
      <c r="C640">
        <v>314</v>
      </c>
      <c r="D640" t="s">
        <v>19</v>
      </c>
      <c r="E640" t="s">
        <v>20</v>
      </c>
      <c r="F640" t="s">
        <v>21</v>
      </c>
      <c r="G640" t="s">
        <v>18</v>
      </c>
      <c r="H640">
        <v>273.5</v>
      </c>
      <c r="I640">
        <v>251.5</v>
      </c>
      <c r="J640">
        <v>97.5</v>
      </c>
      <c r="K640">
        <v>65</v>
      </c>
      <c r="L640">
        <v>25.5</v>
      </c>
      <c r="M640">
        <v>13</v>
      </c>
      <c r="N640">
        <v>0.25042762006575098</v>
      </c>
      <c r="O640">
        <v>0.10174365000969</v>
      </c>
      <c r="P640" t="str">
        <f t="shared" si="18"/>
        <v>F</v>
      </c>
      <c r="Q640" t="str">
        <f t="shared" si="19"/>
        <v>F</v>
      </c>
    </row>
    <row r="641" spans="1:17" hidden="1" x14ac:dyDescent="0.3">
      <c r="A641">
        <v>7854</v>
      </c>
      <c r="B641">
        <v>3846</v>
      </c>
      <c r="C641">
        <v>298</v>
      </c>
      <c r="D641" t="s">
        <v>19</v>
      </c>
      <c r="E641" t="s">
        <v>20</v>
      </c>
      <c r="F641" t="s">
        <v>17</v>
      </c>
      <c r="G641" t="s">
        <v>18</v>
      </c>
      <c r="H641">
        <v>275.60000000000002</v>
      </c>
      <c r="I641">
        <v>251</v>
      </c>
      <c r="J641">
        <v>95.1</v>
      </c>
      <c r="K641">
        <v>66.5</v>
      </c>
      <c r="L641">
        <v>25.3</v>
      </c>
      <c r="M641">
        <v>10.5</v>
      </c>
      <c r="N641">
        <v>0.276518872266246</v>
      </c>
      <c r="O641">
        <v>4.8529051256451801E-2</v>
      </c>
      <c r="P641" t="str">
        <f t="shared" si="18"/>
        <v>F</v>
      </c>
      <c r="Q641" t="str">
        <f t="shared" si="19"/>
        <v>F</v>
      </c>
    </row>
    <row r="642" spans="1:17" hidden="1" x14ac:dyDescent="0.3">
      <c r="A642">
        <v>7855</v>
      </c>
      <c r="B642">
        <v>3846</v>
      </c>
      <c r="C642">
        <v>298</v>
      </c>
      <c r="D642" t="s">
        <v>19</v>
      </c>
      <c r="E642" t="s">
        <v>20</v>
      </c>
      <c r="F642" t="s">
        <v>17</v>
      </c>
      <c r="G642" t="s">
        <v>18</v>
      </c>
      <c r="H642">
        <v>275.60000000000002</v>
      </c>
      <c r="I642">
        <v>251</v>
      </c>
      <c r="J642">
        <v>95.1</v>
      </c>
      <c r="K642">
        <v>66.5</v>
      </c>
      <c r="L642">
        <v>25.3</v>
      </c>
      <c r="M642">
        <v>10.5</v>
      </c>
      <c r="N642">
        <v>0.27228507696209397</v>
      </c>
      <c r="O642">
        <v>7.45551653444496E-2</v>
      </c>
      <c r="P642" t="str">
        <f t="shared" si="18"/>
        <v>F</v>
      </c>
      <c r="Q642" t="str">
        <f t="shared" si="19"/>
        <v>F</v>
      </c>
    </row>
    <row r="643" spans="1:17" hidden="1" x14ac:dyDescent="0.3">
      <c r="A643">
        <v>7856</v>
      </c>
      <c r="B643">
        <v>3846</v>
      </c>
      <c r="C643">
        <v>298</v>
      </c>
      <c r="D643" t="s">
        <v>19</v>
      </c>
      <c r="E643" t="s">
        <v>20</v>
      </c>
      <c r="F643" t="s">
        <v>17</v>
      </c>
      <c r="G643" t="s">
        <v>18</v>
      </c>
      <c r="H643">
        <v>275.60000000000002</v>
      </c>
      <c r="I643">
        <v>251</v>
      </c>
      <c r="J643">
        <v>95.1</v>
      </c>
      <c r="K643">
        <v>66.5</v>
      </c>
      <c r="L643">
        <v>25.3</v>
      </c>
      <c r="M643">
        <v>10.5</v>
      </c>
      <c r="N643">
        <v>0.27187215378795698</v>
      </c>
      <c r="O643">
        <v>5.9696717798264499E-2</v>
      </c>
      <c r="P643" t="str">
        <f t="shared" ref="P643:P706" si="20">IF(N643&lt;0.06641, "T", "F")</f>
        <v>F</v>
      </c>
      <c r="Q643" t="str">
        <f t="shared" ref="Q643:Q706" si="21">IF(O643&lt;0.027899, "T", "F")</f>
        <v>F</v>
      </c>
    </row>
    <row r="644" spans="1:17" hidden="1" x14ac:dyDescent="0.3">
      <c r="A644">
        <v>7857</v>
      </c>
      <c r="B644">
        <v>3847</v>
      </c>
      <c r="C644">
        <v>314</v>
      </c>
      <c r="D644" t="s">
        <v>19</v>
      </c>
      <c r="E644" t="s">
        <v>20</v>
      </c>
      <c r="F644" t="s">
        <v>17</v>
      </c>
      <c r="G644" t="s">
        <v>18</v>
      </c>
      <c r="H644">
        <v>273.5</v>
      </c>
      <c r="I644">
        <v>251.5</v>
      </c>
      <c r="J644">
        <v>97.5</v>
      </c>
      <c r="K644">
        <v>65</v>
      </c>
      <c r="L644">
        <v>25.5</v>
      </c>
      <c r="M644">
        <v>13</v>
      </c>
      <c r="N644">
        <v>0.225467304836618</v>
      </c>
      <c r="O644">
        <v>7.59406346013793E-2</v>
      </c>
      <c r="P644" t="str">
        <f t="shared" si="20"/>
        <v>F</v>
      </c>
      <c r="Q644" t="str">
        <f t="shared" si="21"/>
        <v>F</v>
      </c>
    </row>
    <row r="645" spans="1:17" hidden="1" x14ac:dyDescent="0.3">
      <c r="A645">
        <v>7858</v>
      </c>
      <c r="B645">
        <v>3847</v>
      </c>
      <c r="C645">
        <v>314</v>
      </c>
      <c r="D645" t="s">
        <v>19</v>
      </c>
      <c r="E645" t="s">
        <v>20</v>
      </c>
      <c r="F645" t="s">
        <v>17</v>
      </c>
      <c r="G645" t="s">
        <v>18</v>
      </c>
      <c r="H645">
        <v>273.5</v>
      </c>
      <c r="I645">
        <v>251.5</v>
      </c>
      <c r="J645">
        <v>97.5</v>
      </c>
      <c r="K645">
        <v>65</v>
      </c>
      <c r="L645">
        <v>25.5</v>
      </c>
      <c r="M645">
        <v>13</v>
      </c>
      <c r="N645">
        <v>0.243180214734488</v>
      </c>
      <c r="O645">
        <v>8.5116926495273901E-2</v>
      </c>
      <c r="P645" t="str">
        <f t="shared" si="20"/>
        <v>F</v>
      </c>
      <c r="Q645" t="str">
        <f t="shared" si="21"/>
        <v>F</v>
      </c>
    </row>
    <row r="646" spans="1:17" hidden="1" x14ac:dyDescent="0.3">
      <c r="A646">
        <v>7859</v>
      </c>
      <c r="B646">
        <v>3848</v>
      </c>
      <c r="C646">
        <v>495</v>
      </c>
      <c r="D646" t="s">
        <v>19</v>
      </c>
      <c r="E646" t="s">
        <v>20</v>
      </c>
      <c r="F646" t="s">
        <v>17</v>
      </c>
      <c r="G646" t="s">
        <v>18</v>
      </c>
      <c r="H646">
        <v>276.8</v>
      </c>
      <c r="I646">
        <v>243</v>
      </c>
      <c r="J646">
        <v>94.5</v>
      </c>
      <c r="K646">
        <v>64.5</v>
      </c>
      <c r="L646">
        <v>27.6</v>
      </c>
      <c r="M646">
        <v>5.5</v>
      </c>
      <c r="N646">
        <v>0.15137498039680899</v>
      </c>
      <c r="O646">
        <v>7.5893558992563295E-2</v>
      </c>
      <c r="P646" t="str">
        <f t="shared" si="20"/>
        <v>F</v>
      </c>
      <c r="Q646" t="str">
        <f t="shared" si="21"/>
        <v>F</v>
      </c>
    </row>
    <row r="647" spans="1:17" hidden="1" x14ac:dyDescent="0.3">
      <c r="A647">
        <v>7860</v>
      </c>
      <c r="B647">
        <v>3848</v>
      </c>
      <c r="C647">
        <v>495</v>
      </c>
      <c r="D647" t="s">
        <v>19</v>
      </c>
      <c r="E647" t="s">
        <v>20</v>
      </c>
      <c r="F647" t="s">
        <v>17</v>
      </c>
      <c r="G647" t="s">
        <v>18</v>
      </c>
      <c r="H647">
        <v>276.8</v>
      </c>
      <c r="I647">
        <v>243</v>
      </c>
      <c r="J647">
        <v>94.5</v>
      </c>
      <c r="K647">
        <v>64.5</v>
      </c>
      <c r="L647">
        <v>27.6</v>
      </c>
      <c r="M647">
        <v>5.5</v>
      </c>
      <c r="N647">
        <v>0.152524119585766</v>
      </c>
      <c r="O647">
        <v>4.8418851906033698E-2</v>
      </c>
      <c r="P647" t="str">
        <f t="shared" si="20"/>
        <v>F</v>
      </c>
      <c r="Q647" t="str">
        <f t="shared" si="21"/>
        <v>F</v>
      </c>
    </row>
    <row r="648" spans="1:17" hidden="1" x14ac:dyDescent="0.3">
      <c r="A648">
        <v>7861</v>
      </c>
      <c r="B648">
        <v>3848</v>
      </c>
      <c r="C648">
        <v>495</v>
      </c>
      <c r="D648" t="s">
        <v>19</v>
      </c>
      <c r="E648" t="s">
        <v>20</v>
      </c>
      <c r="F648" t="s">
        <v>17</v>
      </c>
      <c r="G648" t="s">
        <v>18</v>
      </c>
      <c r="H648">
        <v>276.8</v>
      </c>
      <c r="I648">
        <v>243</v>
      </c>
      <c r="J648">
        <v>94.5</v>
      </c>
      <c r="K648">
        <v>64.5</v>
      </c>
      <c r="L648">
        <v>27.6</v>
      </c>
      <c r="M648">
        <v>5.5</v>
      </c>
      <c r="N648">
        <v>0.15926925001825501</v>
      </c>
      <c r="O648">
        <v>5.1535289148119903E-2</v>
      </c>
      <c r="P648" t="str">
        <f t="shared" si="20"/>
        <v>F</v>
      </c>
      <c r="Q648" t="str">
        <f t="shared" si="21"/>
        <v>F</v>
      </c>
    </row>
    <row r="649" spans="1:17" hidden="1" x14ac:dyDescent="0.3">
      <c r="A649">
        <v>7862</v>
      </c>
      <c r="B649">
        <v>3848</v>
      </c>
      <c r="C649">
        <v>495</v>
      </c>
      <c r="D649" t="s">
        <v>19</v>
      </c>
      <c r="E649" t="s">
        <v>20</v>
      </c>
      <c r="F649" t="s">
        <v>17</v>
      </c>
      <c r="G649" t="s">
        <v>18</v>
      </c>
      <c r="H649">
        <v>276.8</v>
      </c>
      <c r="I649">
        <v>243</v>
      </c>
      <c r="J649">
        <v>94.5</v>
      </c>
      <c r="K649">
        <v>64.5</v>
      </c>
      <c r="L649">
        <v>27.6</v>
      </c>
      <c r="M649">
        <v>5.5</v>
      </c>
      <c r="N649">
        <v>0.13895549099868101</v>
      </c>
      <c r="O649">
        <v>7.9980054196662306E-2</v>
      </c>
      <c r="P649" t="str">
        <f t="shared" si="20"/>
        <v>F</v>
      </c>
      <c r="Q649" t="str">
        <f t="shared" si="21"/>
        <v>F</v>
      </c>
    </row>
    <row r="650" spans="1:17" hidden="1" x14ac:dyDescent="0.3">
      <c r="A650">
        <v>7863</v>
      </c>
      <c r="B650">
        <v>3848</v>
      </c>
      <c r="C650">
        <v>495</v>
      </c>
      <c r="D650" t="s">
        <v>19</v>
      </c>
      <c r="E650" t="s">
        <v>20</v>
      </c>
      <c r="F650" t="s">
        <v>17</v>
      </c>
      <c r="G650" t="s">
        <v>18</v>
      </c>
      <c r="H650">
        <v>276.8</v>
      </c>
      <c r="I650">
        <v>243</v>
      </c>
      <c r="J650">
        <v>94.5</v>
      </c>
      <c r="K650">
        <v>64.5</v>
      </c>
      <c r="L650">
        <v>27.6</v>
      </c>
      <c r="M650">
        <v>5.5</v>
      </c>
      <c r="N650">
        <v>0.15617181715849801</v>
      </c>
      <c r="O650">
        <v>6.5968993531226802E-2</v>
      </c>
      <c r="P650" t="str">
        <f t="shared" si="20"/>
        <v>F</v>
      </c>
      <c r="Q650" t="str">
        <f t="shared" si="21"/>
        <v>F</v>
      </c>
    </row>
    <row r="651" spans="1:17" hidden="1" x14ac:dyDescent="0.3">
      <c r="A651">
        <v>7864</v>
      </c>
      <c r="B651">
        <v>3848</v>
      </c>
      <c r="C651">
        <v>495</v>
      </c>
      <c r="D651" t="s">
        <v>19</v>
      </c>
      <c r="E651" t="s">
        <v>20</v>
      </c>
      <c r="F651" t="s">
        <v>17</v>
      </c>
      <c r="G651" t="s">
        <v>18</v>
      </c>
      <c r="H651">
        <v>276.8</v>
      </c>
      <c r="I651">
        <v>243</v>
      </c>
      <c r="J651">
        <v>94.5</v>
      </c>
      <c r="K651">
        <v>64.5</v>
      </c>
      <c r="L651">
        <v>27.6</v>
      </c>
      <c r="M651">
        <v>5.5</v>
      </c>
      <c r="N651">
        <v>0.146543393443265</v>
      </c>
      <c r="O651">
        <v>5.5748767803923002E-2</v>
      </c>
      <c r="P651" t="str">
        <f t="shared" si="20"/>
        <v>F</v>
      </c>
      <c r="Q651" t="str">
        <f t="shared" si="21"/>
        <v>F</v>
      </c>
    </row>
    <row r="652" spans="1:17" hidden="1" x14ac:dyDescent="0.3">
      <c r="A652">
        <v>7874</v>
      </c>
      <c r="B652">
        <v>3852</v>
      </c>
      <c r="C652">
        <v>480</v>
      </c>
      <c r="D652" t="s">
        <v>19</v>
      </c>
      <c r="E652" t="s">
        <v>20</v>
      </c>
      <c r="F652" t="s">
        <v>21</v>
      </c>
      <c r="G652" t="s">
        <v>22</v>
      </c>
      <c r="H652">
        <v>275.8</v>
      </c>
      <c r="I652">
        <v>244</v>
      </c>
      <c r="J652">
        <v>94.4</v>
      </c>
      <c r="K652">
        <v>67.5</v>
      </c>
      <c r="L652">
        <v>24.4</v>
      </c>
      <c r="M652">
        <v>6</v>
      </c>
      <c r="N652">
        <v>0.17027210439073101</v>
      </c>
      <c r="O652">
        <v>0.192529035094021</v>
      </c>
      <c r="P652" t="str">
        <f t="shared" si="20"/>
        <v>F</v>
      </c>
      <c r="Q652" t="str">
        <f t="shared" si="21"/>
        <v>F</v>
      </c>
    </row>
    <row r="653" spans="1:17" hidden="1" x14ac:dyDescent="0.3">
      <c r="A653">
        <v>7875</v>
      </c>
      <c r="B653">
        <v>3852</v>
      </c>
      <c r="C653">
        <v>480</v>
      </c>
      <c r="D653" t="s">
        <v>19</v>
      </c>
      <c r="E653" t="s">
        <v>20</v>
      </c>
      <c r="F653" t="s">
        <v>21</v>
      </c>
      <c r="G653" t="s">
        <v>22</v>
      </c>
      <c r="H653">
        <v>275.8</v>
      </c>
      <c r="I653">
        <v>244</v>
      </c>
      <c r="J653">
        <v>94.4</v>
      </c>
      <c r="K653">
        <v>67.5</v>
      </c>
      <c r="L653">
        <v>24.4</v>
      </c>
      <c r="M653">
        <v>6</v>
      </c>
      <c r="N653">
        <v>0.133237616096883</v>
      </c>
      <c r="O653">
        <v>0.18842759927771299</v>
      </c>
      <c r="P653" t="str">
        <f t="shared" si="20"/>
        <v>F</v>
      </c>
      <c r="Q653" t="str">
        <f t="shared" si="21"/>
        <v>F</v>
      </c>
    </row>
    <row r="654" spans="1:17" hidden="1" x14ac:dyDescent="0.3">
      <c r="A654">
        <v>7876</v>
      </c>
      <c r="B654">
        <v>3852</v>
      </c>
      <c r="C654">
        <v>480</v>
      </c>
      <c r="D654" t="s">
        <v>19</v>
      </c>
      <c r="E654" t="s">
        <v>20</v>
      </c>
      <c r="F654" t="s">
        <v>21</v>
      </c>
      <c r="G654" t="s">
        <v>22</v>
      </c>
      <c r="H654">
        <v>275.8</v>
      </c>
      <c r="I654">
        <v>244</v>
      </c>
      <c r="J654">
        <v>94.4</v>
      </c>
      <c r="K654">
        <v>67.5</v>
      </c>
      <c r="L654">
        <v>24.4</v>
      </c>
      <c r="M654">
        <v>6</v>
      </c>
      <c r="N654">
        <v>0.16396868541647799</v>
      </c>
      <c r="O654">
        <v>0.21114076542256599</v>
      </c>
      <c r="P654" t="str">
        <f t="shared" si="20"/>
        <v>F</v>
      </c>
      <c r="Q654" t="str">
        <f t="shared" si="21"/>
        <v>F</v>
      </c>
    </row>
    <row r="655" spans="1:17" hidden="1" x14ac:dyDescent="0.3">
      <c r="A655">
        <v>7982</v>
      </c>
      <c r="B655">
        <v>3888</v>
      </c>
      <c r="C655">
        <v>298</v>
      </c>
      <c r="D655" t="s">
        <v>19</v>
      </c>
      <c r="E655" t="s">
        <v>20</v>
      </c>
      <c r="F655" t="s">
        <v>21</v>
      </c>
      <c r="G655" t="s">
        <v>18</v>
      </c>
      <c r="H655">
        <v>275.60000000000002</v>
      </c>
      <c r="I655">
        <v>251</v>
      </c>
      <c r="J655">
        <v>95.1</v>
      </c>
      <c r="K655">
        <v>66.5</v>
      </c>
      <c r="L655">
        <v>25.3</v>
      </c>
      <c r="M655">
        <v>10.5</v>
      </c>
      <c r="N655">
        <v>0.31818024437227099</v>
      </c>
      <c r="O655">
        <v>4.9286675367397503E-2</v>
      </c>
      <c r="P655" t="str">
        <f t="shared" si="20"/>
        <v>F</v>
      </c>
      <c r="Q655" t="str">
        <f t="shared" si="21"/>
        <v>F</v>
      </c>
    </row>
    <row r="656" spans="1:17" hidden="1" x14ac:dyDescent="0.3">
      <c r="A656">
        <v>7983</v>
      </c>
      <c r="B656">
        <v>3888</v>
      </c>
      <c r="C656">
        <v>298</v>
      </c>
      <c r="D656" t="s">
        <v>19</v>
      </c>
      <c r="E656" t="s">
        <v>20</v>
      </c>
      <c r="F656" t="s">
        <v>21</v>
      </c>
      <c r="G656" t="s">
        <v>18</v>
      </c>
      <c r="H656">
        <v>275.60000000000002</v>
      </c>
      <c r="I656">
        <v>251</v>
      </c>
      <c r="J656">
        <v>95.1</v>
      </c>
      <c r="K656">
        <v>66.5</v>
      </c>
      <c r="L656">
        <v>25.3</v>
      </c>
      <c r="M656">
        <v>10.5</v>
      </c>
      <c r="N656">
        <v>0.28697024338410299</v>
      </c>
      <c r="O656">
        <v>5.1249502061592803E-2</v>
      </c>
      <c r="P656" t="str">
        <f t="shared" si="20"/>
        <v>F</v>
      </c>
      <c r="Q656" t="str">
        <f t="shared" si="21"/>
        <v>F</v>
      </c>
    </row>
    <row r="657" spans="1:17" hidden="1" x14ac:dyDescent="0.3">
      <c r="A657">
        <v>8038</v>
      </c>
      <c r="B657">
        <v>3908</v>
      </c>
      <c r="C657">
        <v>102</v>
      </c>
      <c r="D657" t="s">
        <v>19</v>
      </c>
      <c r="E657" t="s">
        <v>20</v>
      </c>
      <c r="F657" t="s">
        <v>17</v>
      </c>
      <c r="G657" t="s">
        <v>25</v>
      </c>
      <c r="H657">
        <v>273.60000000000002</v>
      </c>
      <c r="I657">
        <v>246</v>
      </c>
      <c r="J657">
        <v>93.6</v>
      </c>
      <c r="K657">
        <v>64.5</v>
      </c>
      <c r="L657">
        <v>25.6</v>
      </c>
      <c r="M657">
        <v>1.5</v>
      </c>
      <c r="N657">
        <v>0.15297811903837499</v>
      </c>
      <c r="O657">
        <v>0.20568332245377999</v>
      </c>
      <c r="P657" t="str">
        <f t="shared" si="20"/>
        <v>F</v>
      </c>
      <c r="Q657" t="str">
        <f t="shared" si="21"/>
        <v>F</v>
      </c>
    </row>
    <row r="658" spans="1:17" hidden="1" x14ac:dyDescent="0.3">
      <c r="A658">
        <v>8057</v>
      </c>
      <c r="B658">
        <v>3916</v>
      </c>
      <c r="C658">
        <v>413</v>
      </c>
      <c r="D658" t="s">
        <v>19</v>
      </c>
      <c r="E658" t="s">
        <v>20</v>
      </c>
      <c r="F658" t="s">
        <v>21</v>
      </c>
      <c r="G658" t="s">
        <v>26</v>
      </c>
      <c r="H658">
        <v>279</v>
      </c>
      <c r="I658">
        <v>247.5</v>
      </c>
      <c r="J658">
        <v>93.5</v>
      </c>
      <c r="K658">
        <v>66</v>
      </c>
      <c r="L658">
        <v>25.5</v>
      </c>
      <c r="M658">
        <v>10</v>
      </c>
      <c r="N658">
        <v>0.22182322524022899</v>
      </c>
      <c r="O658">
        <v>7.1466550146710703E-2</v>
      </c>
      <c r="P658" t="str">
        <f t="shared" si="20"/>
        <v>F</v>
      </c>
      <c r="Q658" t="str">
        <f t="shared" si="21"/>
        <v>F</v>
      </c>
    </row>
    <row r="659" spans="1:17" hidden="1" x14ac:dyDescent="0.3">
      <c r="A659">
        <v>8058</v>
      </c>
      <c r="B659">
        <v>3916</v>
      </c>
      <c r="C659">
        <v>413</v>
      </c>
      <c r="D659" t="s">
        <v>19</v>
      </c>
      <c r="E659" t="s">
        <v>20</v>
      </c>
      <c r="F659" t="s">
        <v>21</v>
      </c>
      <c r="G659" t="s">
        <v>26</v>
      </c>
      <c r="H659">
        <v>279</v>
      </c>
      <c r="I659">
        <v>247.5</v>
      </c>
      <c r="J659">
        <v>93.5</v>
      </c>
      <c r="K659">
        <v>66</v>
      </c>
      <c r="L659">
        <v>25.5</v>
      </c>
      <c r="M659">
        <v>10</v>
      </c>
      <c r="N659">
        <v>0.235178537015198</v>
      </c>
      <c r="O659">
        <v>8.0093790297499703E-2</v>
      </c>
      <c r="P659" t="str">
        <f t="shared" si="20"/>
        <v>F</v>
      </c>
      <c r="Q659" t="str">
        <f t="shared" si="21"/>
        <v>F</v>
      </c>
    </row>
    <row r="660" spans="1:17" hidden="1" x14ac:dyDescent="0.3">
      <c r="A660">
        <v>8059</v>
      </c>
      <c r="B660">
        <v>3916</v>
      </c>
      <c r="C660">
        <v>413</v>
      </c>
      <c r="D660" t="s">
        <v>19</v>
      </c>
      <c r="E660" t="s">
        <v>20</v>
      </c>
      <c r="F660" t="s">
        <v>21</v>
      </c>
      <c r="G660" t="s">
        <v>26</v>
      </c>
      <c r="H660">
        <v>279</v>
      </c>
      <c r="I660">
        <v>247.5</v>
      </c>
      <c r="J660">
        <v>93.5</v>
      </c>
      <c r="K660">
        <v>66</v>
      </c>
      <c r="L660">
        <v>25.5</v>
      </c>
      <c r="M660">
        <v>10</v>
      </c>
      <c r="N660">
        <v>0.225522338051419</v>
      </c>
      <c r="O660">
        <v>6.4409319319627401E-2</v>
      </c>
      <c r="P660" t="str">
        <f t="shared" si="20"/>
        <v>F</v>
      </c>
      <c r="Q660" t="str">
        <f t="shared" si="21"/>
        <v>F</v>
      </c>
    </row>
    <row r="661" spans="1:17" hidden="1" x14ac:dyDescent="0.3">
      <c r="A661">
        <v>8060</v>
      </c>
      <c r="B661">
        <v>3916</v>
      </c>
      <c r="C661">
        <v>413</v>
      </c>
      <c r="D661" t="s">
        <v>19</v>
      </c>
      <c r="E661" t="s">
        <v>20</v>
      </c>
      <c r="F661" t="s">
        <v>21</v>
      </c>
      <c r="G661" t="s">
        <v>26</v>
      </c>
      <c r="H661">
        <v>279</v>
      </c>
      <c r="I661">
        <v>247.5</v>
      </c>
      <c r="J661">
        <v>93.5</v>
      </c>
      <c r="K661">
        <v>66</v>
      </c>
      <c r="L661">
        <v>25.5</v>
      </c>
      <c r="M661">
        <v>10</v>
      </c>
      <c r="N661">
        <v>0.22943922733606401</v>
      </c>
      <c r="O661">
        <v>5.3536004922945003E-2</v>
      </c>
      <c r="P661" t="str">
        <f t="shared" si="20"/>
        <v>F</v>
      </c>
      <c r="Q661" t="str">
        <f t="shared" si="21"/>
        <v>F</v>
      </c>
    </row>
    <row r="662" spans="1:17" hidden="1" x14ac:dyDescent="0.3">
      <c r="A662">
        <v>8069</v>
      </c>
      <c r="B662">
        <v>392</v>
      </c>
      <c r="C662">
        <v>27</v>
      </c>
      <c r="D662" t="s">
        <v>19</v>
      </c>
      <c r="E662" t="s">
        <v>20</v>
      </c>
      <c r="F662" t="s">
        <v>17</v>
      </c>
      <c r="G662" t="s">
        <v>26</v>
      </c>
      <c r="H662">
        <v>276.60000000000002</v>
      </c>
      <c r="I662">
        <v>251.5</v>
      </c>
      <c r="J662">
        <v>95.3</v>
      </c>
      <c r="K662">
        <v>67.5</v>
      </c>
      <c r="L662">
        <v>29.7</v>
      </c>
      <c r="M662">
        <v>2</v>
      </c>
      <c r="N662">
        <v>0.137846912546321</v>
      </c>
      <c r="O662">
        <v>0.12873054862991701</v>
      </c>
      <c r="P662" t="str">
        <f t="shared" si="20"/>
        <v>F</v>
      </c>
      <c r="Q662" t="str">
        <f t="shared" si="21"/>
        <v>F</v>
      </c>
    </row>
    <row r="663" spans="1:17" hidden="1" x14ac:dyDescent="0.3">
      <c r="A663">
        <v>8070</v>
      </c>
      <c r="B663">
        <v>392</v>
      </c>
      <c r="C663">
        <v>27</v>
      </c>
      <c r="D663" t="s">
        <v>19</v>
      </c>
      <c r="E663" t="s">
        <v>20</v>
      </c>
      <c r="F663" t="s">
        <v>17</v>
      </c>
      <c r="G663" t="s">
        <v>26</v>
      </c>
      <c r="H663">
        <v>276.60000000000002</v>
      </c>
      <c r="I663">
        <v>251.5</v>
      </c>
      <c r="J663">
        <v>95.3</v>
      </c>
      <c r="K663">
        <v>67.5</v>
      </c>
      <c r="L663">
        <v>29.7</v>
      </c>
      <c r="M663">
        <v>2</v>
      </c>
      <c r="N663">
        <v>0.131575045827202</v>
      </c>
      <c r="O663">
        <v>0.146700947787266</v>
      </c>
      <c r="P663" t="str">
        <f t="shared" si="20"/>
        <v>F</v>
      </c>
      <c r="Q663" t="str">
        <f t="shared" si="21"/>
        <v>F</v>
      </c>
    </row>
    <row r="664" spans="1:17" hidden="1" x14ac:dyDescent="0.3">
      <c r="A664">
        <v>8071</v>
      </c>
      <c r="B664">
        <v>392</v>
      </c>
      <c r="C664">
        <v>27</v>
      </c>
      <c r="D664" t="s">
        <v>19</v>
      </c>
      <c r="E664" t="s">
        <v>20</v>
      </c>
      <c r="F664" t="s">
        <v>17</v>
      </c>
      <c r="G664" t="s">
        <v>26</v>
      </c>
      <c r="H664">
        <v>276.60000000000002</v>
      </c>
      <c r="I664">
        <v>251.5</v>
      </c>
      <c r="J664">
        <v>95.3</v>
      </c>
      <c r="K664">
        <v>67.5</v>
      </c>
      <c r="L664">
        <v>29.7</v>
      </c>
      <c r="M664">
        <v>2</v>
      </c>
      <c r="N664">
        <v>0.16019452867248801</v>
      </c>
      <c r="O664">
        <v>0.13681222426753001</v>
      </c>
      <c r="P664" t="str">
        <f t="shared" si="20"/>
        <v>F</v>
      </c>
      <c r="Q664" t="str">
        <f t="shared" si="21"/>
        <v>F</v>
      </c>
    </row>
    <row r="665" spans="1:17" hidden="1" x14ac:dyDescent="0.3">
      <c r="A665">
        <v>8072</v>
      </c>
      <c r="B665">
        <v>392</v>
      </c>
      <c r="C665">
        <v>27</v>
      </c>
      <c r="D665" t="s">
        <v>19</v>
      </c>
      <c r="E665" t="s">
        <v>20</v>
      </c>
      <c r="F665" t="s">
        <v>17</v>
      </c>
      <c r="G665" t="s">
        <v>26</v>
      </c>
      <c r="H665">
        <v>276.60000000000002</v>
      </c>
      <c r="I665">
        <v>251.5</v>
      </c>
      <c r="J665">
        <v>95.3</v>
      </c>
      <c r="K665">
        <v>67.5</v>
      </c>
      <c r="L665">
        <v>29.7</v>
      </c>
      <c r="M665">
        <v>2</v>
      </c>
      <c r="N665">
        <v>0.12985044814780999</v>
      </c>
      <c r="O665">
        <v>0.13919428934467001</v>
      </c>
      <c r="P665" t="str">
        <f t="shared" si="20"/>
        <v>F</v>
      </c>
      <c r="Q665" t="str">
        <f t="shared" si="21"/>
        <v>F</v>
      </c>
    </row>
    <row r="666" spans="1:17" hidden="1" x14ac:dyDescent="0.3">
      <c r="A666">
        <v>8073</v>
      </c>
      <c r="B666">
        <v>3920</v>
      </c>
      <c r="C666">
        <v>443</v>
      </c>
      <c r="D666" t="s">
        <v>19</v>
      </c>
      <c r="E666" t="s">
        <v>20</v>
      </c>
      <c r="F666" t="s">
        <v>17</v>
      </c>
      <c r="G666" t="s">
        <v>25</v>
      </c>
      <c r="H666">
        <v>272.5</v>
      </c>
      <c r="I666">
        <v>239.5</v>
      </c>
      <c r="J666">
        <v>96</v>
      </c>
      <c r="K666">
        <v>64.5</v>
      </c>
      <c r="L666">
        <v>20.399999999999999</v>
      </c>
      <c r="M666">
        <v>10</v>
      </c>
      <c r="N666">
        <v>0.24445548507257001</v>
      </c>
      <c r="O666">
        <v>6.3011267251207204E-2</v>
      </c>
      <c r="P666" t="str">
        <f t="shared" si="20"/>
        <v>F</v>
      </c>
      <c r="Q666" t="str">
        <f t="shared" si="21"/>
        <v>F</v>
      </c>
    </row>
    <row r="667" spans="1:17" hidden="1" x14ac:dyDescent="0.3">
      <c r="A667">
        <v>8126</v>
      </c>
      <c r="B667">
        <v>3938</v>
      </c>
      <c r="C667">
        <v>193</v>
      </c>
      <c r="D667" t="s">
        <v>19</v>
      </c>
      <c r="E667" t="s">
        <v>20</v>
      </c>
      <c r="F667" t="s">
        <v>17</v>
      </c>
      <c r="G667" t="s">
        <v>24</v>
      </c>
      <c r="H667">
        <v>279.60000000000002</v>
      </c>
      <c r="I667">
        <v>259.5</v>
      </c>
      <c r="J667">
        <v>97.1</v>
      </c>
      <c r="K667">
        <v>67.5</v>
      </c>
      <c r="L667">
        <v>25.4</v>
      </c>
      <c r="M667">
        <v>7.5</v>
      </c>
      <c r="N667">
        <v>9.8727271443329295E-2</v>
      </c>
      <c r="O667">
        <v>1.41061516370901E-2</v>
      </c>
      <c r="P667" t="str">
        <f t="shared" si="20"/>
        <v>F</v>
      </c>
      <c r="Q667" t="str">
        <f t="shared" si="21"/>
        <v>T</v>
      </c>
    </row>
    <row r="668" spans="1:17" hidden="1" x14ac:dyDescent="0.3">
      <c r="A668">
        <v>8128</v>
      </c>
      <c r="B668">
        <v>3938</v>
      </c>
      <c r="C668">
        <v>193</v>
      </c>
      <c r="D668" t="s">
        <v>19</v>
      </c>
      <c r="E668" t="s">
        <v>20</v>
      </c>
      <c r="F668" t="s">
        <v>17</v>
      </c>
      <c r="G668" t="s">
        <v>24</v>
      </c>
      <c r="H668">
        <v>279.60000000000002</v>
      </c>
      <c r="I668">
        <v>259.5</v>
      </c>
      <c r="J668">
        <v>97.1</v>
      </c>
      <c r="K668">
        <v>67.5</v>
      </c>
      <c r="L668">
        <v>25.4</v>
      </c>
      <c r="M668">
        <v>7.5</v>
      </c>
      <c r="N668">
        <v>0.116833040490287</v>
      </c>
      <c r="O668">
        <v>2.25136275269768E-2</v>
      </c>
      <c r="P668" t="str">
        <f t="shared" si="20"/>
        <v>F</v>
      </c>
      <c r="Q668" t="str">
        <f t="shared" si="21"/>
        <v>T</v>
      </c>
    </row>
    <row r="669" spans="1:17" hidden="1" x14ac:dyDescent="0.3">
      <c r="A669">
        <v>8215</v>
      </c>
      <c r="B669">
        <v>3970</v>
      </c>
      <c r="C669">
        <v>400</v>
      </c>
      <c r="D669" t="s">
        <v>19</v>
      </c>
      <c r="E669" t="s">
        <v>20</v>
      </c>
      <c r="F669" t="s">
        <v>17</v>
      </c>
      <c r="G669" t="s">
        <v>24</v>
      </c>
      <c r="H669">
        <v>274.10000000000002</v>
      </c>
      <c r="I669">
        <v>253</v>
      </c>
      <c r="J669">
        <v>96.6</v>
      </c>
      <c r="K669">
        <v>66.5</v>
      </c>
      <c r="L669">
        <v>25.5</v>
      </c>
      <c r="M669">
        <v>12</v>
      </c>
      <c r="N669">
        <v>3.5649519974557398E-2</v>
      </c>
      <c r="O669">
        <v>6.9093966690015399E-2</v>
      </c>
      <c r="P669" t="str">
        <f t="shared" si="20"/>
        <v>T</v>
      </c>
      <c r="Q669" t="str">
        <f t="shared" si="21"/>
        <v>F</v>
      </c>
    </row>
    <row r="670" spans="1:17" hidden="1" x14ac:dyDescent="0.3">
      <c r="A670">
        <v>8216</v>
      </c>
      <c r="B670">
        <v>3970</v>
      </c>
      <c r="C670">
        <v>400</v>
      </c>
      <c r="D670" t="s">
        <v>19</v>
      </c>
      <c r="E670" t="s">
        <v>20</v>
      </c>
      <c r="F670" t="s">
        <v>17</v>
      </c>
      <c r="G670" t="s">
        <v>24</v>
      </c>
      <c r="H670">
        <v>274.10000000000002</v>
      </c>
      <c r="I670">
        <v>253</v>
      </c>
      <c r="J670">
        <v>96.6</v>
      </c>
      <c r="K670">
        <v>66.5</v>
      </c>
      <c r="L670">
        <v>25.5</v>
      </c>
      <c r="M670">
        <v>12</v>
      </c>
      <c r="N670">
        <v>7.2952308420244805E-2</v>
      </c>
      <c r="O670">
        <v>8.9492236586823495E-2</v>
      </c>
      <c r="P670" t="str">
        <f t="shared" si="20"/>
        <v>F</v>
      </c>
      <c r="Q670" t="str">
        <f t="shared" si="21"/>
        <v>F</v>
      </c>
    </row>
    <row r="671" spans="1:17" hidden="1" x14ac:dyDescent="0.3">
      <c r="A671">
        <v>8262</v>
      </c>
      <c r="B671">
        <v>3985</v>
      </c>
      <c r="C671">
        <v>144</v>
      </c>
      <c r="D671" t="s">
        <v>19</v>
      </c>
      <c r="E671" t="s">
        <v>20</v>
      </c>
      <c r="F671" t="s">
        <v>21</v>
      </c>
      <c r="G671" t="s">
        <v>24</v>
      </c>
      <c r="H671">
        <v>268.89999999999998</v>
      </c>
      <c r="I671">
        <v>244.5</v>
      </c>
      <c r="J671">
        <v>93.6</v>
      </c>
      <c r="K671">
        <v>66</v>
      </c>
      <c r="L671">
        <v>26.2</v>
      </c>
      <c r="M671">
        <v>8</v>
      </c>
      <c r="N671">
        <v>0.21675304885437399</v>
      </c>
      <c r="O671">
        <v>9.4231474567179705E-3</v>
      </c>
      <c r="P671" t="str">
        <f t="shared" si="20"/>
        <v>F</v>
      </c>
      <c r="Q671" t="str">
        <f t="shared" si="21"/>
        <v>T</v>
      </c>
    </row>
    <row r="672" spans="1:17" hidden="1" x14ac:dyDescent="0.3">
      <c r="A672">
        <v>8264</v>
      </c>
      <c r="B672">
        <v>3985</v>
      </c>
      <c r="C672">
        <v>144</v>
      </c>
      <c r="D672" t="s">
        <v>19</v>
      </c>
      <c r="E672" t="s">
        <v>20</v>
      </c>
      <c r="F672" t="s">
        <v>21</v>
      </c>
      <c r="G672" t="s">
        <v>24</v>
      </c>
      <c r="H672">
        <v>268.89999999999998</v>
      </c>
      <c r="I672">
        <v>244.5</v>
      </c>
      <c r="J672">
        <v>93.6</v>
      </c>
      <c r="K672">
        <v>66</v>
      </c>
      <c r="L672">
        <v>26.2</v>
      </c>
      <c r="M672">
        <v>8</v>
      </c>
      <c r="N672">
        <v>0.195881055861724</v>
      </c>
      <c r="O672">
        <v>2.81190833694684E-2</v>
      </c>
      <c r="P672" t="str">
        <f t="shared" si="20"/>
        <v>F</v>
      </c>
      <c r="Q672" t="str">
        <f t="shared" si="21"/>
        <v>F</v>
      </c>
    </row>
    <row r="673" spans="1:17" hidden="1" x14ac:dyDescent="0.3">
      <c r="A673">
        <v>8270</v>
      </c>
      <c r="B673">
        <v>3989</v>
      </c>
      <c r="C673">
        <v>62</v>
      </c>
      <c r="D673" t="s">
        <v>19</v>
      </c>
      <c r="E673" t="s">
        <v>20</v>
      </c>
      <c r="F673" t="s">
        <v>17</v>
      </c>
      <c r="G673" t="s">
        <v>25</v>
      </c>
      <c r="H673">
        <v>274.5</v>
      </c>
      <c r="I673">
        <v>256.5</v>
      </c>
      <c r="J673">
        <v>98.4</v>
      </c>
      <c r="K673">
        <v>71.5</v>
      </c>
      <c r="L673">
        <v>29.3</v>
      </c>
      <c r="M673">
        <v>6</v>
      </c>
      <c r="N673">
        <v>0.27025049876045398</v>
      </c>
      <c r="O673">
        <v>0.12378739508368</v>
      </c>
      <c r="P673" t="str">
        <f t="shared" si="20"/>
        <v>F</v>
      </c>
      <c r="Q673" t="str">
        <f t="shared" si="21"/>
        <v>F</v>
      </c>
    </row>
    <row r="674" spans="1:17" x14ac:dyDescent="0.3">
      <c r="A674">
        <v>8378</v>
      </c>
      <c r="B674">
        <v>428</v>
      </c>
      <c r="C674">
        <v>335</v>
      </c>
      <c r="D674" t="s">
        <v>19</v>
      </c>
      <c r="E674" t="s">
        <v>20</v>
      </c>
      <c r="F674" t="s">
        <v>17</v>
      </c>
      <c r="G674" t="s">
        <v>18</v>
      </c>
      <c r="H674">
        <v>278.5</v>
      </c>
      <c r="I674">
        <v>240.5</v>
      </c>
      <c r="J674">
        <v>94.4</v>
      </c>
      <c r="K674">
        <v>69</v>
      </c>
      <c r="L674">
        <v>25.8</v>
      </c>
      <c r="M674">
        <v>8.5</v>
      </c>
      <c r="N674">
        <v>4.3975246522506999E-2</v>
      </c>
      <c r="O674">
        <v>2.7422003708153501E-2</v>
      </c>
      <c r="P674" t="str">
        <f t="shared" si="20"/>
        <v>T</v>
      </c>
      <c r="Q674" t="str">
        <f t="shared" si="21"/>
        <v>T</v>
      </c>
    </row>
    <row r="675" spans="1:17" hidden="1" x14ac:dyDescent="0.3">
      <c r="A675">
        <v>8379</v>
      </c>
      <c r="B675">
        <v>43</v>
      </c>
      <c r="C675">
        <v>197</v>
      </c>
      <c r="D675" t="s">
        <v>19</v>
      </c>
      <c r="E675" t="s">
        <v>20</v>
      </c>
      <c r="F675" t="s">
        <v>21</v>
      </c>
      <c r="G675" t="s">
        <v>26</v>
      </c>
      <c r="H675">
        <v>280.10000000000002</v>
      </c>
      <c r="I675">
        <v>249.5</v>
      </c>
      <c r="J675">
        <v>95.8</v>
      </c>
      <c r="K675">
        <v>69.5</v>
      </c>
      <c r="L675">
        <v>26.6</v>
      </c>
      <c r="M675">
        <v>6.5</v>
      </c>
      <c r="N675">
        <v>0.19079035414918999</v>
      </c>
      <c r="O675">
        <v>2.80098074842061E-2</v>
      </c>
      <c r="P675" t="str">
        <f t="shared" si="20"/>
        <v>F</v>
      </c>
      <c r="Q675" t="str">
        <f t="shared" si="21"/>
        <v>F</v>
      </c>
    </row>
    <row r="676" spans="1:17" hidden="1" x14ac:dyDescent="0.3">
      <c r="A676">
        <v>8380</v>
      </c>
      <c r="B676">
        <v>430</v>
      </c>
      <c r="C676">
        <v>89</v>
      </c>
      <c r="D676" t="s">
        <v>19</v>
      </c>
      <c r="E676" t="s">
        <v>20</v>
      </c>
      <c r="F676" t="s">
        <v>17</v>
      </c>
      <c r="G676" t="s">
        <v>22</v>
      </c>
      <c r="H676">
        <v>275.89999999999998</v>
      </c>
      <c r="I676">
        <v>245.5</v>
      </c>
      <c r="J676">
        <v>92.8</v>
      </c>
      <c r="K676">
        <v>66.5</v>
      </c>
      <c r="L676">
        <v>26.7</v>
      </c>
      <c r="M676">
        <v>12.5</v>
      </c>
      <c r="N676">
        <v>6.9417701380123806E-2</v>
      </c>
      <c r="O676">
        <v>0.11425849845081899</v>
      </c>
      <c r="P676" t="str">
        <f t="shared" si="20"/>
        <v>F</v>
      </c>
      <c r="Q676" t="str">
        <f t="shared" si="21"/>
        <v>F</v>
      </c>
    </row>
    <row r="677" spans="1:17" hidden="1" x14ac:dyDescent="0.3">
      <c r="A677">
        <v>8381</v>
      </c>
      <c r="B677">
        <v>430</v>
      </c>
      <c r="C677">
        <v>89</v>
      </c>
      <c r="D677" t="s">
        <v>19</v>
      </c>
      <c r="E677" t="s">
        <v>20</v>
      </c>
      <c r="F677" t="s">
        <v>17</v>
      </c>
      <c r="G677" t="s">
        <v>22</v>
      </c>
      <c r="H677">
        <v>275.89999999999998</v>
      </c>
      <c r="I677">
        <v>245.5</v>
      </c>
      <c r="J677">
        <v>92.8</v>
      </c>
      <c r="K677">
        <v>66.5</v>
      </c>
      <c r="L677">
        <v>26.7</v>
      </c>
      <c r="M677">
        <v>12.5</v>
      </c>
      <c r="N677">
        <v>8.9340046897496694E-2</v>
      </c>
      <c r="O677">
        <v>0.111718141123073</v>
      </c>
      <c r="P677" t="str">
        <f t="shared" si="20"/>
        <v>F</v>
      </c>
      <c r="Q677" t="str">
        <f t="shared" si="21"/>
        <v>F</v>
      </c>
    </row>
    <row r="678" spans="1:17" hidden="1" x14ac:dyDescent="0.3">
      <c r="A678">
        <v>8382</v>
      </c>
      <c r="B678">
        <v>430</v>
      </c>
      <c r="C678">
        <v>89</v>
      </c>
      <c r="D678" t="s">
        <v>19</v>
      </c>
      <c r="E678" t="s">
        <v>20</v>
      </c>
      <c r="F678" t="s">
        <v>17</v>
      </c>
      <c r="G678" t="s">
        <v>22</v>
      </c>
      <c r="H678">
        <v>275.89999999999998</v>
      </c>
      <c r="I678">
        <v>245.5</v>
      </c>
      <c r="J678">
        <v>92.8</v>
      </c>
      <c r="K678">
        <v>66.5</v>
      </c>
      <c r="L678">
        <v>26.7</v>
      </c>
      <c r="M678">
        <v>12.5</v>
      </c>
      <c r="N678">
        <v>7.1154678670966406E-2</v>
      </c>
      <c r="O678">
        <v>0.115211024190747</v>
      </c>
      <c r="P678" t="str">
        <f t="shared" si="20"/>
        <v>F</v>
      </c>
      <c r="Q678" t="str">
        <f t="shared" si="21"/>
        <v>F</v>
      </c>
    </row>
    <row r="679" spans="1:17" hidden="1" x14ac:dyDescent="0.3">
      <c r="A679">
        <v>8407</v>
      </c>
      <c r="B679">
        <v>44</v>
      </c>
      <c r="C679">
        <v>102</v>
      </c>
      <c r="D679" t="s">
        <v>19</v>
      </c>
      <c r="E679" t="s">
        <v>20</v>
      </c>
      <c r="F679" t="s">
        <v>17</v>
      </c>
      <c r="G679" t="s">
        <v>22</v>
      </c>
      <c r="H679">
        <v>273.60000000000002</v>
      </c>
      <c r="I679">
        <v>246</v>
      </c>
      <c r="J679">
        <v>93.6</v>
      </c>
      <c r="K679">
        <v>64.5</v>
      </c>
      <c r="L679">
        <v>25.6</v>
      </c>
      <c r="M679">
        <v>1.5</v>
      </c>
      <c r="N679">
        <v>0.17213388554857401</v>
      </c>
      <c r="O679">
        <v>0.178952616757624</v>
      </c>
      <c r="P679" t="str">
        <f t="shared" si="20"/>
        <v>F</v>
      </c>
      <c r="Q679" t="str">
        <f t="shared" si="21"/>
        <v>F</v>
      </c>
    </row>
    <row r="680" spans="1:17" hidden="1" x14ac:dyDescent="0.3">
      <c r="A680">
        <v>8408</v>
      </c>
      <c r="B680">
        <v>44</v>
      </c>
      <c r="C680">
        <v>102</v>
      </c>
      <c r="D680" t="s">
        <v>19</v>
      </c>
      <c r="E680" t="s">
        <v>20</v>
      </c>
      <c r="F680" t="s">
        <v>17</v>
      </c>
      <c r="G680" t="s">
        <v>22</v>
      </c>
      <c r="H680">
        <v>273.60000000000002</v>
      </c>
      <c r="I680">
        <v>246</v>
      </c>
      <c r="J680">
        <v>93.6</v>
      </c>
      <c r="K680">
        <v>64.5</v>
      </c>
      <c r="L680">
        <v>25.6</v>
      </c>
      <c r="M680">
        <v>1.5</v>
      </c>
      <c r="N680">
        <v>0.17834299424928601</v>
      </c>
      <c r="O680">
        <v>0.20995345878772301</v>
      </c>
      <c r="P680" t="str">
        <f t="shared" si="20"/>
        <v>F</v>
      </c>
      <c r="Q680" t="str">
        <f t="shared" si="21"/>
        <v>F</v>
      </c>
    </row>
    <row r="681" spans="1:17" hidden="1" x14ac:dyDescent="0.3">
      <c r="A681">
        <v>8409</v>
      </c>
      <c r="B681">
        <v>44</v>
      </c>
      <c r="C681">
        <v>102</v>
      </c>
      <c r="D681" t="s">
        <v>19</v>
      </c>
      <c r="E681" t="s">
        <v>20</v>
      </c>
      <c r="F681" t="s">
        <v>17</v>
      </c>
      <c r="G681" t="s">
        <v>22</v>
      </c>
      <c r="H681">
        <v>273.60000000000002</v>
      </c>
      <c r="I681">
        <v>246</v>
      </c>
      <c r="J681">
        <v>93.6</v>
      </c>
      <c r="K681">
        <v>64.5</v>
      </c>
      <c r="L681">
        <v>25.6</v>
      </c>
      <c r="M681">
        <v>1.5</v>
      </c>
      <c r="N681">
        <v>0.154920253426062</v>
      </c>
      <c r="O681">
        <v>0.18200372379513099</v>
      </c>
      <c r="P681" t="str">
        <f t="shared" si="20"/>
        <v>F</v>
      </c>
      <c r="Q681" t="str">
        <f t="shared" si="21"/>
        <v>F</v>
      </c>
    </row>
    <row r="682" spans="1:17" hidden="1" x14ac:dyDescent="0.3">
      <c r="A682">
        <v>8442</v>
      </c>
      <c r="B682">
        <v>451</v>
      </c>
      <c r="C682">
        <v>18</v>
      </c>
      <c r="D682" t="s">
        <v>19</v>
      </c>
      <c r="E682" t="s">
        <v>20</v>
      </c>
      <c r="F682" t="s">
        <v>21</v>
      </c>
      <c r="G682" t="s">
        <v>18</v>
      </c>
      <c r="H682">
        <v>271.39999999999998</v>
      </c>
      <c r="I682">
        <v>244</v>
      </c>
      <c r="J682">
        <v>97.3</v>
      </c>
      <c r="K682">
        <v>64</v>
      </c>
      <c r="L682">
        <v>23.3</v>
      </c>
      <c r="M682">
        <v>6.5</v>
      </c>
      <c r="N682">
        <v>0.26583199477345498</v>
      </c>
      <c r="O682">
        <v>2.4407837209671102E-2</v>
      </c>
      <c r="P682" t="str">
        <f t="shared" si="20"/>
        <v>F</v>
      </c>
      <c r="Q682" t="str">
        <f t="shared" si="21"/>
        <v>T</v>
      </c>
    </row>
    <row r="683" spans="1:17" hidden="1" x14ac:dyDescent="0.3">
      <c r="A683">
        <v>8468</v>
      </c>
      <c r="B683">
        <v>462</v>
      </c>
      <c r="C683">
        <v>455</v>
      </c>
      <c r="D683" t="s">
        <v>19</v>
      </c>
      <c r="E683" t="s">
        <v>20</v>
      </c>
      <c r="F683" t="s">
        <v>21</v>
      </c>
      <c r="G683" t="s">
        <v>25</v>
      </c>
      <c r="H683">
        <v>278.5</v>
      </c>
      <c r="I683">
        <v>252.5</v>
      </c>
      <c r="J683">
        <v>92.8</v>
      </c>
      <c r="K683">
        <v>69</v>
      </c>
      <c r="L683">
        <v>25.6</v>
      </c>
      <c r="M683">
        <v>9</v>
      </c>
      <c r="N683">
        <v>0.22397076185047399</v>
      </c>
      <c r="O683">
        <v>3.4049705190374001E-2</v>
      </c>
      <c r="P683" t="str">
        <f t="shared" si="20"/>
        <v>F</v>
      </c>
      <c r="Q683" t="str">
        <f t="shared" si="21"/>
        <v>F</v>
      </c>
    </row>
    <row r="684" spans="1:17" hidden="1" x14ac:dyDescent="0.3">
      <c r="A684">
        <v>8469</v>
      </c>
      <c r="B684">
        <v>462</v>
      </c>
      <c r="C684">
        <v>455</v>
      </c>
      <c r="D684" t="s">
        <v>19</v>
      </c>
      <c r="E684" t="s">
        <v>20</v>
      </c>
      <c r="F684" t="s">
        <v>21</v>
      </c>
      <c r="G684" t="s">
        <v>25</v>
      </c>
      <c r="H684">
        <v>278.5</v>
      </c>
      <c r="I684">
        <v>252.5</v>
      </c>
      <c r="J684">
        <v>92.8</v>
      </c>
      <c r="K684">
        <v>69</v>
      </c>
      <c r="L684">
        <v>25.6</v>
      </c>
      <c r="M684">
        <v>9</v>
      </c>
      <c r="N684">
        <v>0.20631676137312299</v>
      </c>
      <c r="O684">
        <v>5.8061981507597303E-2</v>
      </c>
      <c r="P684" t="str">
        <f t="shared" si="20"/>
        <v>F</v>
      </c>
      <c r="Q684" t="str">
        <f t="shared" si="21"/>
        <v>F</v>
      </c>
    </row>
    <row r="685" spans="1:17" hidden="1" x14ac:dyDescent="0.3">
      <c r="A685">
        <v>8470</v>
      </c>
      <c r="B685">
        <v>462</v>
      </c>
      <c r="C685">
        <v>455</v>
      </c>
      <c r="D685" t="s">
        <v>19</v>
      </c>
      <c r="E685" t="s">
        <v>20</v>
      </c>
      <c r="F685" t="s">
        <v>21</v>
      </c>
      <c r="G685" t="s">
        <v>25</v>
      </c>
      <c r="H685">
        <v>278.5</v>
      </c>
      <c r="I685">
        <v>252.5</v>
      </c>
      <c r="J685">
        <v>92.8</v>
      </c>
      <c r="K685">
        <v>69</v>
      </c>
      <c r="L685">
        <v>25.6</v>
      </c>
      <c r="M685">
        <v>9</v>
      </c>
      <c r="N685">
        <v>0.19368984134345399</v>
      </c>
      <c r="O685">
        <v>3.9395452308787E-2</v>
      </c>
      <c r="P685" t="str">
        <f t="shared" si="20"/>
        <v>F</v>
      </c>
      <c r="Q685" t="str">
        <f t="shared" si="21"/>
        <v>F</v>
      </c>
    </row>
    <row r="686" spans="1:17" hidden="1" x14ac:dyDescent="0.3">
      <c r="A686">
        <v>8475</v>
      </c>
      <c r="B686">
        <v>465</v>
      </c>
      <c r="C686">
        <v>314</v>
      </c>
      <c r="D686" t="s">
        <v>19</v>
      </c>
      <c r="E686" t="s">
        <v>20</v>
      </c>
      <c r="F686" t="s">
        <v>21</v>
      </c>
      <c r="G686" t="s">
        <v>25</v>
      </c>
      <c r="H686">
        <v>273.5</v>
      </c>
      <c r="I686">
        <v>251.5</v>
      </c>
      <c r="J686">
        <v>97.5</v>
      </c>
      <c r="K686">
        <v>65</v>
      </c>
      <c r="L686">
        <v>25.5</v>
      </c>
      <c r="M686">
        <v>13</v>
      </c>
      <c r="N686">
        <v>0.22333160305177899</v>
      </c>
      <c r="O686">
        <v>9.8741134517130499E-2</v>
      </c>
      <c r="P686" t="str">
        <f t="shared" si="20"/>
        <v>F</v>
      </c>
      <c r="Q686" t="str">
        <f t="shared" si="21"/>
        <v>F</v>
      </c>
    </row>
    <row r="687" spans="1:17" hidden="1" x14ac:dyDescent="0.3">
      <c r="A687">
        <v>8476</v>
      </c>
      <c r="B687">
        <v>465</v>
      </c>
      <c r="C687">
        <v>314</v>
      </c>
      <c r="D687" t="s">
        <v>19</v>
      </c>
      <c r="E687" t="s">
        <v>20</v>
      </c>
      <c r="F687" t="s">
        <v>21</v>
      </c>
      <c r="G687" t="s">
        <v>25</v>
      </c>
      <c r="H687">
        <v>273.5</v>
      </c>
      <c r="I687">
        <v>251.5</v>
      </c>
      <c r="J687">
        <v>97.5</v>
      </c>
      <c r="K687">
        <v>65</v>
      </c>
      <c r="L687">
        <v>25.5</v>
      </c>
      <c r="M687">
        <v>13</v>
      </c>
      <c r="N687">
        <v>0.23516581633449901</v>
      </c>
      <c r="O687">
        <v>7.9438487586184603E-2</v>
      </c>
      <c r="P687" t="str">
        <f t="shared" si="20"/>
        <v>F</v>
      </c>
      <c r="Q687" t="str">
        <f t="shared" si="21"/>
        <v>F</v>
      </c>
    </row>
    <row r="688" spans="1:17" hidden="1" x14ac:dyDescent="0.3">
      <c r="A688">
        <v>8483</v>
      </c>
      <c r="B688">
        <v>47</v>
      </c>
      <c r="C688">
        <v>197</v>
      </c>
      <c r="D688" t="s">
        <v>19</v>
      </c>
      <c r="E688" t="s">
        <v>20</v>
      </c>
      <c r="F688" t="s">
        <v>21</v>
      </c>
      <c r="G688" t="s">
        <v>26</v>
      </c>
      <c r="H688">
        <v>280.10000000000002</v>
      </c>
      <c r="I688">
        <v>249.5</v>
      </c>
      <c r="J688">
        <v>95.8</v>
      </c>
      <c r="K688">
        <v>69.5</v>
      </c>
      <c r="L688">
        <v>26.6</v>
      </c>
      <c r="M688">
        <v>6.5</v>
      </c>
      <c r="N688">
        <v>0.18459323069444</v>
      </c>
      <c r="O688">
        <v>3.1312654977249797E-2</v>
      </c>
      <c r="P688" t="str">
        <f t="shared" si="20"/>
        <v>F</v>
      </c>
      <c r="Q688" t="str">
        <f t="shared" si="21"/>
        <v>F</v>
      </c>
    </row>
    <row r="689" spans="1:17" hidden="1" x14ac:dyDescent="0.3">
      <c r="A689">
        <v>8488</v>
      </c>
      <c r="B689">
        <v>471</v>
      </c>
      <c r="C689">
        <v>345</v>
      </c>
      <c r="D689" t="s">
        <v>19</v>
      </c>
      <c r="E689" t="s">
        <v>20</v>
      </c>
      <c r="F689" t="s">
        <v>21</v>
      </c>
      <c r="G689" t="s">
        <v>26</v>
      </c>
      <c r="H689">
        <v>277.60000000000002</v>
      </c>
      <c r="I689">
        <v>252.5</v>
      </c>
      <c r="J689">
        <v>98.4</v>
      </c>
      <c r="K689">
        <v>67.5</v>
      </c>
      <c r="L689">
        <v>25.8</v>
      </c>
      <c r="M689">
        <v>13.5</v>
      </c>
      <c r="N689">
        <v>0.13909425445496801</v>
      </c>
      <c r="O689">
        <v>0.101875246393634</v>
      </c>
      <c r="P689" t="str">
        <f t="shared" si="20"/>
        <v>F</v>
      </c>
      <c r="Q689" t="str">
        <f t="shared" si="21"/>
        <v>F</v>
      </c>
    </row>
    <row r="690" spans="1:17" hidden="1" x14ac:dyDescent="0.3">
      <c r="A690">
        <v>8534</v>
      </c>
      <c r="B690">
        <v>488</v>
      </c>
      <c r="C690">
        <v>345</v>
      </c>
      <c r="D690" t="s">
        <v>19</v>
      </c>
      <c r="E690" t="s">
        <v>20</v>
      </c>
      <c r="F690" t="s">
        <v>21</v>
      </c>
      <c r="G690" t="s">
        <v>18</v>
      </c>
      <c r="H690">
        <v>277.60000000000002</v>
      </c>
      <c r="I690">
        <v>252.5</v>
      </c>
      <c r="J690">
        <v>98.4</v>
      </c>
      <c r="K690">
        <v>67.5</v>
      </c>
      <c r="L690">
        <v>25.8</v>
      </c>
      <c r="M690">
        <v>13.5</v>
      </c>
      <c r="N690">
        <v>0.12395276711780701</v>
      </c>
      <c r="O690">
        <v>0.105127567582617</v>
      </c>
      <c r="P690" t="str">
        <f t="shared" si="20"/>
        <v>F</v>
      </c>
      <c r="Q690" t="str">
        <f t="shared" si="21"/>
        <v>F</v>
      </c>
    </row>
    <row r="691" spans="1:17" hidden="1" x14ac:dyDescent="0.3">
      <c r="A691">
        <v>8535</v>
      </c>
      <c r="B691">
        <v>488</v>
      </c>
      <c r="C691">
        <v>345</v>
      </c>
      <c r="D691" t="s">
        <v>19</v>
      </c>
      <c r="E691" t="s">
        <v>20</v>
      </c>
      <c r="F691" t="s">
        <v>21</v>
      </c>
      <c r="G691" t="s">
        <v>18</v>
      </c>
      <c r="H691">
        <v>277.60000000000002</v>
      </c>
      <c r="I691">
        <v>252.5</v>
      </c>
      <c r="J691">
        <v>98.4</v>
      </c>
      <c r="K691">
        <v>67.5</v>
      </c>
      <c r="L691">
        <v>25.8</v>
      </c>
      <c r="M691">
        <v>13.5</v>
      </c>
      <c r="N691">
        <v>0.12985235319101299</v>
      </c>
      <c r="O691">
        <v>9.9040929387974597E-2</v>
      </c>
      <c r="P691" t="str">
        <f t="shared" si="20"/>
        <v>F</v>
      </c>
      <c r="Q691" t="str">
        <f t="shared" si="21"/>
        <v>F</v>
      </c>
    </row>
    <row r="692" spans="1:17" hidden="1" x14ac:dyDescent="0.3">
      <c r="A692">
        <v>8620</v>
      </c>
      <c r="B692">
        <v>514</v>
      </c>
      <c r="C692">
        <v>99</v>
      </c>
      <c r="D692" t="s">
        <v>19</v>
      </c>
      <c r="E692" t="s">
        <v>20</v>
      </c>
      <c r="F692" t="s">
        <v>17</v>
      </c>
      <c r="G692" t="s">
        <v>18</v>
      </c>
      <c r="H692">
        <v>277</v>
      </c>
      <c r="I692">
        <v>257</v>
      </c>
      <c r="J692">
        <v>99.7</v>
      </c>
      <c r="K692">
        <v>69</v>
      </c>
      <c r="L692">
        <v>26.4</v>
      </c>
      <c r="M692">
        <v>7.5</v>
      </c>
      <c r="N692">
        <v>0.106375427142285</v>
      </c>
      <c r="O692">
        <v>3.11953033184269E-2</v>
      </c>
      <c r="P692" t="str">
        <f t="shared" si="20"/>
        <v>F</v>
      </c>
      <c r="Q692" t="str">
        <f t="shared" si="21"/>
        <v>F</v>
      </c>
    </row>
    <row r="693" spans="1:17" hidden="1" x14ac:dyDescent="0.3">
      <c r="A693">
        <v>8621</v>
      </c>
      <c r="B693">
        <v>514</v>
      </c>
      <c r="C693">
        <v>99</v>
      </c>
      <c r="D693" t="s">
        <v>19</v>
      </c>
      <c r="E693" t="s">
        <v>20</v>
      </c>
      <c r="F693" t="s">
        <v>17</v>
      </c>
      <c r="G693" t="s">
        <v>18</v>
      </c>
      <c r="H693">
        <v>277</v>
      </c>
      <c r="I693">
        <v>257</v>
      </c>
      <c r="J693">
        <v>99.7</v>
      </c>
      <c r="K693">
        <v>69</v>
      </c>
      <c r="L693">
        <v>26.4</v>
      </c>
      <c r="M693">
        <v>7.5</v>
      </c>
      <c r="N693">
        <v>8.7979727544087796E-2</v>
      </c>
      <c r="O693">
        <v>4.8583448858091002E-2</v>
      </c>
      <c r="P693" t="str">
        <f t="shared" si="20"/>
        <v>F</v>
      </c>
      <c r="Q693" t="str">
        <f t="shared" si="21"/>
        <v>F</v>
      </c>
    </row>
    <row r="694" spans="1:17" hidden="1" x14ac:dyDescent="0.3">
      <c r="A694">
        <v>8629</v>
      </c>
      <c r="B694">
        <v>518</v>
      </c>
      <c r="C694">
        <v>233</v>
      </c>
      <c r="D694" t="s">
        <v>19</v>
      </c>
      <c r="E694" t="s">
        <v>20</v>
      </c>
      <c r="F694" t="s">
        <v>21</v>
      </c>
      <c r="G694" t="s">
        <v>25</v>
      </c>
      <c r="H694">
        <v>274.7</v>
      </c>
      <c r="I694">
        <v>248.5</v>
      </c>
      <c r="J694">
        <v>95.9</v>
      </c>
      <c r="K694">
        <v>63.5</v>
      </c>
      <c r="L694">
        <v>27.6</v>
      </c>
      <c r="M694">
        <v>11</v>
      </c>
      <c r="N694">
        <v>2.0877706863967799E-2</v>
      </c>
      <c r="O694">
        <v>0.109603475273174</v>
      </c>
      <c r="P694" t="str">
        <f t="shared" si="20"/>
        <v>T</v>
      </c>
      <c r="Q694" t="str">
        <f t="shared" si="21"/>
        <v>F</v>
      </c>
    </row>
    <row r="695" spans="1:17" hidden="1" x14ac:dyDescent="0.3">
      <c r="A695">
        <v>8630</v>
      </c>
      <c r="B695">
        <v>518</v>
      </c>
      <c r="C695">
        <v>233</v>
      </c>
      <c r="D695" t="s">
        <v>19</v>
      </c>
      <c r="E695" t="s">
        <v>20</v>
      </c>
      <c r="F695" t="s">
        <v>21</v>
      </c>
      <c r="G695" t="s">
        <v>25</v>
      </c>
      <c r="H695">
        <v>274.7</v>
      </c>
      <c r="I695">
        <v>248.5</v>
      </c>
      <c r="J695">
        <v>95.9</v>
      </c>
      <c r="K695">
        <v>63.5</v>
      </c>
      <c r="L695">
        <v>27.6</v>
      </c>
      <c r="M695">
        <v>11</v>
      </c>
      <c r="N695">
        <v>4.9377985031402102E-2</v>
      </c>
      <c r="O695">
        <v>0.14612410597588399</v>
      </c>
      <c r="P695" t="str">
        <f t="shared" si="20"/>
        <v>T</v>
      </c>
      <c r="Q695" t="str">
        <f t="shared" si="21"/>
        <v>F</v>
      </c>
    </row>
    <row r="696" spans="1:17" hidden="1" x14ac:dyDescent="0.3">
      <c r="A696">
        <v>8655</v>
      </c>
      <c r="B696">
        <v>526</v>
      </c>
      <c r="C696">
        <v>413</v>
      </c>
      <c r="D696" t="s">
        <v>19</v>
      </c>
      <c r="E696" t="s">
        <v>20</v>
      </c>
      <c r="F696" t="s">
        <v>21</v>
      </c>
      <c r="G696" t="s">
        <v>22</v>
      </c>
      <c r="H696">
        <v>279</v>
      </c>
      <c r="I696">
        <v>247.5</v>
      </c>
      <c r="J696">
        <v>93.5</v>
      </c>
      <c r="K696">
        <v>66</v>
      </c>
      <c r="L696">
        <v>25.5</v>
      </c>
      <c r="M696">
        <v>10</v>
      </c>
      <c r="N696">
        <v>0.239172795606514</v>
      </c>
      <c r="O696">
        <v>7.7724335637772202E-2</v>
      </c>
      <c r="P696" t="str">
        <f t="shared" si="20"/>
        <v>F</v>
      </c>
      <c r="Q696" t="str">
        <f t="shared" si="21"/>
        <v>F</v>
      </c>
    </row>
    <row r="697" spans="1:17" hidden="1" x14ac:dyDescent="0.3">
      <c r="A697">
        <v>8656</v>
      </c>
      <c r="B697">
        <v>526</v>
      </c>
      <c r="C697">
        <v>413</v>
      </c>
      <c r="D697" t="s">
        <v>19</v>
      </c>
      <c r="E697" t="s">
        <v>20</v>
      </c>
      <c r="F697" t="s">
        <v>21</v>
      </c>
      <c r="G697" t="s">
        <v>22</v>
      </c>
      <c r="H697">
        <v>279</v>
      </c>
      <c r="I697">
        <v>247.5</v>
      </c>
      <c r="J697">
        <v>93.5</v>
      </c>
      <c r="K697">
        <v>66</v>
      </c>
      <c r="L697">
        <v>25.5</v>
      </c>
      <c r="M697">
        <v>10</v>
      </c>
      <c r="N697">
        <v>0.240064479906961</v>
      </c>
      <c r="O697">
        <v>6.0293447487858698E-2</v>
      </c>
      <c r="P697" t="str">
        <f t="shared" si="20"/>
        <v>F</v>
      </c>
      <c r="Q697" t="str">
        <f t="shared" si="21"/>
        <v>F</v>
      </c>
    </row>
    <row r="698" spans="1:17" hidden="1" x14ac:dyDescent="0.3">
      <c r="A698">
        <v>8666</v>
      </c>
      <c r="B698">
        <v>530</v>
      </c>
      <c r="C698">
        <v>32</v>
      </c>
      <c r="D698" t="s">
        <v>19</v>
      </c>
      <c r="E698" t="s">
        <v>20</v>
      </c>
      <c r="F698" t="s">
        <v>21</v>
      </c>
      <c r="G698" t="s">
        <v>22</v>
      </c>
      <c r="H698">
        <v>274.8</v>
      </c>
      <c r="I698">
        <v>261</v>
      </c>
      <c r="J698">
        <v>101</v>
      </c>
      <c r="K698">
        <v>66</v>
      </c>
      <c r="L698">
        <v>24.4</v>
      </c>
      <c r="M698">
        <v>8.5</v>
      </c>
      <c r="N698">
        <v>0.13518463662115299</v>
      </c>
      <c r="O698">
        <v>0.15958545379370101</v>
      </c>
      <c r="P698" t="str">
        <f t="shared" si="20"/>
        <v>F</v>
      </c>
      <c r="Q698" t="str">
        <f t="shared" si="21"/>
        <v>F</v>
      </c>
    </row>
    <row r="699" spans="1:17" hidden="1" x14ac:dyDescent="0.3">
      <c r="A699">
        <v>8667</v>
      </c>
      <c r="B699">
        <v>530</v>
      </c>
      <c r="C699">
        <v>32</v>
      </c>
      <c r="D699" t="s">
        <v>19</v>
      </c>
      <c r="E699" t="s">
        <v>20</v>
      </c>
      <c r="F699" t="s">
        <v>21</v>
      </c>
      <c r="G699" t="s">
        <v>22</v>
      </c>
      <c r="H699">
        <v>274.8</v>
      </c>
      <c r="I699">
        <v>261</v>
      </c>
      <c r="J699">
        <v>101</v>
      </c>
      <c r="K699">
        <v>66</v>
      </c>
      <c r="L699">
        <v>24.4</v>
      </c>
      <c r="M699">
        <v>8.5</v>
      </c>
      <c r="N699">
        <v>0.12333021806028301</v>
      </c>
      <c r="O699">
        <v>0.16735462737083501</v>
      </c>
      <c r="P699" t="str">
        <f t="shared" si="20"/>
        <v>F</v>
      </c>
      <c r="Q699" t="str">
        <f t="shared" si="21"/>
        <v>F</v>
      </c>
    </row>
    <row r="700" spans="1:17" hidden="1" x14ac:dyDescent="0.3">
      <c r="A700">
        <v>8668</v>
      </c>
      <c r="B700">
        <v>530</v>
      </c>
      <c r="C700">
        <v>32</v>
      </c>
      <c r="D700" t="s">
        <v>19</v>
      </c>
      <c r="E700" t="s">
        <v>20</v>
      </c>
      <c r="F700" t="s">
        <v>21</v>
      </c>
      <c r="G700" t="s">
        <v>22</v>
      </c>
      <c r="H700">
        <v>274.8</v>
      </c>
      <c r="I700">
        <v>261</v>
      </c>
      <c r="J700">
        <v>101</v>
      </c>
      <c r="K700">
        <v>66</v>
      </c>
      <c r="L700">
        <v>24.4</v>
      </c>
      <c r="M700">
        <v>8.5</v>
      </c>
      <c r="N700">
        <v>0.13419246356551701</v>
      </c>
      <c r="O700">
        <v>0.145499331223886</v>
      </c>
      <c r="P700" t="str">
        <f t="shared" si="20"/>
        <v>F</v>
      </c>
      <c r="Q700" t="str">
        <f t="shared" si="21"/>
        <v>F</v>
      </c>
    </row>
    <row r="701" spans="1:17" hidden="1" x14ac:dyDescent="0.3">
      <c r="A701">
        <v>8669</v>
      </c>
      <c r="B701">
        <v>530</v>
      </c>
      <c r="C701">
        <v>32</v>
      </c>
      <c r="D701" t="s">
        <v>19</v>
      </c>
      <c r="E701" t="s">
        <v>20</v>
      </c>
      <c r="F701" t="s">
        <v>21</v>
      </c>
      <c r="G701" t="s">
        <v>22</v>
      </c>
      <c r="H701">
        <v>274.8</v>
      </c>
      <c r="I701">
        <v>261</v>
      </c>
      <c r="J701">
        <v>101</v>
      </c>
      <c r="K701">
        <v>66</v>
      </c>
      <c r="L701">
        <v>24.4</v>
      </c>
      <c r="M701">
        <v>8.5</v>
      </c>
      <c r="N701">
        <v>0.12810572440042201</v>
      </c>
      <c r="O701">
        <v>0.143729445491215</v>
      </c>
      <c r="P701" t="str">
        <f t="shared" si="20"/>
        <v>F</v>
      </c>
      <c r="Q701" t="str">
        <f t="shared" si="21"/>
        <v>F</v>
      </c>
    </row>
    <row r="702" spans="1:17" hidden="1" x14ac:dyDescent="0.3">
      <c r="A702">
        <v>8670</v>
      </c>
      <c r="B702">
        <v>530</v>
      </c>
      <c r="C702">
        <v>32</v>
      </c>
      <c r="D702" t="s">
        <v>19</v>
      </c>
      <c r="E702" t="s">
        <v>20</v>
      </c>
      <c r="F702" t="s">
        <v>21</v>
      </c>
      <c r="G702" t="s">
        <v>22</v>
      </c>
      <c r="H702">
        <v>274.8</v>
      </c>
      <c r="I702">
        <v>261</v>
      </c>
      <c r="J702">
        <v>101</v>
      </c>
      <c r="K702">
        <v>66</v>
      </c>
      <c r="L702">
        <v>24.4</v>
      </c>
      <c r="M702">
        <v>8.5</v>
      </c>
      <c r="N702">
        <v>0.14407876645136</v>
      </c>
      <c r="O702">
        <v>0.15246433516324401</v>
      </c>
      <c r="P702" t="str">
        <f t="shared" si="20"/>
        <v>F</v>
      </c>
      <c r="Q702" t="str">
        <f t="shared" si="21"/>
        <v>F</v>
      </c>
    </row>
    <row r="703" spans="1:17" hidden="1" x14ac:dyDescent="0.3">
      <c r="A703">
        <v>8671</v>
      </c>
      <c r="B703">
        <v>531</v>
      </c>
      <c r="C703">
        <v>366</v>
      </c>
      <c r="D703" t="s">
        <v>19</v>
      </c>
      <c r="E703" t="s">
        <v>20</v>
      </c>
      <c r="F703" t="s">
        <v>21</v>
      </c>
      <c r="G703" t="s">
        <v>25</v>
      </c>
      <c r="H703">
        <v>275.89999999999998</v>
      </c>
      <c r="I703">
        <v>255</v>
      </c>
      <c r="J703">
        <v>94.9</v>
      </c>
      <c r="K703">
        <v>64</v>
      </c>
      <c r="L703">
        <v>26.8</v>
      </c>
      <c r="M703">
        <v>17</v>
      </c>
      <c r="N703">
        <v>0.18957099973953101</v>
      </c>
      <c r="O703">
        <v>0.15064833323250101</v>
      </c>
      <c r="P703" t="str">
        <f t="shared" si="20"/>
        <v>F</v>
      </c>
      <c r="Q703" t="str">
        <f t="shared" si="21"/>
        <v>F</v>
      </c>
    </row>
    <row r="704" spans="1:17" hidden="1" x14ac:dyDescent="0.3">
      <c r="A704">
        <v>8672</v>
      </c>
      <c r="B704">
        <v>531</v>
      </c>
      <c r="C704">
        <v>366</v>
      </c>
      <c r="D704" t="s">
        <v>19</v>
      </c>
      <c r="E704" t="s">
        <v>20</v>
      </c>
      <c r="F704" t="s">
        <v>21</v>
      </c>
      <c r="G704" t="s">
        <v>25</v>
      </c>
      <c r="H704">
        <v>275.89999999999998</v>
      </c>
      <c r="I704">
        <v>255</v>
      </c>
      <c r="J704">
        <v>94.9</v>
      </c>
      <c r="K704">
        <v>64</v>
      </c>
      <c r="L704">
        <v>26.8</v>
      </c>
      <c r="M704">
        <v>17</v>
      </c>
      <c r="N704">
        <v>0.176902767413949</v>
      </c>
      <c r="O704">
        <v>0.17607025255822101</v>
      </c>
      <c r="P704" t="str">
        <f t="shared" si="20"/>
        <v>F</v>
      </c>
      <c r="Q704" t="str">
        <f t="shared" si="21"/>
        <v>F</v>
      </c>
    </row>
    <row r="705" spans="1:17" hidden="1" x14ac:dyDescent="0.3">
      <c r="A705">
        <v>8673</v>
      </c>
      <c r="B705">
        <v>531</v>
      </c>
      <c r="C705">
        <v>366</v>
      </c>
      <c r="D705" t="s">
        <v>19</v>
      </c>
      <c r="E705" t="s">
        <v>20</v>
      </c>
      <c r="F705" t="s">
        <v>21</v>
      </c>
      <c r="G705" t="s">
        <v>25</v>
      </c>
      <c r="H705">
        <v>275.89999999999998</v>
      </c>
      <c r="I705">
        <v>255</v>
      </c>
      <c r="J705">
        <v>94.9</v>
      </c>
      <c r="K705">
        <v>64</v>
      </c>
      <c r="L705">
        <v>26.8</v>
      </c>
      <c r="M705">
        <v>17</v>
      </c>
      <c r="N705">
        <v>0.17433323113166499</v>
      </c>
      <c r="O705">
        <v>0.161418203253437</v>
      </c>
      <c r="P705" t="str">
        <f t="shared" si="20"/>
        <v>F</v>
      </c>
      <c r="Q705" t="str">
        <f t="shared" si="21"/>
        <v>F</v>
      </c>
    </row>
    <row r="706" spans="1:17" hidden="1" x14ac:dyDescent="0.3">
      <c r="A706">
        <v>8674</v>
      </c>
      <c r="B706">
        <v>531</v>
      </c>
      <c r="C706">
        <v>366</v>
      </c>
      <c r="D706" t="s">
        <v>19</v>
      </c>
      <c r="E706" t="s">
        <v>20</v>
      </c>
      <c r="F706" t="s">
        <v>21</v>
      </c>
      <c r="G706" t="s">
        <v>25</v>
      </c>
      <c r="H706">
        <v>275.89999999999998</v>
      </c>
      <c r="I706">
        <v>255</v>
      </c>
      <c r="J706">
        <v>94.9</v>
      </c>
      <c r="K706">
        <v>64</v>
      </c>
      <c r="L706">
        <v>26.8</v>
      </c>
      <c r="M706">
        <v>17</v>
      </c>
      <c r="N706">
        <v>0.1736804003403</v>
      </c>
      <c r="O706">
        <v>0.14507433987568899</v>
      </c>
      <c r="P706" t="str">
        <f t="shared" si="20"/>
        <v>F</v>
      </c>
      <c r="Q706" t="str">
        <f t="shared" si="21"/>
        <v>F</v>
      </c>
    </row>
    <row r="707" spans="1:17" hidden="1" x14ac:dyDescent="0.3">
      <c r="A707">
        <v>8733</v>
      </c>
      <c r="B707">
        <v>552</v>
      </c>
      <c r="C707">
        <v>341</v>
      </c>
      <c r="D707" t="s">
        <v>19</v>
      </c>
      <c r="E707" t="s">
        <v>20</v>
      </c>
      <c r="F707" t="s">
        <v>17</v>
      </c>
      <c r="G707" t="s">
        <v>22</v>
      </c>
      <c r="H707">
        <v>273</v>
      </c>
      <c r="I707">
        <v>246.5</v>
      </c>
      <c r="J707">
        <v>95.4</v>
      </c>
      <c r="K707">
        <v>66.5</v>
      </c>
      <c r="L707">
        <v>26.4</v>
      </c>
      <c r="M707">
        <v>11</v>
      </c>
      <c r="N707">
        <v>0.28200225744073198</v>
      </c>
      <c r="O707">
        <v>7.0001134197991199E-2</v>
      </c>
      <c r="P707" t="str">
        <f t="shared" ref="P707:P770" si="22">IF(N707&lt;0.06641, "T", "F")</f>
        <v>F</v>
      </c>
      <c r="Q707" t="str">
        <f t="shared" ref="Q707:Q770" si="23">IF(O707&lt;0.027899, "T", "F")</f>
        <v>F</v>
      </c>
    </row>
    <row r="708" spans="1:17" hidden="1" x14ac:dyDescent="0.3">
      <c r="A708">
        <v>8734</v>
      </c>
      <c r="B708">
        <v>552</v>
      </c>
      <c r="C708">
        <v>341</v>
      </c>
      <c r="D708" t="s">
        <v>19</v>
      </c>
      <c r="E708" t="s">
        <v>20</v>
      </c>
      <c r="F708" t="s">
        <v>17</v>
      </c>
      <c r="G708" t="s">
        <v>22</v>
      </c>
      <c r="H708">
        <v>273</v>
      </c>
      <c r="I708">
        <v>246.5</v>
      </c>
      <c r="J708">
        <v>95.4</v>
      </c>
      <c r="K708">
        <v>66.5</v>
      </c>
      <c r="L708">
        <v>26.4</v>
      </c>
      <c r="M708">
        <v>11</v>
      </c>
      <c r="N708">
        <v>0.29724919739366601</v>
      </c>
      <c r="O708">
        <v>7.5546762575385104E-2</v>
      </c>
      <c r="P708" t="str">
        <f t="shared" si="22"/>
        <v>F</v>
      </c>
      <c r="Q708" t="str">
        <f t="shared" si="23"/>
        <v>F</v>
      </c>
    </row>
    <row r="709" spans="1:17" hidden="1" x14ac:dyDescent="0.3">
      <c r="A709">
        <v>8735</v>
      </c>
      <c r="B709">
        <v>552</v>
      </c>
      <c r="C709">
        <v>341</v>
      </c>
      <c r="D709" t="s">
        <v>19</v>
      </c>
      <c r="E709" t="s">
        <v>20</v>
      </c>
      <c r="F709" t="s">
        <v>17</v>
      </c>
      <c r="G709" t="s">
        <v>22</v>
      </c>
      <c r="H709">
        <v>273</v>
      </c>
      <c r="I709">
        <v>246.5</v>
      </c>
      <c r="J709">
        <v>95.4</v>
      </c>
      <c r="K709">
        <v>66.5</v>
      </c>
      <c r="L709">
        <v>26.4</v>
      </c>
      <c r="M709">
        <v>11</v>
      </c>
      <c r="N709">
        <v>0.286503801552563</v>
      </c>
      <c r="O709">
        <v>7.8947637235987397E-2</v>
      </c>
      <c r="P709" t="str">
        <f t="shared" si="22"/>
        <v>F</v>
      </c>
      <c r="Q709" t="str">
        <f t="shared" si="23"/>
        <v>F</v>
      </c>
    </row>
    <row r="710" spans="1:17" hidden="1" x14ac:dyDescent="0.3">
      <c r="A710">
        <v>8767</v>
      </c>
      <c r="B710">
        <v>564</v>
      </c>
      <c r="C710">
        <v>314</v>
      </c>
      <c r="D710" t="s">
        <v>19</v>
      </c>
      <c r="E710" t="s">
        <v>20</v>
      </c>
      <c r="F710" t="s">
        <v>17</v>
      </c>
      <c r="G710" t="s">
        <v>18</v>
      </c>
      <c r="H710">
        <v>273.5</v>
      </c>
      <c r="I710">
        <v>251.5</v>
      </c>
      <c r="J710">
        <v>97.5</v>
      </c>
      <c r="K710">
        <v>65</v>
      </c>
      <c r="L710">
        <v>25.5</v>
      </c>
      <c r="M710">
        <v>13</v>
      </c>
      <c r="N710">
        <v>0.219083284540562</v>
      </c>
      <c r="O710">
        <v>8.69745200744724E-2</v>
      </c>
      <c r="P710" t="str">
        <f t="shared" si="22"/>
        <v>F</v>
      </c>
      <c r="Q710" t="str">
        <f t="shared" si="23"/>
        <v>F</v>
      </c>
    </row>
    <row r="711" spans="1:17" hidden="1" x14ac:dyDescent="0.3">
      <c r="A711">
        <v>8768</v>
      </c>
      <c r="B711">
        <v>564</v>
      </c>
      <c r="C711">
        <v>314</v>
      </c>
      <c r="D711" t="s">
        <v>19</v>
      </c>
      <c r="E711" t="s">
        <v>20</v>
      </c>
      <c r="F711" t="s">
        <v>17</v>
      </c>
      <c r="G711" t="s">
        <v>18</v>
      </c>
      <c r="H711">
        <v>273.5</v>
      </c>
      <c r="I711">
        <v>251.5</v>
      </c>
      <c r="J711">
        <v>97.5</v>
      </c>
      <c r="K711">
        <v>65</v>
      </c>
      <c r="L711">
        <v>25.5</v>
      </c>
      <c r="M711">
        <v>13</v>
      </c>
      <c r="N711">
        <v>0.228006578863169</v>
      </c>
      <c r="O711">
        <v>9.3007030979333299E-2</v>
      </c>
      <c r="P711" t="str">
        <f t="shared" si="22"/>
        <v>F</v>
      </c>
      <c r="Q711" t="str">
        <f t="shared" si="23"/>
        <v>F</v>
      </c>
    </row>
    <row r="712" spans="1:17" hidden="1" x14ac:dyDescent="0.3">
      <c r="A712">
        <v>8773</v>
      </c>
      <c r="B712">
        <v>566</v>
      </c>
      <c r="C712">
        <v>400</v>
      </c>
      <c r="D712" t="s">
        <v>19</v>
      </c>
      <c r="E712" t="s">
        <v>20</v>
      </c>
      <c r="F712" t="s">
        <v>21</v>
      </c>
      <c r="G712" t="s">
        <v>26</v>
      </c>
      <c r="H712">
        <v>274.10000000000002</v>
      </c>
      <c r="I712">
        <v>253</v>
      </c>
      <c r="J712">
        <v>96.6</v>
      </c>
      <c r="K712">
        <v>66.5</v>
      </c>
      <c r="L712">
        <v>25.5</v>
      </c>
      <c r="M712">
        <v>12</v>
      </c>
      <c r="N712">
        <v>8.2393272600257E-2</v>
      </c>
      <c r="O712">
        <v>9.5461621121893506E-2</v>
      </c>
      <c r="P712" t="str">
        <f t="shared" si="22"/>
        <v>F</v>
      </c>
      <c r="Q712" t="str">
        <f t="shared" si="23"/>
        <v>F</v>
      </c>
    </row>
    <row r="713" spans="1:17" hidden="1" x14ac:dyDescent="0.3">
      <c r="A713">
        <v>8785</v>
      </c>
      <c r="B713">
        <v>570</v>
      </c>
      <c r="C713">
        <v>345</v>
      </c>
      <c r="D713" t="s">
        <v>19</v>
      </c>
      <c r="E713" t="s">
        <v>20</v>
      </c>
      <c r="F713" t="s">
        <v>21</v>
      </c>
      <c r="G713" t="s">
        <v>18</v>
      </c>
      <c r="H713">
        <v>277.60000000000002</v>
      </c>
      <c r="I713">
        <v>252.5</v>
      </c>
      <c r="J713">
        <v>98.4</v>
      </c>
      <c r="K713">
        <v>67.5</v>
      </c>
      <c r="L713">
        <v>25.8</v>
      </c>
      <c r="M713">
        <v>13.5</v>
      </c>
      <c r="N713">
        <v>0.14297116414034899</v>
      </c>
      <c r="O713">
        <v>0.103476628161906</v>
      </c>
      <c r="P713" t="str">
        <f t="shared" si="22"/>
        <v>F</v>
      </c>
      <c r="Q713" t="str">
        <f t="shared" si="23"/>
        <v>F</v>
      </c>
    </row>
    <row r="714" spans="1:17" hidden="1" x14ac:dyDescent="0.3">
      <c r="A714">
        <v>8786</v>
      </c>
      <c r="B714">
        <v>570</v>
      </c>
      <c r="C714">
        <v>345</v>
      </c>
      <c r="D714" t="s">
        <v>19</v>
      </c>
      <c r="E714" t="s">
        <v>20</v>
      </c>
      <c r="F714" t="s">
        <v>21</v>
      </c>
      <c r="G714" t="s">
        <v>18</v>
      </c>
      <c r="H714">
        <v>277.60000000000002</v>
      </c>
      <c r="I714">
        <v>252.5</v>
      </c>
      <c r="J714">
        <v>98.4</v>
      </c>
      <c r="K714">
        <v>67.5</v>
      </c>
      <c r="L714">
        <v>25.8</v>
      </c>
      <c r="M714">
        <v>13.5</v>
      </c>
      <c r="N714">
        <v>0.10583764538665801</v>
      </c>
      <c r="O714">
        <v>0.125970414555413</v>
      </c>
      <c r="P714" t="str">
        <f t="shared" si="22"/>
        <v>F</v>
      </c>
      <c r="Q714" t="str">
        <f t="shared" si="23"/>
        <v>F</v>
      </c>
    </row>
    <row r="715" spans="1:17" hidden="1" x14ac:dyDescent="0.3">
      <c r="A715">
        <v>8787</v>
      </c>
      <c r="B715">
        <v>570</v>
      </c>
      <c r="C715">
        <v>345</v>
      </c>
      <c r="D715" t="s">
        <v>19</v>
      </c>
      <c r="E715" t="s">
        <v>20</v>
      </c>
      <c r="F715" t="s">
        <v>21</v>
      </c>
      <c r="G715" t="s">
        <v>18</v>
      </c>
      <c r="H715">
        <v>277.60000000000002</v>
      </c>
      <c r="I715">
        <v>252.5</v>
      </c>
      <c r="J715">
        <v>98.4</v>
      </c>
      <c r="K715">
        <v>67.5</v>
      </c>
      <c r="L715">
        <v>25.8</v>
      </c>
      <c r="M715">
        <v>13.5</v>
      </c>
      <c r="N715">
        <v>0.11808274831977</v>
      </c>
      <c r="O715">
        <v>0.10583870038063201</v>
      </c>
      <c r="P715" t="str">
        <f t="shared" si="22"/>
        <v>F</v>
      </c>
      <c r="Q715" t="str">
        <f t="shared" si="23"/>
        <v>F</v>
      </c>
    </row>
    <row r="716" spans="1:17" hidden="1" x14ac:dyDescent="0.3">
      <c r="A716">
        <v>8788</v>
      </c>
      <c r="B716">
        <v>570</v>
      </c>
      <c r="C716">
        <v>345</v>
      </c>
      <c r="D716" t="s">
        <v>19</v>
      </c>
      <c r="E716" t="s">
        <v>20</v>
      </c>
      <c r="F716" t="s">
        <v>21</v>
      </c>
      <c r="G716" t="s">
        <v>18</v>
      </c>
      <c r="H716">
        <v>277.60000000000002</v>
      </c>
      <c r="I716">
        <v>252.5</v>
      </c>
      <c r="J716">
        <v>98.4</v>
      </c>
      <c r="K716">
        <v>67.5</v>
      </c>
      <c r="L716">
        <v>25.8</v>
      </c>
      <c r="M716">
        <v>13.5</v>
      </c>
      <c r="N716">
        <v>0.12880130788962499</v>
      </c>
      <c r="O716">
        <v>0.12084173724614999</v>
      </c>
      <c r="P716" t="str">
        <f t="shared" si="22"/>
        <v>F</v>
      </c>
      <c r="Q716" t="str">
        <f t="shared" si="23"/>
        <v>F</v>
      </c>
    </row>
    <row r="717" spans="1:17" hidden="1" x14ac:dyDescent="0.3">
      <c r="A717">
        <v>8789</v>
      </c>
      <c r="B717">
        <v>570</v>
      </c>
      <c r="C717">
        <v>345</v>
      </c>
      <c r="D717" t="s">
        <v>19</v>
      </c>
      <c r="E717" t="s">
        <v>20</v>
      </c>
      <c r="F717" t="s">
        <v>21</v>
      </c>
      <c r="G717" t="s">
        <v>18</v>
      </c>
      <c r="H717">
        <v>277.60000000000002</v>
      </c>
      <c r="I717">
        <v>252.5</v>
      </c>
      <c r="J717">
        <v>98.4</v>
      </c>
      <c r="K717">
        <v>67.5</v>
      </c>
      <c r="L717">
        <v>25.8</v>
      </c>
      <c r="M717">
        <v>13.5</v>
      </c>
      <c r="N717">
        <v>0.107497180782786</v>
      </c>
      <c r="O717">
        <v>0.124620141493707</v>
      </c>
      <c r="P717" t="str">
        <f t="shared" si="22"/>
        <v>F</v>
      </c>
      <c r="Q717" t="str">
        <f t="shared" si="23"/>
        <v>F</v>
      </c>
    </row>
    <row r="718" spans="1:17" hidden="1" x14ac:dyDescent="0.3">
      <c r="A718">
        <v>8815</v>
      </c>
      <c r="B718">
        <v>582</v>
      </c>
      <c r="C718">
        <v>99</v>
      </c>
      <c r="D718" t="s">
        <v>19</v>
      </c>
      <c r="E718" t="s">
        <v>20</v>
      </c>
      <c r="F718" t="s">
        <v>21</v>
      </c>
      <c r="G718" t="s">
        <v>24</v>
      </c>
      <c r="H718">
        <v>277</v>
      </c>
      <c r="I718">
        <v>257</v>
      </c>
      <c r="J718">
        <v>99.7</v>
      </c>
      <c r="K718">
        <v>69</v>
      </c>
      <c r="L718">
        <v>26.4</v>
      </c>
      <c r="M718">
        <v>7.5</v>
      </c>
      <c r="N718">
        <v>0.10444850243532</v>
      </c>
      <c r="O718">
        <v>6.1088863425104098E-2</v>
      </c>
      <c r="P718" t="str">
        <f t="shared" si="22"/>
        <v>F</v>
      </c>
      <c r="Q718" t="str">
        <f t="shared" si="23"/>
        <v>F</v>
      </c>
    </row>
    <row r="719" spans="1:17" hidden="1" x14ac:dyDescent="0.3">
      <c r="A719">
        <v>8816</v>
      </c>
      <c r="B719">
        <v>582</v>
      </c>
      <c r="C719">
        <v>99</v>
      </c>
      <c r="D719" t="s">
        <v>19</v>
      </c>
      <c r="E719" t="s">
        <v>20</v>
      </c>
      <c r="F719" t="s">
        <v>21</v>
      </c>
      <c r="G719" t="s">
        <v>24</v>
      </c>
      <c r="H719">
        <v>277</v>
      </c>
      <c r="I719">
        <v>257</v>
      </c>
      <c r="J719">
        <v>99.7</v>
      </c>
      <c r="K719">
        <v>69</v>
      </c>
      <c r="L719">
        <v>26.4</v>
      </c>
      <c r="M719">
        <v>7.5</v>
      </c>
      <c r="N719">
        <v>9.8463786177959103E-2</v>
      </c>
      <c r="O719">
        <v>3.1936022839598198E-2</v>
      </c>
      <c r="P719" t="str">
        <f t="shared" si="22"/>
        <v>F</v>
      </c>
      <c r="Q719" t="str">
        <f t="shared" si="23"/>
        <v>F</v>
      </c>
    </row>
    <row r="720" spans="1:17" hidden="1" x14ac:dyDescent="0.3">
      <c r="A720">
        <v>8824</v>
      </c>
      <c r="B720">
        <v>585</v>
      </c>
      <c r="C720">
        <v>366</v>
      </c>
      <c r="D720" t="s">
        <v>19</v>
      </c>
      <c r="E720" t="s">
        <v>20</v>
      </c>
      <c r="F720" t="s">
        <v>21</v>
      </c>
      <c r="G720" t="s">
        <v>24</v>
      </c>
      <c r="H720">
        <v>275.89999999999998</v>
      </c>
      <c r="I720">
        <v>255</v>
      </c>
      <c r="J720">
        <v>94.9</v>
      </c>
      <c r="K720">
        <v>64</v>
      </c>
      <c r="L720">
        <v>26.8</v>
      </c>
      <c r="M720">
        <v>17</v>
      </c>
      <c r="N720">
        <v>0.16452452325585701</v>
      </c>
      <c r="O720">
        <v>0.15508768701233699</v>
      </c>
      <c r="P720" t="str">
        <f t="shared" si="22"/>
        <v>F</v>
      </c>
      <c r="Q720" t="str">
        <f t="shared" si="23"/>
        <v>F</v>
      </c>
    </row>
    <row r="721" spans="1:17" hidden="1" x14ac:dyDescent="0.3">
      <c r="A721">
        <v>8843</v>
      </c>
      <c r="B721">
        <v>590</v>
      </c>
      <c r="C721">
        <v>274</v>
      </c>
      <c r="D721" t="s">
        <v>19</v>
      </c>
      <c r="E721" t="s">
        <v>20</v>
      </c>
      <c r="F721" t="s">
        <v>21</v>
      </c>
      <c r="G721" t="s">
        <v>26</v>
      </c>
      <c r="H721">
        <v>270.8</v>
      </c>
      <c r="I721">
        <v>241</v>
      </c>
      <c r="J721">
        <v>93</v>
      </c>
      <c r="K721">
        <v>61.5</v>
      </c>
      <c r="L721">
        <v>24.5</v>
      </c>
      <c r="M721">
        <v>11.5</v>
      </c>
      <c r="N721">
        <v>0.11608839160065899</v>
      </c>
      <c r="O721">
        <v>0.21110884506306599</v>
      </c>
      <c r="P721" t="str">
        <f t="shared" si="22"/>
        <v>F</v>
      </c>
      <c r="Q721" t="str">
        <f t="shared" si="23"/>
        <v>F</v>
      </c>
    </row>
    <row r="722" spans="1:17" hidden="1" x14ac:dyDescent="0.3">
      <c r="A722">
        <v>8894</v>
      </c>
      <c r="B722">
        <v>607</v>
      </c>
      <c r="C722">
        <v>32</v>
      </c>
      <c r="D722" t="s">
        <v>19</v>
      </c>
      <c r="E722" t="s">
        <v>20</v>
      </c>
      <c r="F722" t="s">
        <v>17</v>
      </c>
      <c r="G722" t="s">
        <v>25</v>
      </c>
      <c r="H722">
        <v>274.8</v>
      </c>
      <c r="I722">
        <v>261</v>
      </c>
      <c r="J722">
        <v>101</v>
      </c>
      <c r="K722">
        <v>66</v>
      </c>
      <c r="L722">
        <v>24.4</v>
      </c>
      <c r="M722">
        <v>8.5</v>
      </c>
      <c r="N722">
        <v>0.11431237689877401</v>
      </c>
      <c r="O722">
        <v>0.15632219056059901</v>
      </c>
      <c r="P722" t="str">
        <f t="shared" si="22"/>
        <v>F</v>
      </c>
      <c r="Q722" t="str">
        <f t="shared" si="23"/>
        <v>F</v>
      </c>
    </row>
    <row r="723" spans="1:17" hidden="1" x14ac:dyDescent="0.3">
      <c r="A723">
        <v>8895</v>
      </c>
      <c r="B723">
        <v>607</v>
      </c>
      <c r="C723">
        <v>32</v>
      </c>
      <c r="D723" t="s">
        <v>19</v>
      </c>
      <c r="E723" t="s">
        <v>20</v>
      </c>
      <c r="F723" t="s">
        <v>17</v>
      </c>
      <c r="G723" t="s">
        <v>25</v>
      </c>
      <c r="H723">
        <v>274.8</v>
      </c>
      <c r="I723">
        <v>261</v>
      </c>
      <c r="J723">
        <v>101</v>
      </c>
      <c r="K723">
        <v>66</v>
      </c>
      <c r="L723">
        <v>24.4</v>
      </c>
      <c r="M723">
        <v>8.5</v>
      </c>
      <c r="N723">
        <v>9.8095051818963303E-2</v>
      </c>
      <c r="O723">
        <v>0.15514358474693199</v>
      </c>
      <c r="P723" t="str">
        <f t="shared" si="22"/>
        <v>F</v>
      </c>
      <c r="Q723" t="str">
        <f t="shared" si="23"/>
        <v>F</v>
      </c>
    </row>
    <row r="724" spans="1:17" hidden="1" x14ac:dyDescent="0.3">
      <c r="A724">
        <v>8896</v>
      </c>
      <c r="B724">
        <v>607</v>
      </c>
      <c r="C724">
        <v>32</v>
      </c>
      <c r="D724" t="s">
        <v>19</v>
      </c>
      <c r="E724" t="s">
        <v>20</v>
      </c>
      <c r="F724" t="s">
        <v>17</v>
      </c>
      <c r="G724" t="s">
        <v>25</v>
      </c>
      <c r="H724">
        <v>274.8</v>
      </c>
      <c r="I724">
        <v>261</v>
      </c>
      <c r="J724">
        <v>101</v>
      </c>
      <c r="K724">
        <v>66</v>
      </c>
      <c r="L724">
        <v>24.4</v>
      </c>
      <c r="M724">
        <v>8.5</v>
      </c>
      <c r="N724">
        <v>0.132155531447428</v>
      </c>
      <c r="O724">
        <v>0.12799274068493399</v>
      </c>
      <c r="P724" t="str">
        <f t="shared" si="22"/>
        <v>F</v>
      </c>
      <c r="Q724" t="str">
        <f t="shared" si="23"/>
        <v>F</v>
      </c>
    </row>
    <row r="725" spans="1:17" hidden="1" x14ac:dyDescent="0.3">
      <c r="A725">
        <v>8929</v>
      </c>
      <c r="B725">
        <v>62</v>
      </c>
      <c r="C725">
        <v>443</v>
      </c>
      <c r="D725" t="s">
        <v>19</v>
      </c>
      <c r="E725" t="s">
        <v>20</v>
      </c>
      <c r="F725" t="s">
        <v>21</v>
      </c>
      <c r="G725" t="s">
        <v>26</v>
      </c>
      <c r="H725">
        <v>272.5</v>
      </c>
      <c r="I725">
        <v>239.5</v>
      </c>
      <c r="J725">
        <v>96</v>
      </c>
      <c r="K725">
        <v>64.5</v>
      </c>
      <c r="L725">
        <v>20.399999999999999</v>
      </c>
      <c r="M725">
        <v>10</v>
      </c>
      <c r="N725">
        <v>0.25242556275537997</v>
      </c>
      <c r="O725">
        <v>6.8441335089503105E-2</v>
      </c>
      <c r="P725" t="str">
        <f t="shared" si="22"/>
        <v>F</v>
      </c>
      <c r="Q725" t="str">
        <f t="shared" si="23"/>
        <v>F</v>
      </c>
    </row>
    <row r="726" spans="1:17" hidden="1" x14ac:dyDescent="0.3">
      <c r="A726">
        <v>8930</v>
      </c>
      <c r="B726">
        <v>62</v>
      </c>
      <c r="C726">
        <v>443</v>
      </c>
      <c r="D726" t="s">
        <v>19</v>
      </c>
      <c r="E726" t="s">
        <v>20</v>
      </c>
      <c r="F726" t="s">
        <v>21</v>
      </c>
      <c r="G726" t="s">
        <v>26</v>
      </c>
      <c r="H726">
        <v>272.5</v>
      </c>
      <c r="I726">
        <v>239.5</v>
      </c>
      <c r="J726">
        <v>96</v>
      </c>
      <c r="K726">
        <v>64.5</v>
      </c>
      <c r="L726">
        <v>20.399999999999999</v>
      </c>
      <c r="M726">
        <v>10</v>
      </c>
      <c r="N726">
        <v>0.26902594503169103</v>
      </c>
      <c r="O726">
        <v>7.6652369479617899E-2</v>
      </c>
      <c r="P726" t="str">
        <f t="shared" si="22"/>
        <v>F</v>
      </c>
      <c r="Q726" t="str">
        <f t="shared" si="23"/>
        <v>F</v>
      </c>
    </row>
    <row r="727" spans="1:17" hidden="1" x14ac:dyDescent="0.3">
      <c r="A727">
        <v>8931</v>
      </c>
      <c r="B727">
        <v>62</v>
      </c>
      <c r="C727">
        <v>443</v>
      </c>
      <c r="D727" t="s">
        <v>19</v>
      </c>
      <c r="E727" t="s">
        <v>20</v>
      </c>
      <c r="F727" t="s">
        <v>21</v>
      </c>
      <c r="G727" t="s">
        <v>26</v>
      </c>
      <c r="H727">
        <v>272.5</v>
      </c>
      <c r="I727">
        <v>239.5</v>
      </c>
      <c r="J727">
        <v>96</v>
      </c>
      <c r="K727">
        <v>64.5</v>
      </c>
      <c r="L727">
        <v>20.399999999999999</v>
      </c>
      <c r="M727">
        <v>10</v>
      </c>
      <c r="N727">
        <v>0.24006093031176101</v>
      </c>
      <c r="O727">
        <v>5.5864926512667598E-2</v>
      </c>
      <c r="P727" t="str">
        <f t="shared" si="22"/>
        <v>F</v>
      </c>
      <c r="Q727" t="str">
        <f t="shared" si="23"/>
        <v>F</v>
      </c>
    </row>
    <row r="728" spans="1:17" hidden="1" x14ac:dyDescent="0.3">
      <c r="A728">
        <v>8951</v>
      </c>
      <c r="B728">
        <v>628</v>
      </c>
      <c r="C728">
        <v>310</v>
      </c>
      <c r="D728" t="s">
        <v>19</v>
      </c>
      <c r="E728" t="s">
        <v>20</v>
      </c>
      <c r="F728" t="s">
        <v>17</v>
      </c>
      <c r="G728" t="s">
        <v>26</v>
      </c>
      <c r="H728">
        <v>273.60000000000002</v>
      </c>
      <c r="I728">
        <v>255</v>
      </c>
      <c r="J728">
        <v>95.2</v>
      </c>
      <c r="K728">
        <v>63.5</v>
      </c>
      <c r="L728">
        <v>27</v>
      </c>
      <c r="M728">
        <v>11.5</v>
      </c>
      <c r="N728">
        <v>3.0890019627872901E-2</v>
      </c>
      <c r="O728">
        <v>0.102234232687913</v>
      </c>
      <c r="P728" t="str">
        <f t="shared" si="22"/>
        <v>T</v>
      </c>
      <c r="Q728" t="str">
        <f t="shared" si="23"/>
        <v>F</v>
      </c>
    </row>
    <row r="729" spans="1:17" hidden="1" x14ac:dyDescent="0.3">
      <c r="A729">
        <v>8952</v>
      </c>
      <c r="B729">
        <v>628</v>
      </c>
      <c r="C729">
        <v>310</v>
      </c>
      <c r="D729" t="s">
        <v>19</v>
      </c>
      <c r="E729" t="s">
        <v>20</v>
      </c>
      <c r="F729" t="s">
        <v>17</v>
      </c>
      <c r="G729" t="s">
        <v>26</v>
      </c>
      <c r="H729">
        <v>273.60000000000002</v>
      </c>
      <c r="I729">
        <v>255</v>
      </c>
      <c r="J729">
        <v>95.2</v>
      </c>
      <c r="K729">
        <v>63.5</v>
      </c>
      <c r="L729">
        <v>27</v>
      </c>
      <c r="M729">
        <v>11.5</v>
      </c>
      <c r="N729">
        <v>3.9371071908625398E-2</v>
      </c>
      <c r="O729">
        <v>0.10447605065429</v>
      </c>
      <c r="P729" t="str">
        <f t="shared" si="22"/>
        <v>T</v>
      </c>
      <c r="Q729" t="str">
        <f t="shared" si="23"/>
        <v>F</v>
      </c>
    </row>
    <row r="730" spans="1:17" hidden="1" x14ac:dyDescent="0.3">
      <c r="A730">
        <v>8954</v>
      </c>
      <c r="B730">
        <v>628</v>
      </c>
      <c r="C730">
        <v>310</v>
      </c>
      <c r="D730" t="s">
        <v>19</v>
      </c>
      <c r="E730" t="s">
        <v>20</v>
      </c>
      <c r="F730" t="s">
        <v>17</v>
      </c>
      <c r="G730" t="s">
        <v>26</v>
      </c>
      <c r="H730">
        <v>273.60000000000002</v>
      </c>
      <c r="I730">
        <v>255</v>
      </c>
      <c r="J730">
        <v>95.2</v>
      </c>
      <c r="K730">
        <v>63.5</v>
      </c>
      <c r="L730">
        <v>27</v>
      </c>
      <c r="M730">
        <v>11.5</v>
      </c>
      <c r="N730">
        <v>3.15881029487802E-2</v>
      </c>
      <c r="O730">
        <v>0.12796314511973</v>
      </c>
      <c r="P730" t="str">
        <f t="shared" si="22"/>
        <v>T</v>
      </c>
      <c r="Q730" t="str">
        <f t="shared" si="23"/>
        <v>F</v>
      </c>
    </row>
    <row r="731" spans="1:17" hidden="1" x14ac:dyDescent="0.3">
      <c r="A731">
        <v>8955</v>
      </c>
      <c r="B731">
        <v>628</v>
      </c>
      <c r="C731">
        <v>310</v>
      </c>
      <c r="D731" t="s">
        <v>19</v>
      </c>
      <c r="E731" t="s">
        <v>20</v>
      </c>
      <c r="F731" t="s">
        <v>17</v>
      </c>
      <c r="G731" t="s">
        <v>26</v>
      </c>
      <c r="H731">
        <v>273.60000000000002</v>
      </c>
      <c r="I731">
        <v>255</v>
      </c>
      <c r="J731">
        <v>95.2</v>
      </c>
      <c r="K731">
        <v>63.5</v>
      </c>
      <c r="L731">
        <v>27</v>
      </c>
      <c r="M731">
        <v>11.5</v>
      </c>
      <c r="N731">
        <v>3.4987820183885597E-2</v>
      </c>
      <c r="O731">
        <v>9.4581139796351493E-2</v>
      </c>
      <c r="P731" t="str">
        <f t="shared" si="22"/>
        <v>T</v>
      </c>
      <c r="Q731" t="str">
        <f t="shared" si="23"/>
        <v>F</v>
      </c>
    </row>
    <row r="732" spans="1:17" hidden="1" x14ac:dyDescent="0.3">
      <c r="A732">
        <v>8979</v>
      </c>
      <c r="B732">
        <v>636</v>
      </c>
      <c r="C732">
        <v>68</v>
      </c>
      <c r="D732" t="s">
        <v>19</v>
      </c>
      <c r="E732" t="s">
        <v>20</v>
      </c>
      <c r="F732" t="s">
        <v>21</v>
      </c>
      <c r="G732" t="s">
        <v>24</v>
      </c>
      <c r="H732">
        <v>275.60000000000002</v>
      </c>
      <c r="I732">
        <v>254.5</v>
      </c>
      <c r="J732">
        <v>95.5</v>
      </c>
      <c r="K732">
        <v>65.5</v>
      </c>
      <c r="L732">
        <v>29.1</v>
      </c>
      <c r="M732">
        <v>10</v>
      </c>
      <c r="N732">
        <v>0.206612460053791</v>
      </c>
      <c r="O732">
        <v>0.17164062708245401</v>
      </c>
      <c r="P732" t="str">
        <f t="shared" si="22"/>
        <v>F</v>
      </c>
      <c r="Q732" t="str">
        <f t="shared" si="23"/>
        <v>F</v>
      </c>
    </row>
    <row r="733" spans="1:17" hidden="1" x14ac:dyDescent="0.3">
      <c r="A733">
        <v>8980</v>
      </c>
      <c r="B733">
        <v>636</v>
      </c>
      <c r="C733">
        <v>68</v>
      </c>
      <c r="D733" t="s">
        <v>19</v>
      </c>
      <c r="E733" t="s">
        <v>20</v>
      </c>
      <c r="F733" t="s">
        <v>21</v>
      </c>
      <c r="G733" t="s">
        <v>24</v>
      </c>
      <c r="H733">
        <v>275.60000000000002</v>
      </c>
      <c r="I733">
        <v>254.5</v>
      </c>
      <c r="J733">
        <v>95.5</v>
      </c>
      <c r="K733">
        <v>65.5</v>
      </c>
      <c r="L733">
        <v>29.1</v>
      </c>
      <c r="M733">
        <v>10</v>
      </c>
      <c r="N733">
        <v>0.230312676159623</v>
      </c>
      <c r="O733">
        <v>0.166567636866919</v>
      </c>
      <c r="P733" t="str">
        <f t="shared" si="22"/>
        <v>F</v>
      </c>
      <c r="Q733" t="str">
        <f t="shared" si="23"/>
        <v>F</v>
      </c>
    </row>
    <row r="734" spans="1:17" hidden="1" x14ac:dyDescent="0.3">
      <c r="A734">
        <v>9039</v>
      </c>
      <c r="B734">
        <v>651</v>
      </c>
      <c r="C734">
        <v>366</v>
      </c>
      <c r="D734" t="s">
        <v>19</v>
      </c>
      <c r="E734" t="s">
        <v>20</v>
      </c>
      <c r="F734" t="s">
        <v>17</v>
      </c>
      <c r="G734" t="s">
        <v>24</v>
      </c>
      <c r="H734">
        <v>275.89999999999998</v>
      </c>
      <c r="I734">
        <v>255</v>
      </c>
      <c r="J734">
        <v>94.9</v>
      </c>
      <c r="K734">
        <v>64</v>
      </c>
      <c r="L734">
        <v>26.8</v>
      </c>
      <c r="M734">
        <v>17</v>
      </c>
      <c r="N734">
        <v>0.16745487668995199</v>
      </c>
      <c r="O734">
        <v>0.157694383101907</v>
      </c>
      <c r="P734" t="str">
        <f t="shared" si="22"/>
        <v>F</v>
      </c>
      <c r="Q734" t="str">
        <f t="shared" si="23"/>
        <v>F</v>
      </c>
    </row>
    <row r="735" spans="1:17" hidden="1" x14ac:dyDescent="0.3">
      <c r="A735">
        <v>9040</v>
      </c>
      <c r="B735">
        <v>651</v>
      </c>
      <c r="C735">
        <v>366</v>
      </c>
      <c r="D735" t="s">
        <v>19</v>
      </c>
      <c r="E735" t="s">
        <v>20</v>
      </c>
      <c r="F735" t="s">
        <v>17</v>
      </c>
      <c r="G735" t="s">
        <v>24</v>
      </c>
      <c r="H735">
        <v>275.89999999999998</v>
      </c>
      <c r="I735">
        <v>255</v>
      </c>
      <c r="J735">
        <v>94.9</v>
      </c>
      <c r="K735">
        <v>64</v>
      </c>
      <c r="L735">
        <v>26.8</v>
      </c>
      <c r="M735">
        <v>17</v>
      </c>
      <c r="N735">
        <v>0.15973033563848801</v>
      </c>
      <c r="O735">
        <v>0.15704101829918601</v>
      </c>
      <c r="P735" t="str">
        <f t="shared" si="22"/>
        <v>F</v>
      </c>
      <c r="Q735" t="str">
        <f t="shared" si="23"/>
        <v>F</v>
      </c>
    </row>
    <row r="736" spans="1:17" hidden="1" x14ac:dyDescent="0.3">
      <c r="A736">
        <v>9117</v>
      </c>
      <c r="B736">
        <v>679</v>
      </c>
      <c r="C736">
        <v>480</v>
      </c>
      <c r="D736" t="s">
        <v>19</v>
      </c>
      <c r="E736" t="s">
        <v>20</v>
      </c>
      <c r="F736" t="s">
        <v>17</v>
      </c>
      <c r="G736" t="s">
        <v>25</v>
      </c>
      <c r="H736">
        <v>275.8</v>
      </c>
      <c r="I736">
        <v>244</v>
      </c>
      <c r="J736">
        <v>94.4</v>
      </c>
      <c r="K736">
        <v>67.5</v>
      </c>
      <c r="L736">
        <v>24.4</v>
      </c>
      <c r="M736">
        <v>6</v>
      </c>
      <c r="N736">
        <v>0.16353089503819601</v>
      </c>
      <c r="O736">
        <v>0.186086785296042</v>
      </c>
      <c r="P736" t="str">
        <f t="shared" si="22"/>
        <v>F</v>
      </c>
      <c r="Q736" t="str">
        <f t="shared" si="23"/>
        <v>F</v>
      </c>
    </row>
    <row r="737" spans="1:17" x14ac:dyDescent="0.3">
      <c r="A737">
        <v>9151</v>
      </c>
      <c r="B737">
        <v>690</v>
      </c>
      <c r="C737">
        <v>335</v>
      </c>
      <c r="D737" t="s">
        <v>19</v>
      </c>
      <c r="E737" t="s">
        <v>20</v>
      </c>
      <c r="F737" t="s">
        <v>17</v>
      </c>
      <c r="G737" t="s">
        <v>22</v>
      </c>
      <c r="H737">
        <v>278.5</v>
      </c>
      <c r="I737">
        <v>240.5</v>
      </c>
      <c r="J737">
        <v>94.4</v>
      </c>
      <c r="K737">
        <v>69</v>
      </c>
      <c r="L737">
        <v>25.8</v>
      </c>
      <c r="M737">
        <v>8.5</v>
      </c>
      <c r="N737">
        <v>4.7251269871050203E-2</v>
      </c>
      <c r="O737">
        <v>1.60914579036367E-2</v>
      </c>
      <c r="P737" t="str">
        <f t="shared" si="22"/>
        <v>T</v>
      </c>
      <c r="Q737" t="str">
        <f t="shared" si="23"/>
        <v>T</v>
      </c>
    </row>
    <row r="738" spans="1:17" hidden="1" x14ac:dyDescent="0.3">
      <c r="A738">
        <v>9152</v>
      </c>
      <c r="B738">
        <v>690</v>
      </c>
      <c r="C738">
        <v>335</v>
      </c>
      <c r="D738" t="s">
        <v>19</v>
      </c>
      <c r="E738" t="s">
        <v>20</v>
      </c>
      <c r="F738" t="s">
        <v>17</v>
      </c>
      <c r="G738" t="s">
        <v>22</v>
      </c>
      <c r="H738">
        <v>278.5</v>
      </c>
      <c r="I738">
        <v>240.5</v>
      </c>
      <c r="J738">
        <v>94.4</v>
      </c>
      <c r="K738">
        <v>69</v>
      </c>
      <c r="L738">
        <v>25.8</v>
      </c>
      <c r="M738">
        <v>8.5</v>
      </c>
      <c r="N738">
        <v>4.6431035223424497E-2</v>
      </c>
      <c r="O738">
        <v>3.2978944938003803E-2</v>
      </c>
      <c r="P738" t="str">
        <f t="shared" si="22"/>
        <v>T</v>
      </c>
      <c r="Q738" t="str">
        <f t="shared" si="23"/>
        <v>F</v>
      </c>
    </row>
    <row r="739" spans="1:17" hidden="1" x14ac:dyDescent="0.3">
      <c r="A739">
        <v>9154</v>
      </c>
      <c r="B739">
        <v>692</v>
      </c>
      <c r="C739">
        <v>314</v>
      </c>
      <c r="D739" t="s">
        <v>19</v>
      </c>
      <c r="E739" t="s">
        <v>20</v>
      </c>
      <c r="F739" t="s">
        <v>21</v>
      </c>
      <c r="G739" t="s">
        <v>18</v>
      </c>
      <c r="H739">
        <v>273.5</v>
      </c>
      <c r="I739">
        <v>251.5</v>
      </c>
      <c r="J739">
        <v>97.5</v>
      </c>
      <c r="K739">
        <v>65</v>
      </c>
      <c r="L739">
        <v>25.5</v>
      </c>
      <c r="M739">
        <v>13</v>
      </c>
      <c r="N739">
        <v>0.24824201577631999</v>
      </c>
      <c r="O739">
        <v>8.5532179005109898E-2</v>
      </c>
      <c r="P739" t="str">
        <f t="shared" si="22"/>
        <v>F</v>
      </c>
      <c r="Q739" t="str">
        <f t="shared" si="23"/>
        <v>F</v>
      </c>
    </row>
    <row r="740" spans="1:17" hidden="1" x14ac:dyDescent="0.3">
      <c r="A740">
        <v>9155</v>
      </c>
      <c r="B740">
        <v>692</v>
      </c>
      <c r="C740">
        <v>314</v>
      </c>
      <c r="D740" t="s">
        <v>19</v>
      </c>
      <c r="E740" t="s">
        <v>20</v>
      </c>
      <c r="F740" t="s">
        <v>21</v>
      </c>
      <c r="G740" t="s">
        <v>18</v>
      </c>
      <c r="H740">
        <v>273.5</v>
      </c>
      <c r="I740">
        <v>251.5</v>
      </c>
      <c r="J740">
        <v>97.5</v>
      </c>
      <c r="K740">
        <v>65</v>
      </c>
      <c r="L740">
        <v>25.5</v>
      </c>
      <c r="M740">
        <v>13</v>
      </c>
      <c r="N740">
        <v>0.244280418875997</v>
      </c>
      <c r="O740">
        <v>9.3013246757945603E-2</v>
      </c>
      <c r="P740" t="str">
        <f t="shared" si="22"/>
        <v>F</v>
      </c>
      <c r="Q740" t="str">
        <f t="shared" si="23"/>
        <v>F</v>
      </c>
    </row>
    <row r="741" spans="1:17" hidden="1" x14ac:dyDescent="0.3">
      <c r="A741">
        <v>9156</v>
      </c>
      <c r="B741">
        <v>692</v>
      </c>
      <c r="C741">
        <v>314</v>
      </c>
      <c r="D741" t="s">
        <v>19</v>
      </c>
      <c r="E741" t="s">
        <v>20</v>
      </c>
      <c r="F741" t="s">
        <v>21</v>
      </c>
      <c r="G741" t="s">
        <v>18</v>
      </c>
      <c r="H741">
        <v>273.5</v>
      </c>
      <c r="I741">
        <v>251.5</v>
      </c>
      <c r="J741">
        <v>97.5</v>
      </c>
      <c r="K741">
        <v>65</v>
      </c>
      <c r="L741">
        <v>25.5</v>
      </c>
      <c r="M741">
        <v>13</v>
      </c>
      <c r="N741">
        <v>0.25055640417399899</v>
      </c>
      <c r="O741">
        <v>9.2969217017465605E-2</v>
      </c>
      <c r="P741" t="str">
        <f t="shared" si="22"/>
        <v>F</v>
      </c>
      <c r="Q741" t="str">
        <f t="shared" si="23"/>
        <v>F</v>
      </c>
    </row>
    <row r="742" spans="1:17" hidden="1" x14ac:dyDescent="0.3">
      <c r="A742">
        <v>9222</v>
      </c>
      <c r="B742">
        <v>716</v>
      </c>
      <c r="C742">
        <v>310</v>
      </c>
      <c r="D742" t="s">
        <v>19</v>
      </c>
      <c r="E742" t="s">
        <v>20</v>
      </c>
      <c r="F742" t="s">
        <v>21</v>
      </c>
      <c r="G742" t="s">
        <v>22</v>
      </c>
      <c r="H742">
        <v>273.60000000000002</v>
      </c>
      <c r="I742">
        <v>255</v>
      </c>
      <c r="J742">
        <v>95.2</v>
      </c>
      <c r="K742">
        <v>63.5</v>
      </c>
      <c r="L742">
        <v>27</v>
      </c>
      <c r="M742">
        <v>11.5</v>
      </c>
      <c r="N742">
        <v>4.4506388139868902E-2</v>
      </c>
      <c r="O742">
        <v>0.111939526556463</v>
      </c>
      <c r="P742" t="str">
        <f t="shared" si="22"/>
        <v>T</v>
      </c>
      <c r="Q742" t="str">
        <f t="shared" si="23"/>
        <v>F</v>
      </c>
    </row>
    <row r="743" spans="1:17" hidden="1" x14ac:dyDescent="0.3">
      <c r="A743">
        <v>9223</v>
      </c>
      <c r="B743">
        <v>716</v>
      </c>
      <c r="C743">
        <v>310</v>
      </c>
      <c r="D743" t="s">
        <v>19</v>
      </c>
      <c r="E743" t="s">
        <v>20</v>
      </c>
      <c r="F743" t="s">
        <v>21</v>
      </c>
      <c r="G743" t="s">
        <v>22</v>
      </c>
      <c r="H743">
        <v>273.60000000000002</v>
      </c>
      <c r="I743">
        <v>255</v>
      </c>
      <c r="J743">
        <v>95.2</v>
      </c>
      <c r="K743">
        <v>63.5</v>
      </c>
      <c r="L743">
        <v>27</v>
      </c>
      <c r="M743">
        <v>11.5</v>
      </c>
      <c r="N743">
        <v>4.2477527646447598E-2</v>
      </c>
      <c r="O743">
        <v>0.12771087195217101</v>
      </c>
      <c r="P743" t="str">
        <f t="shared" si="22"/>
        <v>T</v>
      </c>
      <c r="Q743" t="str">
        <f t="shared" si="23"/>
        <v>F</v>
      </c>
    </row>
    <row r="744" spans="1:17" hidden="1" x14ac:dyDescent="0.3">
      <c r="A744">
        <v>9245</v>
      </c>
      <c r="B744">
        <v>724</v>
      </c>
      <c r="C744">
        <v>269</v>
      </c>
      <c r="D744" t="s">
        <v>19</v>
      </c>
      <c r="E744" t="s">
        <v>20</v>
      </c>
      <c r="F744" t="s">
        <v>21</v>
      </c>
      <c r="G744" t="s">
        <v>26</v>
      </c>
      <c r="H744">
        <v>273.8</v>
      </c>
      <c r="I744">
        <v>243</v>
      </c>
      <c r="J744">
        <v>91.5</v>
      </c>
      <c r="K744">
        <v>66</v>
      </c>
      <c r="L744">
        <v>24.8</v>
      </c>
      <c r="M744">
        <v>8.5</v>
      </c>
      <c r="N744">
        <v>9.2008886612576293E-2</v>
      </c>
      <c r="O744">
        <v>0.15146935722986599</v>
      </c>
      <c r="P744" t="str">
        <f t="shared" si="22"/>
        <v>F</v>
      </c>
      <c r="Q744" t="str">
        <f t="shared" si="23"/>
        <v>F</v>
      </c>
    </row>
    <row r="745" spans="1:17" hidden="1" x14ac:dyDescent="0.3">
      <c r="A745">
        <v>9258</v>
      </c>
      <c r="B745">
        <v>729</v>
      </c>
      <c r="C745">
        <v>400</v>
      </c>
      <c r="D745" t="s">
        <v>19</v>
      </c>
      <c r="E745" t="s">
        <v>20</v>
      </c>
      <c r="F745" t="s">
        <v>21</v>
      </c>
      <c r="G745" t="s">
        <v>18</v>
      </c>
      <c r="H745">
        <v>274.10000000000002</v>
      </c>
      <c r="I745">
        <v>253</v>
      </c>
      <c r="J745">
        <v>96.6</v>
      </c>
      <c r="K745">
        <v>66.5</v>
      </c>
      <c r="L745">
        <v>25.5</v>
      </c>
      <c r="M745">
        <v>12</v>
      </c>
      <c r="N745">
        <v>6.6522133222574803E-2</v>
      </c>
      <c r="O745">
        <v>8.0285515326041806E-2</v>
      </c>
      <c r="P745" t="str">
        <f t="shared" si="22"/>
        <v>F</v>
      </c>
      <c r="Q745" t="str">
        <f t="shared" si="23"/>
        <v>F</v>
      </c>
    </row>
    <row r="746" spans="1:17" hidden="1" x14ac:dyDescent="0.3">
      <c r="A746">
        <v>9263</v>
      </c>
      <c r="B746">
        <v>731</v>
      </c>
      <c r="C746">
        <v>298</v>
      </c>
      <c r="D746" t="s">
        <v>19</v>
      </c>
      <c r="E746" t="s">
        <v>20</v>
      </c>
      <c r="F746" t="s">
        <v>17</v>
      </c>
      <c r="G746" t="s">
        <v>18</v>
      </c>
      <c r="H746">
        <v>275.60000000000002</v>
      </c>
      <c r="I746">
        <v>251</v>
      </c>
      <c r="J746">
        <v>95.1</v>
      </c>
      <c r="K746">
        <v>66.5</v>
      </c>
      <c r="L746">
        <v>25.3</v>
      </c>
      <c r="M746">
        <v>10.5</v>
      </c>
      <c r="N746">
        <v>0.29257910990290498</v>
      </c>
      <c r="O746">
        <v>4.3487171550131799E-2</v>
      </c>
      <c r="P746" t="str">
        <f t="shared" si="22"/>
        <v>F</v>
      </c>
      <c r="Q746" t="str">
        <f t="shared" si="23"/>
        <v>F</v>
      </c>
    </row>
    <row r="747" spans="1:17" hidden="1" x14ac:dyDescent="0.3">
      <c r="A747">
        <v>9264</v>
      </c>
      <c r="B747">
        <v>731</v>
      </c>
      <c r="C747">
        <v>298</v>
      </c>
      <c r="D747" t="s">
        <v>19</v>
      </c>
      <c r="E747" t="s">
        <v>20</v>
      </c>
      <c r="F747" t="s">
        <v>17</v>
      </c>
      <c r="G747" t="s">
        <v>18</v>
      </c>
      <c r="H747">
        <v>275.60000000000002</v>
      </c>
      <c r="I747">
        <v>251</v>
      </c>
      <c r="J747">
        <v>95.1</v>
      </c>
      <c r="K747">
        <v>66.5</v>
      </c>
      <c r="L747">
        <v>25.3</v>
      </c>
      <c r="M747">
        <v>10.5</v>
      </c>
      <c r="N747">
        <v>0.273929383450768</v>
      </c>
      <c r="O747">
        <v>6.1300911968753299E-2</v>
      </c>
      <c r="P747" t="str">
        <f t="shared" si="22"/>
        <v>F</v>
      </c>
      <c r="Q747" t="str">
        <f t="shared" si="23"/>
        <v>F</v>
      </c>
    </row>
    <row r="748" spans="1:17" hidden="1" x14ac:dyDescent="0.3">
      <c r="A748">
        <v>9269</v>
      </c>
      <c r="B748">
        <v>734</v>
      </c>
      <c r="C748">
        <v>29</v>
      </c>
      <c r="D748" t="s">
        <v>19</v>
      </c>
      <c r="E748" t="s">
        <v>20</v>
      </c>
      <c r="F748" t="s">
        <v>21</v>
      </c>
      <c r="G748" t="s">
        <v>24</v>
      </c>
      <c r="H748">
        <v>276.60000000000002</v>
      </c>
      <c r="I748">
        <v>256.5</v>
      </c>
      <c r="J748">
        <v>98.4</v>
      </c>
      <c r="K748">
        <v>67.5</v>
      </c>
      <c r="L748">
        <v>28.3</v>
      </c>
      <c r="M748">
        <v>8</v>
      </c>
      <c r="N748">
        <v>0.20345230031831499</v>
      </c>
      <c r="O748">
        <v>0.110404893997489</v>
      </c>
      <c r="P748" t="str">
        <f t="shared" si="22"/>
        <v>F</v>
      </c>
      <c r="Q748" t="str">
        <f t="shared" si="23"/>
        <v>F</v>
      </c>
    </row>
    <row r="749" spans="1:17" hidden="1" x14ac:dyDescent="0.3">
      <c r="A749">
        <v>9270</v>
      </c>
      <c r="B749">
        <v>734</v>
      </c>
      <c r="C749">
        <v>29</v>
      </c>
      <c r="D749" t="s">
        <v>19</v>
      </c>
      <c r="E749" t="s">
        <v>20</v>
      </c>
      <c r="F749" t="s">
        <v>21</v>
      </c>
      <c r="G749" t="s">
        <v>24</v>
      </c>
      <c r="H749">
        <v>276.60000000000002</v>
      </c>
      <c r="I749">
        <v>256.5</v>
      </c>
      <c r="J749">
        <v>98.4</v>
      </c>
      <c r="K749">
        <v>67.5</v>
      </c>
      <c r="L749">
        <v>28.3</v>
      </c>
      <c r="M749">
        <v>8</v>
      </c>
      <c r="N749">
        <v>0.22375521092866599</v>
      </c>
      <c r="O749">
        <v>8.4873886094341003E-2</v>
      </c>
      <c r="P749" t="str">
        <f t="shared" si="22"/>
        <v>F</v>
      </c>
      <c r="Q749" t="str">
        <f t="shared" si="23"/>
        <v>F</v>
      </c>
    </row>
    <row r="750" spans="1:17" hidden="1" x14ac:dyDescent="0.3">
      <c r="A750">
        <v>9271</v>
      </c>
      <c r="B750">
        <v>734</v>
      </c>
      <c r="C750">
        <v>29</v>
      </c>
      <c r="D750" t="s">
        <v>19</v>
      </c>
      <c r="E750" t="s">
        <v>20</v>
      </c>
      <c r="F750" t="s">
        <v>21</v>
      </c>
      <c r="G750" t="s">
        <v>24</v>
      </c>
      <c r="H750">
        <v>276.60000000000002</v>
      </c>
      <c r="I750">
        <v>256.5</v>
      </c>
      <c r="J750">
        <v>98.4</v>
      </c>
      <c r="K750">
        <v>67.5</v>
      </c>
      <c r="L750">
        <v>28.3</v>
      </c>
      <c r="M750">
        <v>8</v>
      </c>
      <c r="N750">
        <v>0.20822037345331099</v>
      </c>
      <c r="O750">
        <v>9.3632694464869007E-2</v>
      </c>
      <c r="P750" t="str">
        <f t="shared" si="22"/>
        <v>F</v>
      </c>
      <c r="Q750" t="str">
        <f t="shared" si="23"/>
        <v>F</v>
      </c>
    </row>
    <row r="751" spans="1:17" hidden="1" x14ac:dyDescent="0.3">
      <c r="A751">
        <v>9272</v>
      </c>
      <c r="B751">
        <v>734</v>
      </c>
      <c r="C751">
        <v>29</v>
      </c>
      <c r="D751" t="s">
        <v>19</v>
      </c>
      <c r="E751" t="s">
        <v>20</v>
      </c>
      <c r="F751" t="s">
        <v>21</v>
      </c>
      <c r="G751" t="s">
        <v>24</v>
      </c>
      <c r="H751">
        <v>276.60000000000002</v>
      </c>
      <c r="I751">
        <v>256.5</v>
      </c>
      <c r="J751">
        <v>98.4</v>
      </c>
      <c r="K751">
        <v>67.5</v>
      </c>
      <c r="L751">
        <v>28.3</v>
      </c>
      <c r="M751">
        <v>8</v>
      </c>
      <c r="N751">
        <v>0.20123016254616599</v>
      </c>
      <c r="O751">
        <v>0.11511744715755701</v>
      </c>
      <c r="P751" t="str">
        <f t="shared" si="22"/>
        <v>F</v>
      </c>
      <c r="Q751" t="str">
        <f t="shared" si="23"/>
        <v>F</v>
      </c>
    </row>
    <row r="752" spans="1:17" hidden="1" x14ac:dyDescent="0.3">
      <c r="A752">
        <v>9273</v>
      </c>
      <c r="B752">
        <v>734</v>
      </c>
      <c r="C752">
        <v>29</v>
      </c>
      <c r="D752" t="s">
        <v>19</v>
      </c>
      <c r="E752" t="s">
        <v>20</v>
      </c>
      <c r="F752" t="s">
        <v>21</v>
      </c>
      <c r="G752" t="s">
        <v>24</v>
      </c>
      <c r="H752">
        <v>276.60000000000002</v>
      </c>
      <c r="I752">
        <v>256.5</v>
      </c>
      <c r="J752">
        <v>98.4</v>
      </c>
      <c r="K752">
        <v>67.5</v>
      </c>
      <c r="L752">
        <v>28.3</v>
      </c>
      <c r="M752">
        <v>8</v>
      </c>
      <c r="N752">
        <v>0.224630377911787</v>
      </c>
      <c r="O752">
        <v>8.6918149678148898E-2</v>
      </c>
      <c r="P752" t="str">
        <f t="shared" si="22"/>
        <v>F</v>
      </c>
      <c r="Q752" t="str">
        <f t="shared" si="23"/>
        <v>F</v>
      </c>
    </row>
    <row r="753" spans="1:17" hidden="1" x14ac:dyDescent="0.3">
      <c r="A753">
        <v>9290</v>
      </c>
      <c r="B753">
        <v>742</v>
      </c>
      <c r="C753">
        <v>346</v>
      </c>
      <c r="D753" t="s">
        <v>19</v>
      </c>
      <c r="E753" t="s">
        <v>20</v>
      </c>
      <c r="F753" t="s">
        <v>17</v>
      </c>
      <c r="G753" t="s">
        <v>18</v>
      </c>
      <c r="H753">
        <v>271.60000000000002</v>
      </c>
      <c r="I753">
        <v>238</v>
      </c>
      <c r="J753">
        <v>91.3</v>
      </c>
      <c r="K753">
        <v>63</v>
      </c>
      <c r="L753">
        <v>24.7</v>
      </c>
      <c r="M753">
        <v>8</v>
      </c>
      <c r="N753">
        <v>0.172237863071001</v>
      </c>
      <c r="O753">
        <v>2.2349309668667501E-2</v>
      </c>
      <c r="P753" t="str">
        <f t="shared" si="22"/>
        <v>F</v>
      </c>
      <c r="Q753" t="str">
        <f t="shared" si="23"/>
        <v>T</v>
      </c>
    </row>
    <row r="754" spans="1:17" hidden="1" x14ac:dyDescent="0.3">
      <c r="A754">
        <v>9292</v>
      </c>
      <c r="B754">
        <v>742</v>
      </c>
      <c r="C754">
        <v>346</v>
      </c>
      <c r="D754" t="s">
        <v>19</v>
      </c>
      <c r="E754" t="s">
        <v>20</v>
      </c>
      <c r="F754" t="s">
        <v>17</v>
      </c>
      <c r="G754" t="s">
        <v>18</v>
      </c>
      <c r="H754">
        <v>271.60000000000002</v>
      </c>
      <c r="I754">
        <v>238</v>
      </c>
      <c r="J754">
        <v>91.3</v>
      </c>
      <c r="K754">
        <v>63</v>
      </c>
      <c r="L754">
        <v>24.7</v>
      </c>
      <c r="M754">
        <v>8</v>
      </c>
      <c r="N754">
        <v>0.182390446503988</v>
      </c>
      <c r="O754">
        <v>1.34327169149056E-2</v>
      </c>
      <c r="P754" t="str">
        <f t="shared" si="22"/>
        <v>F</v>
      </c>
      <c r="Q754" t="str">
        <f t="shared" si="23"/>
        <v>T</v>
      </c>
    </row>
    <row r="755" spans="1:17" hidden="1" x14ac:dyDescent="0.3">
      <c r="A755">
        <v>9329</v>
      </c>
      <c r="B755">
        <v>754</v>
      </c>
      <c r="C755">
        <v>298</v>
      </c>
      <c r="D755" t="s">
        <v>19</v>
      </c>
      <c r="E755" t="s">
        <v>20</v>
      </c>
      <c r="F755" t="s">
        <v>17</v>
      </c>
      <c r="G755" t="s">
        <v>25</v>
      </c>
      <c r="H755">
        <v>275.60000000000002</v>
      </c>
      <c r="I755">
        <v>251</v>
      </c>
      <c r="J755">
        <v>95.1</v>
      </c>
      <c r="K755">
        <v>66.5</v>
      </c>
      <c r="L755">
        <v>25.3</v>
      </c>
      <c r="M755">
        <v>10.5</v>
      </c>
      <c r="N755">
        <v>0.27683040258613401</v>
      </c>
      <c r="O755">
        <v>4.4994968909383599E-2</v>
      </c>
      <c r="P755" t="str">
        <f t="shared" si="22"/>
        <v>F</v>
      </c>
      <c r="Q755" t="str">
        <f t="shared" si="23"/>
        <v>F</v>
      </c>
    </row>
    <row r="756" spans="1:17" hidden="1" x14ac:dyDescent="0.3">
      <c r="A756">
        <v>9363</v>
      </c>
      <c r="B756">
        <v>767</v>
      </c>
      <c r="C756">
        <v>102</v>
      </c>
      <c r="D756" t="s">
        <v>19</v>
      </c>
      <c r="E756" t="s">
        <v>20</v>
      </c>
      <c r="F756" t="s">
        <v>21</v>
      </c>
      <c r="G756" t="s">
        <v>24</v>
      </c>
      <c r="H756">
        <v>273.60000000000002</v>
      </c>
      <c r="I756">
        <v>246</v>
      </c>
      <c r="J756">
        <v>93.6</v>
      </c>
      <c r="K756">
        <v>64.5</v>
      </c>
      <c r="L756">
        <v>25.6</v>
      </c>
      <c r="M756">
        <v>1.5</v>
      </c>
      <c r="N756">
        <v>0.170467846561632</v>
      </c>
      <c r="O756">
        <v>0.18533406071859301</v>
      </c>
      <c r="P756" t="str">
        <f t="shared" si="22"/>
        <v>F</v>
      </c>
      <c r="Q756" t="str">
        <f t="shared" si="23"/>
        <v>F</v>
      </c>
    </row>
    <row r="757" spans="1:17" hidden="1" x14ac:dyDescent="0.3">
      <c r="A757">
        <v>9388</v>
      </c>
      <c r="B757">
        <v>776</v>
      </c>
      <c r="C757">
        <v>298</v>
      </c>
      <c r="D757" t="s">
        <v>19</v>
      </c>
      <c r="E757" t="s">
        <v>20</v>
      </c>
      <c r="F757" t="s">
        <v>21</v>
      </c>
      <c r="G757" t="s">
        <v>25</v>
      </c>
      <c r="H757">
        <v>275.60000000000002</v>
      </c>
      <c r="I757">
        <v>251</v>
      </c>
      <c r="J757">
        <v>95.1</v>
      </c>
      <c r="K757">
        <v>66.5</v>
      </c>
      <c r="L757">
        <v>25.3</v>
      </c>
      <c r="M757">
        <v>10.5</v>
      </c>
      <c r="N757">
        <v>0.28378076062309598</v>
      </c>
      <c r="O757">
        <v>5.1855495056101202E-2</v>
      </c>
      <c r="P757" t="str">
        <f t="shared" si="22"/>
        <v>F</v>
      </c>
      <c r="Q757" t="str">
        <f t="shared" si="23"/>
        <v>F</v>
      </c>
    </row>
    <row r="758" spans="1:17" hidden="1" x14ac:dyDescent="0.3">
      <c r="A758">
        <v>9393</v>
      </c>
      <c r="B758">
        <v>78</v>
      </c>
      <c r="C758">
        <v>18</v>
      </c>
      <c r="D758" t="s">
        <v>19</v>
      </c>
      <c r="E758" t="s">
        <v>20</v>
      </c>
      <c r="F758" t="s">
        <v>21</v>
      </c>
      <c r="G758" t="s">
        <v>24</v>
      </c>
      <c r="H758">
        <v>271.39999999999998</v>
      </c>
      <c r="I758">
        <v>244</v>
      </c>
      <c r="J758">
        <v>97.3</v>
      </c>
      <c r="K758">
        <v>64</v>
      </c>
      <c r="L758">
        <v>23.3</v>
      </c>
      <c r="M758">
        <v>6.5</v>
      </c>
      <c r="N758">
        <v>0.25829002874386198</v>
      </c>
      <c r="O758">
        <v>1.27265905475924E-2</v>
      </c>
      <c r="P758" t="str">
        <f t="shared" si="22"/>
        <v>F</v>
      </c>
      <c r="Q758" t="str">
        <f t="shared" si="23"/>
        <v>T</v>
      </c>
    </row>
    <row r="759" spans="1:17" hidden="1" x14ac:dyDescent="0.3">
      <c r="A759">
        <v>9394</v>
      </c>
      <c r="B759">
        <v>78</v>
      </c>
      <c r="C759">
        <v>18</v>
      </c>
      <c r="D759" t="s">
        <v>19</v>
      </c>
      <c r="E759" t="s">
        <v>20</v>
      </c>
      <c r="F759" t="s">
        <v>21</v>
      </c>
      <c r="G759" t="s">
        <v>24</v>
      </c>
      <c r="H759">
        <v>271.39999999999998</v>
      </c>
      <c r="I759">
        <v>244</v>
      </c>
      <c r="J759">
        <v>97.3</v>
      </c>
      <c r="K759">
        <v>64</v>
      </c>
      <c r="L759">
        <v>23.3</v>
      </c>
      <c r="M759">
        <v>6.5</v>
      </c>
      <c r="N759">
        <v>0.26461890878543198</v>
      </c>
      <c r="O759">
        <v>1.3044882667279599E-3</v>
      </c>
      <c r="P759" t="str">
        <f t="shared" si="22"/>
        <v>F</v>
      </c>
      <c r="Q759" t="str">
        <f t="shared" si="23"/>
        <v>T</v>
      </c>
    </row>
    <row r="760" spans="1:17" hidden="1" x14ac:dyDescent="0.3">
      <c r="A760">
        <v>9395</v>
      </c>
      <c r="B760">
        <v>78</v>
      </c>
      <c r="C760">
        <v>18</v>
      </c>
      <c r="D760" t="s">
        <v>19</v>
      </c>
      <c r="E760" t="s">
        <v>20</v>
      </c>
      <c r="F760" t="s">
        <v>21</v>
      </c>
      <c r="G760" t="s">
        <v>24</v>
      </c>
      <c r="H760">
        <v>271.39999999999998</v>
      </c>
      <c r="I760">
        <v>244</v>
      </c>
      <c r="J760">
        <v>97.3</v>
      </c>
      <c r="K760">
        <v>64</v>
      </c>
      <c r="L760">
        <v>23.3</v>
      </c>
      <c r="M760">
        <v>6.5</v>
      </c>
      <c r="N760">
        <v>0.26041331476889101</v>
      </c>
      <c r="O760">
        <v>4.6372653855854696E-3</v>
      </c>
      <c r="P760" t="str">
        <f t="shared" si="22"/>
        <v>F</v>
      </c>
      <c r="Q760" t="str">
        <f t="shared" si="23"/>
        <v>T</v>
      </c>
    </row>
    <row r="761" spans="1:17" hidden="1" x14ac:dyDescent="0.3">
      <c r="A761">
        <v>9396</v>
      </c>
      <c r="B761">
        <v>78</v>
      </c>
      <c r="C761">
        <v>18</v>
      </c>
      <c r="D761" t="s">
        <v>19</v>
      </c>
      <c r="E761" t="s">
        <v>20</v>
      </c>
      <c r="F761" t="s">
        <v>21</v>
      </c>
      <c r="G761" t="s">
        <v>24</v>
      </c>
      <c r="H761">
        <v>271.39999999999998</v>
      </c>
      <c r="I761">
        <v>244</v>
      </c>
      <c r="J761">
        <v>97.3</v>
      </c>
      <c r="K761">
        <v>64</v>
      </c>
      <c r="L761">
        <v>23.3</v>
      </c>
      <c r="M761">
        <v>6.5</v>
      </c>
      <c r="N761">
        <v>0.24120692697909199</v>
      </c>
      <c r="O761">
        <v>1.9737416843240299E-3</v>
      </c>
      <c r="P761" t="str">
        <f t="shared" si="22"/>
        <v>F</v>
      </c>
      <c r="Q761" t="str">
        <f t="shared" si="23"/>
        <v>T</v>
      </c>
    </row>
    <row r="762" spans="1:17" hidden="1" x14ac:dyDescent="0.3">
      <c r="A762">
        <v>9397</v>
      </c>
      <c r="B762">
        <v>78</v>
      </c>
      <c r="C762">
        <v>18</v>
      </c>
      <c r="D762" t="s">
        <v>19</v>
      </c>
      <c r="E762" t="s">
        <v>20</v>
      </c>
      <c r="F762" t="s">
        <v>21</v>
      </c>
      <c r="G762" t="s">
        <v>24</v>
      </c>
      <c r="H762">
        <v>271.39999999999998</v>
      </c>
      <c r="I762">
        <v>244</v>
      </c>
      <c r="J762">
        <v>97.3</v>
      </c>
      <c r="K762">
        <v>64</v>
      </c>
      <c r="L762">
        <v>23.3</v>
      </c>
      <c r="M762">
        <v>6.5</v>
      </c>
      <c r="N762">
        <v>0.26155691436694001</v>
      </c>
      <c r="O762">
        <v>2.8978239790646201E-3</v>
      </c>
      <c r="P762" t="str">
        <f t="shared" si="22"/>
        <v>F</v>
      </c>
      <c r="Q762" t="str">
        <f t="shared" si="23"/>
        <v>T</v>
      </c>
    </row>
    <row r="763" spans="1:17" hidden="1" x14ac:dyDescent="0.3">
      <c r="A763">
        <v>9409</v>
      </c>
      <c r="B763">
        <v>785</v>
      </c>
      <c r="C763">
        <v>68</v>
      </c>
      <c r="D763" t="s">
        <v>19</v>
      </c>
      <c r="E763" t="s">
        <v>20</v>
      </c>
      <c r="F763" t="s">
        <v>21</v>
      </c>
      <c r="G763" t="s">
        <v>25</v>
      </c>
      <c r="H763">
        <v>275.60000000000002</v>
      </c>
      <c r="I763">
        <v>254.5</v>
      </c>
      <c r="J763">
        <v>95.5</v>
      </c>
      <c r="K763">
        <v>65.5</v>
      </c>
      <c r="L763">
        <v>29.1</v>
      </c>
      <c r="M763">
        <v>10</v>
      </c>
      <c r="N763">
        <v>0.20208856652181501</v>
      </c>
      <c r="O763">
        <v>0.172534061497363</v>
      </c>
      <c r="P763" t="str">
        <f t="shared" si="22"/>
        <v>F</v>
      </c>
      <c r="Q763" t="str">
        <f t="shared" si="23"/>
        <v>F</v>
      </c>
    </row>
    <row r="764" spans="1:17" hidden="1" x14ac:dyDescent="0.3">
      <c r="A764">
        <v>9452</v>
      </c>
      <c r="B764">
        <v>801</v>
      </c>
      <c r="C764">
        <v>149</v>
      </c>
      <c r="D764" t="s">
        <v>19</v>
      </c>
      <c r="E764" t="s">
        <v>20</v>
      </c>
      <c r="F764" t="s">
        <v>21</v>
      </c>
      <c r="G764" t="s">
        <v>18</v>
      </c>
      <c r="H764">
        <v>275.8</v>
      </c>
      <c r="I764">
        <v>245.5</v>
      </c>
      <c r="J764">
        <v>93.1</v>
      </c>
      <c r="K764">
        <v>67</v>
      </c>
      <c r="L764">
        <v>28.1</v>
      </c>
      <c r="M764">
        <v>7</v>
      </c>
      <c r="N764">
        <v>0.16221569767104599</v>
      </c>
      <c r="O764">
        <v>0.11585329076737499</v>
      </c>
      <c r="P764" t="str">
        <f t="shared" si="22"/>
        <v>F</v>
      </c>
      <c r="Q764" t="str">
        <f t="shared" si="23"/>
        <v>F</v>
      </c>
    </row>
    <row r="765" spans="1:17" hidden="1" x14ac:dyDescent="0.3">
      <c r="A765">
        <v>9453</v>
      </c>
      <c r="B765">
        <v>801</v>
      </c>
      <c r="C765">
        <v>149</v>
      </c>
      <c r="D765" t="s">
        <v>19</v>
      </c>
      <c r="E765" t="s">
        <v>20</v>
      </c>
      <c r="F765" t="s">
        <v>21</v>
      </c>
      <c r="G765" t="s">
        <v>18</v>
      </c>
      <c r="H765">
        <v>275.8</v>
      </c>
      <c r="I765">
        <v>245.5</v>
      </c>
      <c r="J765">
        <v>93.1</v>
      </c>
      <c r="K765">
        <v>67</v>
      </c>
      <c r="L765">
        <v>28.1</v>
      </c>
      <c r="M765">
        <v>7</v>
      </c>
      <c r="N765">
        <v>0.168826229861266</v>
      </c>
      <c r="O765">
        <v>0.102810780644086</v>
      </c>
      <c r="P765" t="str">
        <f t="shared" si="22"/>
        <v>F</v>
      </c>
      <c r="Q765" t="str">
        <f t="shared" si="23"/>
        <v>F</v>
      </c>
    </row>
    <row r="766" spans="1:17" hidden="1" x14ac:dyDescent="0.3">
      <c r="A766">
        <v>9454</v>
      </c>
      <c r="B766">
        <v>801</v>
      </c>
      <c r="C766">
        <v>149</v>
      </c>
      <c r="D766" t="s">
        <v>19</v>
      </c>
      <c r="E766" t="s">
        <v>20</v>
      </c>
      <c r="F766" t="s">
        <v>21</v>
      </c>
      <c r="G766" t="s">
        <v>18</v>
      </c>
      <c r="H766">
        <v>275.8</v>
      </c>
      <c r="I766">
        <v>245.5</v>
      </c>
      <c r="J766">
        <v>93.1</v>
      </c>
      <c r="K766">
        <v>67</v>
      </c>
      <c r="L766">
        <v>28.1</v>
      </c>
      <c r="M766">
        <v>7</v>
      </c>
      <c r="N766">
        <v>0.181506639773693</v>
      </c>
      <c r="O766">
        <v>8.7886160746250594E-2</v>
      </c>
      <c r="P766" t="str">
        <f t="shared" si="22"/>
        <v>F</v>
      </c>
      <c r="Q766" t="str">
        <f t="shared" si="23"/>
        <v>F</v>
      </c>
    </row>
    <row r="767" spans="1:17" hidden="1" x14ac:dyDescent="0.3">
      <c r="A767">
        <v>9474</v>
      </c>
      <c r="B767">
        <v>807</v>
      </c>
      <c r="C767">
        <v>32</v>
      </c>
      <c r="D767" t="s">
        <v>19</v>
      </c>
      <c r="E767" t="s">
        <v>20</v>
      </c>
      <c r="F767" t="s">
        <v>17</v>
      </c>
      <c r="G767" t="s">
        <v>25</v>
      </c>
      <c r="H767">
        <v>274.8</v>
      </c>
      <c r="I767">
        <v>261</v>
      </c>
      <c r="J767">
        <v>101</v>
      </c>
      <c r="K767">
        <v>66</v>
      </c>
      <c r="L767">
        <v>24.4</v>
      </c>
      <c r="M767">
        <v>8.5</v>
      </c>
      <c r="N767">
        <v>9.8939410979901096E-2</v>
      </c>
      <c r="O767">
        <v>0.13039087741864999</v>
      </c>
      <c r="P767" t="str">
        <f t="shared" si="22"/>
        <v>F</v>
      </c>
      <c r="Q767" t="str">
        <f t="shared" si="23"/>
        <v>F</v>
      </c>
    </row>
    <row r="768" spans="1:17" hidden="1" x14ac:dyDescent="0.3">
      <c r="A768">
        <v>9475</v>
      </c>
      <c r="B768">
        <v>807</v>
      </c>
      <c r="C768">
        <v>32</v>
      </c>
      <c r="D768" t="s">
        <v>19</v>
      </c>
      <c r="E768" t="s">
        <v>20</v>
      </c>
      <c r="F768" t="s">
        <v>17</v>
      </c>
      <c r="G768" t="s">
        <v>25</v>
      </c>
      <c r="H768">
        <v>274.8</v>
      </c>
      <c r="I768">
        <v>261</v>
      </c>
      <c r="J768">
        <v>101</v>
      </c>
      <c r="K768">
        <v>66</v>
      </c>
      <c r="L768">
        <v>24.4</v>
      </c>
      <c r="M768">
        <v>8.5</v>
      </c>
      <c r="N768">
        <v>0.105797321430507</v>
      </c>
      <c r="O768">
        <v>0.141311459382647</v>
      </c>
      <c r="P768" t="str">
        <f t="shared" si="22"/>
        <v>F</v>
      </c>
      <c r="Q768" t="str">
        <f t="shared" si="23"/>
        <v>F</v>
      </c>
    </row>
    <row r="769" spans="1:17" hidden="1" x14ac:dyDescent="0.3">
      <c r="A769">
        <v>9476</v>
      </c>
      <c r="B769">
        <v>807</v>
      </c>
      <c r="C769">
        <v>32</v>
      </c>
      <c r="D769" t="s">
        <v>19</v>
      </c>
      <c r="E769" t="s">
        <v>20</v>
      </c>
      <c r="F769" t="s">
        <v>17</v>
      </c>
      <c r="G769" t="s">
        <v>25</v>
      </c>
      <c r="H769">
        <v>274.8</v>
      </c>
      <c r="I769">
        <v>261</v>
      </c>
      <c r="J769">
        <v>101</v>
      </c>
      <c r="K769">
        <v>66</v>
      </c>
      <c r="L769">
        <v>24.4</v>
      </c>
      <c r="M769">
        <v>8.5</v>
      </c>
      <c r="N769">
        <v>0.110001123577915</v>
      </c>
      <c r="O769">
        <v>0.14422345228609701</v>
      </c>
      <c r="P769" t="str">
        <f t="shared" si="22"/>
        <v>F</v>
      </c>
      <c r="Q769" t="str">
        <f t="shared" si="23"/>
        <v>F</v>
      </c>
    </row>
    <row r="770" spans="1:17" hidden="1" x14ac:dyDescent="0.3">
      <c r="A770">
        <v>9477</v>
      </c>
      <c r="B770">
        <v>807</v>
      </c>
      <c r="C770">
        <v>32</v>
      </c>
      <c r="D770" t="s">
        <v>19</v>
      </c>
      <c r="E770" t="s">
        <v>20</v>
      </c>
      <c r="F770" t="s">
        <v>17</v>
      </c>
      <c r="G770" t="s">
        <v>25</v>
      </c>
      <c r="H770">
        <v>274.8</v>
      </c>
      <c r="I770">
        <v>261</v>
      </c>
      <c r="J770">
        <v>101</v>
      </c>
      <c r="K770">
        <v>66</v>
      </c>
      <c r="L770">
        <v>24.4</v>
      </c>
      <c r="M770">
        <v>8.5</v>
      </c>
      <c r="N770">
        <v>0.115056515698938</v>
      </c>
      <c r="O770">
        <v>0.154612384760934</v>
      </c>
      <c r="P770" t="str">
        <f t="shared" si="22"/>
        <v>F</v>
      </c>
      <c r="Q770" t="str">
        <f t="shared" si="23"/>
        <v>F</v>
      </c>
    </row>
    <row r="771" spans="1:17" hidden="1" x14ac:dyDescent="0.3">
      <c r="A771">
        <v>9478</v>
      </c>
      <c r="B771">
        <v>807</v>
      </c>
      <c r="C771">
        <v>32</v>
      </c>
      <c r="D771" t="s">
        <v>19</v>
      </c>
      <c r="E771" t="s">
        <v>20</v>
      </c>
      <c r="F771" t="s">
        <v>17</v>
      </c>
      <c r="G771" t="s">
        <v>25</v>
      </c>
      <c r="H771">
        <v>274.8</v>
      </c>
      <c r="I771">
        <v>261</v>
      </c>
      <c r="J771">
        <v>101</v>
      </c>
      <c r="K771">
        <v>66</v>
      </c>
      <c r="L771">
        <v>24.4</v>
      </c>
      <c r="M771">
        <v>8.5</v>
      </c>
      <c r="N771">
        <v>0.13647302986739199</v>
      </c>
      <c r="O771">
        <v>0.12556190437120299</v>
      </c>
      <c r="P771" t="str">
        <f t="shared" ref="P771:P820" si="24">IF(N771&lt;0.06641, "T", "F")</f>
        <v>F</v>
      </c>
      <c r="Q771" t="str">
        <f t="shared" ref="Q771:Q820" si="25">IF(O771&lt;0.027899, "T", "F")</f>
        <v>F</v>
      </c>
    </row>
    <row r="772" spans="1:17" hidden="1" x14ac:dyDescent="0.3">
      <c r="A772">
        <v>9480</v>
      </c>
      <c r="B772">
        <v>809</v>
      </c>
      <c r="C772">
        <v>298</v>
      </c>
      <c r="D772" t="s">
        <v>19</v>
      </c>
      <c r="E772" t="s">
        <v>20</v>
      </c>
      <c r="F772" t="s">
        <v>21</v>
      </c>
      <c r="G772" t="s">
        <v>24</v>
      </c>
      <c r="H772">
        <v>275.60000000000002</v>
      </c>
      <c r="I772">
        <v>251</v>
      </c>
      <c r="J772">
        <v>95.1</v>
      </c>
      <c r="K772">
        <v>66.5</v>
      </c>
      <c r="L772">
        <v>25.3</v>
      </c>
      <c r="M772">
        <v>10.5</v>
      </c>
      <c r="N772">
        <v>0.31054789754176099</v>
      </c>
      <c r="O772">
        <v>8.2878622945235098E-2</v>
      </c>
      <c r="P772" t="str">
        <f t="shared" si="24"/>
        <v>F</v>
      </c>
      <c r="Q772" t="str">
        <f t="shared" si="25"/>
        <v>F</v>
      </c>
    </row>
    <row r="773" spans="1:17" hidden="1" x14ac:dyDescent="0.3">
      <c r="A773">
        <v>9483</v>
      </c>
      <c r="B773">
        <v>810</v>
      </c>
      <c r="C773">
        <v>233</v>
      </c>
      <c r="D773" t="s">
        <v>19</v>
      </c>
      <c r="E773" t="s">
        <v>20</v>
      </c>
      <c r="F773" t="s">
        <v>21</v>
      </c>
      <c r="G773" t="s">
        <v>22</v>
      </c>
      <c r="H773">
        <v>274.7</v>
      </c>
      <c r="I773">
        <v>248.5</v>
      </c>
      <c r="J773">
        <v>95.9</v>
      </c>
      <c r="K773">
        <v>63.5</v>
      </c>
      <c r="L773">
        <v>27.6</v>
      </c>
      <c r="M773">
        <v>11</v>
      </c>
      <c r="N773">
        <v>4.1271954127953099E-2</v>
      </c>
      <c r="O773">
        <v>0.117374663229512</v>
      </c>
      <c r="P773" t="str">
        <f t="shared" si="24"/>
        <v>T</v>
      </c>
      <c r="Q773" t="str">
        <f t="shared" si="25"/>
        <v>F</v>
      </c>
    </row>
    <row r="774" spans="1:17" hidden="1" x14ac:dyDescent="0.3">
      <c r="A774">
        <v>9569</v>
      </c>
      <c r="B774">
        <v>848</v>
      </c>
      <c r="C774">
        <v>400</v>
      </c>
      <c r="D774" t="s">
        <v>19</v>
      </c>
      <c r="E774" t="s">
        <v>20</v>
      </c>
      <c r="F774" t="s">
        <v>21</v>
      </c>
      <c r="G774" t="s">
        <v>26</v>
      </c>
      <c r="H774">
        <v>274.10000000000002</v>
      </c>
      <c r="I774">
        <v>253</v>
      </c>
      <c r="J774">
        <v>96.6</v>
      </c>
      <c r="K774">
        <v>66.5</v>
      </c>
      <c r="L774">
        <v>25.5</v>
      </c>
      <c r="M774">
        <v>12</v>
      </c>
      <c r="N774">
        <v>5.4083843225789997E-2</v>
      </c>
      <c r="O774">
        <v>9.7233300893212499E-2</v>
      </c>
      <c r="P774" t="str">
        <f t="shared" si="24"/>
        <v>T</v>
      </c>
      <c r="Q774" t="str">
        <f t="shared" si="25"/>
        <v>F</v>
      </c>
    </row>
    <row r="775" spans="1:17" hidden="1" x14ac:dyDescent="0.3">
      <c r="A775">
        <v>9570</v>
      </c>
      <c r="B775">
        <v>848</v>
      </c>
      <c r="C775">
        <v>400</v>
      </c>
      <c r="D775" t="s">
        <v>19</v>
      </c>
      <c r="E775" t="s">
        <v>20</v>
      </c>
      <c r="F775" t="s">
        <v>21</v>
      </c>
      <c r="G775" t="s">
        <v>26</v>
      </c>
      <c r="H775">
        <v>274.10000000000002</v>
      </c>
      <c r="I775">
        <v>253</v>
      </c>
      <c r="J775">
        <v>96.6</v>
      </c>
      <c r="K775">
        <v>66.5</v>
      </c>
      <c r="L775">
        <v>25.5</v>
      </c>
      <c r="M775">
        <v>12</v>
      </c>
      <c r="N775">
        <v>6.3374503116801803E-2</v>
      </c>
      <c r="O775">
        <v>8.0981278957766398E-2</v>
      </c>
      <c r="P775" t="str">
        <f t="shared" si="24"/>
        <v>T</v>
      </c>
      <c r="Q775" t="str">
        <f t="shared" si="25"/>
        <v>F</v>
      </c>
    </row>
    <row r="776" spans="1:17" hidden="1" x14ac:dyDescent="0.3">
      <c r="A776">
        <v>9583</v>
      </c>
      <c r="B776">
        <v>854</v>
      </c>
      <c r="C776">
        <v>29</v>
      </c>
      <c r="D776" t="s">
        <v>19</v>
      </c>
      <c r="E776" t="s">
        <v>20</v>
      </c>
      <c r="F776" t="s">
        <v>17</v>
      </c>
      <c r="G776" t="s">
        <v>24</v>
      </c>
      <c r="H776">
        <v>276.60000000000002</v>
      </c>
      <c r="I776">
        <v>256.5</v>
      </c>
      <c r="J776">
        <v>98.4</v>
      </c>
      <c r="K776">
        <v>67.5</v>
      </c>
      <c r="L776">
        <v>28.3</v>
      </c>
      <c r="M776">
        <v>8</v>
      </c>
      <c r="N776">
        <v>0.19900601482517599</v>
      </c>
      <c r="O776">
        <v>9.2775477369904505E-2</v>
      </c>
      <c r="P776" t="str">
        <f t="shared" si="24"/>
        <v>F</v>
      </c>
      <c r="Q776" t="str">
        <f t="shared" si="25"/>
        <v>F</v>
      </c>
    </row>
    <row r="777" spans="1:17" hidden="1" x14ac:dyDescent="0.3">
      <c r="A777">
        <v>9584</v>
      </c>
      <c r="B777">
        <v>854</v>
      </c>
      <c r="C777">
        <v>29</v>
      </c>
      <c r="D777" t="s">
        <v>19</v>
      </c>
      <c r="E777" t="s">
        <v>20</v>
      </c>
      <c r="F777" t="s">
        <v>17</v>
      </c>
      <c r="G777" t="s">
        <v>24</v>
      </c>
      <c r="H777">
        <v>276.60000000000002</v>
      </c>
      <c r="I777">
        <v>256.5</v>
      </c>
      <c r="J777">
        <v>98.4</v>
      </c>
      <c r="K777">
        <v>67.5</v>
      </c>
      <c r="L777">
        <v>28.3</v>
      </c>
      <c r="M777">
        <v>8</v>
      </c>
      <c r="N777">
        <v>0.22233539954730699</v>
      </c>
      <c r="O777">
        <v>0.10889778911810399</v>
      </c>
      <c r="P777" t="str">
        <f t="shared" si="24"/>
        <v>F</v>
      </c>
      <c r="Q777" t="str">
        <f t="shared" si="25"/>
        <v>F</v>
      </c>
    </row>
    <row r="778" spans="1:17" hidden="1" x14ac:dyDescent="0.3">
      <c r="A778">
        <v>9585</v>
      </c>
      <c r="B778">
        <v>854</v>
      </c>
      <c r="C778">
        <v>29</v>
      </c>
      <c r="D778" t="s">
        <v>19</v>
      </c>
      <c r="E778" t="s">
        <v>20</v>
      </c>
      <c r="F778" t="s">
        <v>17</v>
      </c>
      <c r="G778" t="s">
        <v>24</v>
      </c>
      <c r="H778">
        <v>276.60000000000002</v>
      </c>
      <c r="I778">
        <v>256.5</v>
      </c>
      <c r="J778">
        <v>98.4</v>
      </c>
      <c r="K778">
        <v>67.5</v>
      </c>
      <c r="L778">
        <v>28.3</v>
      </c>
      <c r="M778">
        <v>8</v>
      </c>
      <c r="N778">
        <v>0.193541380262542</v>
      </c>
      <c r="O778">
        <v>8.9279532528375297E-2</v>
      </c>
      <c r="P778" t="str">
        <f t="shared" si="24"/>
        <v>F</v>
      </c>
      <c r="Q778" t="str">
        <f t="shared" si="25"/>
        <v>F</v>
      </c>
    </row>
    <row r="779" spans="1:17" hidden="1" x14ac:dyDescent="0.3">
      <c r="A779">
        <v>9586</v>
      </c>
      <c r="B779">
        <v>854</v>
      </c>
      <c r="C779">
        <v>29</v>
      </c>
      <c r="D779" t="s">
        <v>19</v>
      </c>
      <c r="E779" t="s">
        <v>20</v>
      </c>
      <c r="F779" t="s">
        <v>17</v>
      </c>
      <c r="G779" t="s">
        <v>24</v>
      </c>
      <c r="H779">
        <v>276.60000000000002</v>
      </c>
      <c r="I779">
        <v>256.5</v>
      </c>
      <c r="J779">
        <v>98.4</v>
      </c>
      <c r="K779">
        <v>67.5</v>
      </c>
      <c r="L779">
        <v>28.3</v>
      </c>
      <c r="M779">
        <v>8</v>
      </c>
      <c r="N779">
        <v>0.22064567810028099</v>
      </c>
      <c r="O779">
        <v>8.5001298995389801E-2</v>
      </c>
      <c r="P779" t="str">
        <f t="shared" si="24"/>
        <v>F</v>
      </c>
      <c r="Q779" t="str">
        <f t="shared" si="25"/>
        <v>F</v>
      </c>
    </row>
    <row r="780" spans="1:17" hidden="1" x14ac:dyDescent="0.3">
      <c r="A780">
        <v>9591</v>
      </c>
      <c r="B780">
        <v>857</v>
      </c>
      <c r="C780">
        <v>112</v>
      </c>
      <c r="D780" t="s">
        <v>19</v>
      </c>
      <c r="E780" t="s">
        <v>20</v>
      </c>
      <c r="F780" t="s">
        <v>17</v>
      </c>
      <c r="G780" t="s">
        <v>26</v>
      </c>
      <c r="H780">
        <v>277.2</v>
      </c>
      <c r="I780">
        <v>249</v>
      </c>
      <c r="J780">
        <v>95</v>
      </c>
      <c r="K780">
        <v>64</v>
      </c>
      <c r="L780">
        <v>29.1</v>
      </c>
      <c r="M780">
        <v>7</v>
      </c>
      <c r="N780">
        <v>0.142216792782552</v>
      </c>
      <c r="O780">
        <v>0.10065690015253501</v>
      </c>
      <c r="P780" t="str">
        <f t="shared" si="24"/>
        <v>F</v>
      </c>
      <c r="Q780" t="str">
        <f t="shared" si="25"/>
        <v>F</v>
      </c>
    </row>
    <row r="781" spans="1:17" hidden="1" x14ac:dyDescent="0.3">
      <c r="A781">
        <v>9592</v>
      </c>
      <c r="B781">
        <v>857</v>
      </c>
      <c r="C781">
        <v>112</v>
      </c>
      <c r="D781" t="s">
        <v>19</v>
      </c>
      <c r="E781" t="s">
        <v>20</v>
      </c>
      <c r="F781" t="s">
        <v>17</v>
      </c>
      <c r="G781" t="s">
        <v>26</v>
      </c>
      <c r="H781">
        <v>277.2</v>
      </c>
      <c r="I781">
        <v>249</v>
      </c>
      <c r="J781">
        <v>95</v>
      </c>
      <c r="K781">
        <v>64</v>
      </c>
      <c r="L781">
        <v>29.1</v>
      </c>
      <c r="M781">
        <v>7</v>
      </c>
      <c r="N781">
        <v>0.173259996610551</v>
      </c>
      <c r="O781">
        <v>9.0117169761201293E-2</v>
      </c>
      <c r="P781" t="str">
        <f t="shared" si="24"/>
        <v>F</v>
      </c>
      <c r="Q781" t="str">
        <f t="shared" si="25"/>
        <v>F</v>
      </c>
    </row>
    <row r="782" spans="1:17" hidden="1" x14ac:dyDescent="0.3">
      <c r="A782">
        <v>9593</v>
      </c>
      <c r="B782">
        <v>857</v>
      </c>
      <c r="C782">
        <v>112</v>
      </c>
      <c r="D782" t="s">
        <v>19</v>
      </c>
      <c r="E782" t="s">
        <v>20</v>
      </c>
      <c r="F782" t="s">
        <v>17</v>
      </c>
      <c r="G782" t="s">
        <v>26</v>
      </c>
      <c r="H782">
        <v>277.2</v>
      </c>
      <c r="I782">
        <v>249</v>
      </c>
      <c r="J782">
        <v>95</v>
      </c>
      <c r="K782">
        <v>64</v>
      </c>
      <c r="L782">
        <v>29.1</v>
      </c>
      <c r="M782">
        <v>7</v>
      </c>
      <c r="N782">
        <v>0.16172045595693599</v>
      </c>
      <c r="O782">
        <v>0.12349253226504101</v>
      </c>
      <c r="P782" t="str">
        <f t="shared" si="24"/>
        <v>F</v>
      </c>
      <c r="Q782" t="str">
        <f t="shared" si="25"/>
        <v>F</v>
      </c>
    </row>
    <row r="783" spans="1:17" hidden="1" x14ac:dyDescent="0.3">
      <c r="A783">
        <v>9594</v>
      </c>
      <c r="B783">
        <v>857</v>
      </c>
      <c r="C783">
        <v>112</v>
      </c>
      <c r="D783" t="s">
        <v>19</v>
      </c>
      <c r="E783" t="s">
        <v>20</v>
      </c>
      <c r="F783" t="s">
        <v>17</v>
      </c>
      <c r="G783" t="s">
        <v>26</v>
      </c>
      <c r="H783">
        <v>277.2</v>
      </c>
      <c r="I783">
        <v>249</v>
      </c>
      <c r="J783">
        <v>95</v>
      </c>
      <c r="K783">
        <v>64</v>
      </c>
      <c r="L783">
        <v>29.1</v>
      </c>
      <c r="M783">
        <v>7</v>
      </c>
      <c r="N783">
        <v>0.181720774226066</v>
      </c>
      <c r="O783">
        <v>0.10552121562739999</v>
      </c>
      <c r="P783" t="str">
        <f t="shared" si="24"/>
        <v>F</v>
      </c>
      <c r="Q783" t="str">
        <f t="shared" si="25"/>
        <v>F</v>
      </c>
    </row>
    <row r="784" spans="1:17" hidden="1" x14ac:dyDescent="0.3">
      <c r="A784">
        <v>9595</v>
      </c>
      <c r="B784">
        <v>857</v>
      </c>
      <c r="C784">
        <v>112</v>
      </c>
      <c r="D784" t="s">
        <v>19</v>
      </c>
      <c r="E784" t="s">
        <v>20</v>
      </c>
      <c r="F784" t="s">
        <v>17</v>
      </c>
      <c r="G784" t="s">
        <v>26</v>
      </c>
      <c r="H784">
        <v>277.2</v>
      </c>
      <c r="I784">
        <v>249</v>
      </c>
      <c r="J784">
        <v>95</v>
      </c>
      <c r="K784">
        <v>64</v>
      </c>
      <c r="L784">
        <v>29.1</v>
      </c>
      <c r="M784">
        <v>7</v>
      </c>
      <c r="N784">
        <v>0.14497114561594801</v>
      </c>
      <c r="O784">
        <v>0.115332267786338</v>
      </c>
      <c r="P784" t="str">
        <f t="shared" si="24"/>
        <v>F</v>
      </c>
      <c r="Q784" t="str">
        <f t="shared" si="25"/>
        <v>F</v>
      </c>
    </row>
    <row r="785" spans="1:17" hidden="1" x14ac:dyDescent="0.3">
      <c r="A785">
        <v>9596</v>
      </c>
      <c r="B785">
        <v>857</v>
      </c>
      <c r="C785">
        <v>112</v>
      </c>
      <c r="D785" t="s">
        <v>19</v>
      </c>
      <c r="E785" t="s">
        <v>20</v>
      </c>
      <c r="F785" t="s">
        <v>17</v>
      </c>
      <c r="G785" t="s">
        <v>26</v>
      </c>
      <c r="H785">
        <v>277.2</v>
      </c>
      <c r="I785">
        <v>249</v>
      </c>
      <c r="J785">
        <v>95</v>
      </c>
      <c r="K785">
        <v>64</v>
      </c>
      <c r="L785">
        <v>29.1</v>
      </c>
      <c r="M785">
        <v>7</v>
      </c>
      <c r="N785">
        <v>0.162562677203094</v>
      </c>
      <c r="O785">
        <v>0.103616188680969</v>
      </c>
      <c r="P785" t="str">
        <f t="shared" si="24"/>
        <v>F</v>
      </c>
      <c r="Q785" t="str">
        <f t="shared" si="25"/>
        <v>F</v>
      </c>
    </row>
    <row r="786" spans="1:17" hidden="1" x14ac:dyDescent="0.3">
      <c r="A786">
        <v>9597</v>
      </c>
      <c r="B786">
        <v>857</v>
      </c>
      <c r="C786">
        <v>112</v>
      </c>
      <c r="D786" t="s">
        <v>19</v>
      </c>
      <c r="E786" t="s">
        <v>20</v>
      </c>
      <c r="F786" t="s">
        <v>17</v>
      </c>
      <c r="G786" t="s">
        <v>26</v>
      </c>
      <c r="H786">
        <v>277.2</v>
      </c>
      <c r="I786">
        <v>249</v>
      </c>
      <c r="J786">
        <v>95</v>
      </c>
      <c r="K786">
        <v>64</v>
      </c>
      <c r="L786">
        <v>29.1</v>
      </c>
      <c r="M786">
        <v>7</v>
      </c>
      <c r="N786">
        <v>0.14334043288961301</v>
      </c>
      <c r="O786">
        <v>0.118935969607771</v>
      </c>
      <c r="P786" t="str">
        <f t="shared" si="24"/>
        <v>F</v>
      </c>
      <c r="Q786" t="str">
        <f t="shared" si="25"/>
        <v>F</v>
      </c>
    </row>
    <row r="787" spans="1:17" hidden="1" x14ac:dyDescent="0.3">
      <c r="A787">
        <v>9603</v>
      </c>
      <c r="B787">
        <v>860</v>
      </c>
      <c r="C787">
        <v>18</v>
      </c>
      <c r="D787" t="s">
        <v>19</v>
      </c>
      <c r="E787" t="s">
        <v>20</v>
      </c>
      <c r="F787" t="s">
        <v>21</v>
      </c>
      <c r="G787" t="s">
        <v>22</v>
      </c>
      <c r="H787">
        <v>271.39999999999998</v>
      </c>
      <c r="I787">
        <v>244</v>
      </c>
      <c r="J787">
        <v>97.3</v>
      </c>
      <c r="K787">
        <v>64</v>
      </c>
      <c r="L787">
        <v>23.3</v>
      </c>
      <c r="M787">
        <v>6.5</v>
      </c>
      <c r="N787">
        <v>0.266690122522732</v>
      </c>
      <c r="O787">
        <v>2.1690335331335599E-2</v>
      </c>
      <c r="P787" t="str">
        <f t="shared" si="24"/>
        <v>F</v>
      </c>
      <c r="Q787" t="str">
        <f t="shared" si="25"/>
        <v>T</v>
      </c>
    </row>
    <row r="788" spans="1:17" hidden="1" x14ac:dyDescent="0.3">
      <c r="A788">
        <v>9617</v>
      </c>
      <c r="B788">
        <v>867</v>
      </c>
      <c r="C788">
        <v>341</v>
      </c>
      <c r="D788" t="s">
        <v>19</v>
      </c>
      <c r="E788" t="s">
        <v>20</v>
      </c>
      <c r="F788" t="s">
        <v>21</v>
      </c>
      <c r="G788" t="s">
        <v>25</v>
      </c>
      <c r="H788">
        <v>273</v>
      </c>
      <c r="I788">
        <v>246.5</v>
      </c>
      <c r="J788">
        <v>95.4</v>
      </c>
      <c r="K788">
        <v>66.5</v>
      </c>
      <c r="L788">
        <v>26.4</v>
      </c>
      <c r="M788">
        <v>11</v>
      </c>
      <c r="N788">
        <v>0.31132388233831099</v>
      </c>
      <c r="O788">
        <v>8.6250734980047497E-2</v>
      </c>
      <c r="P788" t="str">
        <f t="shared" si="24"/>
        <v>F</v>
      </c>
      <c r="Q788" t="str">
        <f t="shared" si="25"/>
        <v>F</v>
      </c>
    </row>
    <row r="789" spans="1:17" hidden="1" x14ac:dyDescent="0.3">
      <c r="A789">
        <v>9618</v>
      </c>
      <c r="B789">
        <v>867</v>
      </c>
      <c r="C789">
        <v>341</v>
      </c>
      <c r="D789" t="s">
        <v>19</v>
      </c>
      <c r="E789" t="s">
        <v>20</v>
      </c>
      <c r="F789" t="s">
        <v>21</v>
      </c>
      <c r="G789" t="s">
        <v>25</v>
      </c>
      <c r="H789">
        <v>273</v>
      </c>
      <c r="I789">
        <v>246.5</v>
      </c>
      <c r="J789">
        <v>95.4</v>
      </c>
      <c r="K789">
        <v>66.5</v>
      </c>
      <c r="L789">
        <v>26.4</v>
      </c>
      <c r="M789">
        <v>11</v>
      </c>
      <c r="N789">
        <v>0.30494930099724499</v>
      </c>
      <c r="O789">
        <v>8.0491004524113105E-2</v>
      </c>
      <c r="P789" t="str">
        <f t="shared" si="24"/>
        <v>F</v>
      </c>
      <c r="Q789" t="str">
        <f t="shared" si="25"/>
        <v>F</v>
      </c>
    </row>
    <row r="790" spans="1:17" hidden="1" x14ac:dyDescent="0.3">
      <c r="A790">
        <v>9681</v>
      </c>
      <c r="B790">
        <v>89</v>
      </c>
      <c r="C790">
        <v>298</v>
      </c>
      <c r="D790" t="s">
        <v>19</v>
      </c>
      <c r="E790" t="s">
        <v>20</v>
      </c>
      <c r="F790" t="s">
        <v>21</v>
      </c>
      <c r="G790" t="s">
        <v>24</v>
      </c>
      <c r="H790">
        <v>275.60000000000002</v>
      </c>
      <c r="I790">
        <v>251</v>
      </c>
      <c r="J790">
        <v>95.1</v>
      </c>
      <c r="K790">
        <v>66.5</v>
      </c>
      <c r="L790">
        <v>25.3</v>
      </c>
      <c r="M790">
        <v>10.5</v>
      </c>
      <c r="N790">
        <v>0.28681240425292198</v>
      </c>
      <c r="O790">
        <v>8.0433438214362302E-2</v>
      </c>
      <c r="P790" t="str">
        <f t="shared" si="24"/>
        <v>F</v>
      </c>
      <c r="Q790" t="str">
        <f t="shared" si="25"/>
        <v>F</v>
      </c>
    </row>
    <row r="791" spans="1:17" hidden="1" x14ac:dyDescent="0.3">
      <c r="A791">
        <v>9682</v>
      </c>
      <c r="B791">
        <v>89</v>
      </c>
      <c r="C791">
        <v>298</v>
      </c>
      <c r="D791" t="s">
        <v>19</v>
      </c>
      <c r="E791" t="s">
        <v>20</v>
      </c>
      <c r="F791" t="s">
        <v>21</v>
      </c>
      <c r="G791" t="s">
        <v>24</v>
      </c>
      <c r="H791">
        <v>275.60000000000002</v>
      </c>
      <c r="I791">
        <v>251</v>
      </c>
      <c r="J791">
        <v>95.1</v>
      </c>
      <c r="K791">
        <v>66.5</v>
      </c>
      <c r="L791">
        <v>25.3</v>
      </c>
      <c r="M791">
        <v>10.5</v>
      </c>
      <c r="N791">
        <v>0.28524188548910201</v>
      </c>
      <c r="O791">
        <v>7.3756810626197697E-2</v>
      </c>
      <c r="P791" t="str">
        <f t="shared" si="24"/>
        <v>F</v>
      </c>
      <c r="Q791" t="str">
        <f t="shared" si="25"/>
        <v>F</v>
      </c>
    </row>
    <row r="792" spans="1:17" hidden="1" x14ac:dyDescent="0.3">
      <c r="A792">
        <v>9683</v>
      </c>
      <c r="B792">
        <v>89</v>
      </c>
      <c r="C792">
        <v>298</v>
      </c>
      <c r="D792" t="s">
        <v>19</v>
      </c>
      <c r="E792" t="s">
        <v>20</v>
      </c>
      <c r="F792" t="s">
        <v>21</v>
      </c>
      <c r="G792" t="s">
        <v>24</v>
      </c>
      <c r="H792">
        <v>275.60000000000002</v>
      </c>
      <c r="I792">
        <v>251</v>
      </c>
      <c r="J792">
        <v>95.1</v>
      </c>
      <c r="K792">
        <v>66.5</v>
      </c>
      <c r="L792">
        <v>25.3</v>
      </c>
      <c r="M792">
        <v>10.5</v>
      </c>
      <c r="N792">
        <v>0.30128186973127002</v>
      </c>
      <c r="O792">
        <v>5.0112167085876597E-2</v>
      </c>
      <c r="P792" t="str">
        <f t="shared" si="24"/>
        <v>F</v>
      </c>
      <c r="Q792" t="str">
        <f t="shared" si="25"/>
        <v>F</v>
      </c>
    </row>
    <row r="793" spans="1:17" hidden="1" x14ac:dyDescent="0.3">
      <c r="A793">
        <v>9684</v>
      </c>
      <c r="B793">
        <v>89</v>
      </c>
      <c r="C793">
        <v>298</v>
      </c>
      <c r="D793" t="s">
        <v>19</v>
      </c>
      <c r="E793" t="s">
        <v>20</v>
      </c>
      <c r="F793" t="s">
        <v>21</v>
      </c>
      <c r="G793" t="s">
        <v>24</v>
      </c>
      <c r="H793">
        <v>275.60000000000002</v>
      </c>
      <c r="I793">
        <v>251</v>
      </c>
      <c r="J793">
        <v>95.1</v>
      </c>
      <c r="K793">
        <v>66.5</v>
      </c>
      <c r="L793">
        <v>25.3</v>
      </c>
      <c r="M793">
        <v>10.5</v>
      </c>
      <c r="N793">
        <v>0.28220553677403198</v>
      </c>
      <c r="O793">
        <v>8.3195005315580106E-2</v>
      </c>
      <c r="P793" t="str">
        <f t="shared" si="24"/>
        <v>F</v>
      </c>
      <c r="Q793" t="str">
        <f t="shared" si="25"/>
        <v>F</v>
      </c>
    </row>
    <row r="794" spans="1:17" hidden="1" x14ac:dyDescent="0.3">
      <c r="A794">
        <v>9685</v>
      </c>
      <c r="B794">
        <v>89</v>
      </c>
      <c r="C794">
        <v>298</v>
      </c>
      <c r="D794" t="s">
        <v>19</v>
      </c>
      <c r="E794" t="s">
        <v>20</v>
      </c>
      <c r="F794" t="s">
        <v>21</v>
      </c>
      <c r="G794" t="s">
        <v>24</v>
      </c>
      <c r="H794">
        <v>275.60000000000002</v>
      </c>
      <c r="I794">
        <v>251</v>
      </c>
      <c r="J794">
        <v>95.1</v>
      </c>
      <c r="K794">
        <v>66.5</v>
      </c>
      <c r="L794">
        <v>25.3</v>
      </c>
      <c r="M794">
        <v>10.5</v>
      </c>
      <c r="N794">
        <v>0.28995926938530298</v>
      </c>
      <c r="O794">
        <v>7.5768286198428597E-2</v>
      </c>
      <c r="P794" t="str">
        <f t="shared" si="24"/>
        <v>F</v>
      </c>
      <c r="Q794" t="str">
        <f t="shared" si="25"/>
        <v>F</v>
      </c>
    </row>
    <row r="795" spans="1:17" hidden="1" x14ac:dyDescent="0.3">
      <c r="A795">
        <v>9712</v>
      </c>
      <c r="B795">
        <v>898</v>
      </c>
      <c r="C795">
        <v>345</v>
      </c>
      <c r="D795" t="s">
        <v>19</v>
      </c>
      <c r="E795" t="s">
        <v>20</v>
      </c>
      <c r="F795" t="s">
        <v>21</v>
      </c>
      <c r="G795" t="s">
        <v>18</v>
      </c>
      <c r="H795">
        <v>277.60000000000002</v>
      </c>
      <c r="I795">
        <v>252.5</v>
      </c>
      <c r="J795">
        <v>98.4</v>
      </c>
      <c r="K795">
        <v>67.5</v>
      </c>
      <c r="L795">
        <v>25.8</v>
      </c>
      <c r="M795">
        <v>13.5</v>
      </c>
      <c r="N795">
        <v>0.13951215849710299</v>
      </c>
      <c r="O795">
        <v>0.117927909787822</v>
      </c>
      <c r="P795" t="str">
        <f t="shared" si="24"/>
        <v>F</v>
      </c>
      <c r="Q795" t="str">
        <f t="shared" si="25"/>
        <v>F</v>
      </c>
    </row>
    <row r="796" spans="1:17" hidden="1" x14ac:dyDescent="0.3">
      <c r="A796">
        <v>9713</v>
      </c>
      <c r="B796">
        <v>898</v>
      </c>
      <c r="C796">
        <v>345</v>
      </c>
      <c r="D796" t="s">
        <v>19</v>
      </c>
      <c r="E796" t="s">
        <v>20</v>
      </c>
      <c r="F796" t="s">
        <v>21</v>
      </c>
      <c r="G796" t="s">
        <v>18</v>
      </c>
      <c r="H796">
        <v>277.60000000000002</v>
      </c>
      <c r="I796">
        <v>252.5</v>
      </c>
      <c r="J796">
        <v>98.4</v>
      </c>
      <c r="K796">
        <v>67.5</v>
      </c>
      <c r="L796">
        <v>25.8</v>
      </c>
      <c r="M796">
        <v>13.5</v>
      </c>
      <c r="N796">
        <v>0.13224483445601101</v>
      </c>
      <c r="O796">
        <v>0.12870804573324801</v>
      </c>
      <c r="P796" t="str">
        <f t="shared" si="24"/>
        <v>F</v>
      </c>
      <c r="Q796" t="str">
        <f t="shared" si="25"/>
        <v>F</v>
      </c>
    </row>
    <row r="797" spans="1:17" hidden="1" x14ac:dyDescent="0.3">
      <c r="A797">
        <v>9714</v>
      </c>
      <c r="B797">
        <v>898</v>
      </c>
      <c r="C797">
        <v>345</v>
      </c>
      <c r="D797" t="s">
        <v>19</v>
      </c>
      <c r="E797" t="s">
        <v>20</v>
      </c>
      <c r="F797" t="s">
        <v>21</v>
      </c>
      <c r="G797" t="s">
        <v>18</v>
      </c>
      <c r="H797">
        <v>277.60000000000002</v>
      </c>
      <c r="I797">
        <v>252.5</v>
      </c>
      <c r="J797">
        <v>98.4</v>
      </c>
      <c r="K797">
        <v>67.5</v>
      </c>
      <c r="L797">
        <v>25.8</v>
      </c>
      <c r="M797">
        <v>13.5</v>
      </c>
      <c r="N797">
        <v>0.13612164561047199</v>
      </c>
      <c r="O797">
        <v>0.124757648437493</v>
      </c>
      <c r="P797" t="str">
        <f t="shared" si="24"/>
        <v>F</v>
      </c>
      <c r="Q797" t="str">
        <f t="shared" si="25"/>
        <v>F</v>
      </c>
    </row>
    <row r="798" spans="1:17" hidden="1" x14ac:dyDescent="0.3">
      <c r="A798">
        <v>9715</v>
      </c>
      <c r="B798">
        <v>898</v>
      </c>
      <c r="C798">
        <v>345</v>
      </c>
      <c r="D798" t="s">
        <v>19</v>
      </c>
      <c r="E798" t="s">
        <v>20</v>
      </c>
      <c r="F798" t="s">
        <v>21</v>
      </c>
      <c r="G798" t="s">
        <v>18</v>
      </c>
      <c r="H798">
        <v>277.60000000000002</v>
      </c>
      <c r="I798">
        <v>252.5</v>
      </c>
      <c r="J798">
        <v>98.4</v>
      </c>
      <c r="K798">
        <v>67.5</v>
      </c>
      <c r="L798">
        <v>25.8</v>
      </c>
      <c r="M798">
        <v>13.5</v>
      </c>
      <c r="N798">
        <v>0.136846744433643</v>
      </c>
      <c r="O798">
        <v>0.11775677895712</v>
      </c>
      <c r="P798" t="str">
        <f t="shared" si="24"/>
        <v>F</v>
      </c>
      <c r="Q798" t="str">
        <f t="shared" si="25"/>
        <v>F</v>
      </c>
    </row>
    <row r="799" spans="1:17" hidden="1" x14ac:dyDescent="0.3">
      <c r="A799">
        <v>9716</v>
      </c>
      <c r="B799">
        <v>898</v>
      </c>
      <c r="C799">
        <v>345</v>
      </c>
      <c r="D799" t="s">
        <v>19</v>
      </c>
      <c r="E799" t="s">
        <v>20</v>
      </c>
      <c r="F799" t="s">
        <v>21</v>
      </c>
      <c r="G799" t="s">
        <v>18</v>
      </c>
      <c r="H799">
        <v>277.60000000000002</v>
      </c>
      <c r="I799">
        <v>252.5</v>
      </c>
      <c r="J799">
        <v>98.4</v>
      </c>
      <c r="K799">
        <v>67.5</v>
      </c>
      <c r="L799">
        <v>25.8</v>
      </c>
      <c r="M799">
        <v>13.5</v>
      </c>
      <c r="N799">
        <v>0.12837161293177801</v>
      </c>
      <c r="O799">
        <v>0.126397125267037</v>
      </c>
      <c r="P799" t="str">
        <f t="shared" si="24"/>
        <v>F</v>
      </c>
      <c r="Q799" t="str">
        <f t="shared" si="25"/>
        <v>F</v>
      </c>
    </row>
    <row r="800" spans="1:17" hidden="1" x14ac:dyDescent="0.3">
      <c r="A800">
        <v>9744</v>
      </c>
      <c r="B800">
        <v>908</v>
      </c>
      <c r="C800">
        <v>320</v>
      </c>
      <c r="D800" t="s">
        <v>19</v>
      </c>
      <c r="E800" t="s">
        <v>20</v>
      </c>
      <c r="F800" t="s">
        <v>17</v>
      </c>
      <c r="G800" t="s">
        <v>25</v>
      </c>
      <c r="H800">
        <v>279</v>
      </c>
      <c r="I800">
        <v>253.5</v>
      </c>
      <c r="J800">
        <v>97.1</v>
      </c>
      <c r="K800">
        <v>64</v>
      </c>
      <c r="L800">
        <v>24</v>
      </c>
      <c r="M800">
        <v>8</v>
      </c>
      <c r="N800">
        <v>0.14793281293787799</v>
      </c>
      <c r="O800">
        <v>3.1885724901851403E-2</v>
      </c>
      <c r="P800" t="str">
        <f t="shared" si="24"/>
        <v>F</v>
      </c>
      <c r="Q800" t="str">
        <f t="shared" si="25"/>
        <v>F</v>
      </c>
    </row>
    <row r="801" spans="1:17" hidden="1" x14ac:dyDescent="0.3">
      <c r="A801">
        <v>9745</v>
      </c>
      <c r="B801">
        <v>908</v>
      </c>
      <c r="C801">
        <v>320</v>
      </c>
      <c r="D801" t="s">
        <v>19</v>
      </c>
      <c r="E801" t="s">
        <v>20</v>
      </c>
      <c r="F801" t="s">
        <v>17</v>
      </c>
      <c r="G801" t="s">
        <v>25</v>
      </c>
      <c r="H801">
        <v>279</v>
      </c>
      <c r="I801">
        <v>253.5</v>
      </c>
      <c r="J801">
        <v>97.1</v>
      </c>
      <c r="K801">
        <v>64</v>
      </c>
      <c r="L801">
        <v>24</v>
      </c>
      <c r="M801">
        <v>8</v>
      </c>
      <c r="N801">
        <v>0.151681053213652</v>
      </c>
      <c r="O801">
        <v>3.6090970747944998E-2</v>
      </c>
      <c r="P801" t="str">
        <f t="shared" si="24"/>
        <v>F</v>
      </c>
      <c r="Q801" t="str">
        <f t="shared" si="25"/>
        <v>F</v>
      </c>
    </row>
    <row r="802" spans="1:17" hidden="1" x14ac:dyDescent="0.3">
      <c r="A802">
        <v>9746</v>
      </c>
      <c r="B802">
        <v>908</v>
      </c>
      <c r="C802">
        <v>320</v>
      </c>
      <c r="D802" t="s">
        <v>19</v>
      </c>
      <c r="E802" t="s">
        <v>20</v>
      </c>
      <c r="F802" t="s">
        <v>17</v>
      </c>
      <c r="G802" t="s">
        <v>25</v>
      </c>
      <c r="H802">
        <v>279</v>
      </c>
      <c r="I802">
        <v>253.5</v>
      </c>
      <c r="J802">
        <v>97.1</v>
      </c>
      <c r="K802">
        <v>64</v>
      </c>
      <c r="L802">
        <v>24</v>
      </c>
      <c r="M802">
        <v>8</v>
      </c>
      <c r="N802">
        <v>0.136190333872245</v>
      </c>
      <c r="O802">
        <v>2.9009112023564099E-2</v>
      </c>
      <c r="P802" t="str">
        <f t="shared" si="24"/>
        <v>F</v>
      </c>
      <c r="Q802" t="str">
        <f t="shared" si="25"/>
        <v>F</v>
      </c>
    </row>
    <row r="803" spans="1:17" hidden="1" x14ac:dyDescent="0.3">
      <c r="A803">
        <v>9835</v>
      </c>
      <c r="B803">
        <v>947</v>
      </c>
      <c r="C803">
        <v>366</v>
      </c>
      <c r="D803" t="s">
        <v>19</v>
      </c>
      <c r="E803" t="s">
        <v>20</v>
      </c>
      <c r="F803" t="s">
        <v>21</v>
      </c>
      <c r="G803" t="s">
        <v>24</v>
      </c>
      <c r="H803">
        <v>275.89999999999998</v>
      </c>
      <c r="I803">
        <v>255</v>
      </c>
      <c r="J803">
        <v>94.9</v>
      </c>
      <c r="K803">
        <v>64</v>
      </c>
      <c r="L803">
        <v>26.8</v>
      </c>
      <c r="M803">
        <v>17</v>
      </c>
      <c r="N803">
        <v>0.18866046866758601</v>
      </c>
      <c r="O803">
        <v>0.17106298719860499</v>
      </c>
      <c r="P803" t="str">
        <f t="shared" si="24"/>
        <v>F</v>
      </c>
      <c r="Q803" t="str">
        <f t="shared" si="25"/>
        <v>F</v>
      </c>
    </row>
    <row r="804" spans="1:17" hidden="1" x14ac:dyDescent="0.3">
      <c r="A804">
        <v>9836</v>
      </c>
      <c r="B804">
        <v>947</v>
      </c>
      <c r="C804">
        <v>366</v>
      </c>
      <c r="D804" t="s">
        <v>19</v>
      </c>
      <c r="E804" t="s">
        <v>20</v>
      </c>
      <c r="F804" t="s">
        <v>21</v>
      </c>
      <c r="G804" t="s">
        <v>24</v>
      </c>
      <c r="H804">
        <v>275.89999999999998</v>
      </c>
      <c r="I804">
        <v>255</v>
      </c>
      <c r="J804">
        <v>94.9</v>
      </c>
      <c r="K804">
        <v>64</v>
      </c>
      <c r="L804">
        <v>26.8</v>
      </c>
      <c r="M804">
        <v>17</v>
      </c>
      <c r="N804">
        <v>0.16342266257093099</v>
      </c>
      <c r="O804">
        <v>0.14312887869612501</v>
      </c>
      <c r="P804" t="str">
        <f t="shared" si="24"/>
        <v>F</v>
      </c>
      <c r="Q804" t="str">
        <f t="shared" si="25"/>
        <v>F</v>
      </c>
    </row>
    <row r="805" spans="1:17" hidden="1" x14ac:dyDescent="0.3">
      <c r="A805">
        <v>9872</v>
      </c>
      <c r="B805">
        <v>959</v>
      </c>
      <c r="C805">
        <v>314</v>
      </c>
      <c r="D805" t="s">
        <v>19</v>
      </c>
      <c r="E805" t="s">
        <v>20</v>
      </c>
      <c r="F805" t="s">
        <v>17</v>
      </c>
      <c r="G805" t="s">
        <v>26</v>
      </c>
      <c r="H805">
        <v>273.5</v>
      </c>
      <c r="I805">
        <v>251.5</v>
      </c>
      <c r="J805">
        <v>97.5</v>
      </c>
      <c r="K805">
        <v>65</v>
      </c>
      <c r="L805">
        <v>25.5</v>
      </c>
      <c r="M805">
        <v>13</v>
      </c>
      <c r="N805">
        <v>0.222845937224628</v>
      </c>
      <c r="O805">
        <v>7.6139026662911002E-2</v>
      </c>
      <c r="P805" t="str">
        <f t="shared" si="24"/>
        <v>F</v>
      </c>
      <c r="Q805" t="str">
        <f t="shared" si="25"/>
        <v>F</v>
      </c>
    </row>
    <row r="806" spans="1:17" hidden="1" x14ac:dyDescent="0.3">
      <c r="A806">
        <v>9873</v>
      </c>
      <c r="B806">
        <v>959</v>
      </c>
      <c r="C806">
        <v>314</v>
      </c>
      <c r="D806" t="s">
        <v>19</v>
      </c>
      <c r="E806" t="s">
        <v>20</v>
      </c>
      <c r="F806" t="s">
        <v>17</v>
      </c>
      <c r="G806" t="s">
        <v>26</v>
      </c>
      <c r="H806">
        <v>273.5</v>
      </c>
      <c r="I806">
        <v>251.5</v>
      </c>
      <c r="J806">
        <v>97.5</v>
      </c>
      <c r="K806">
        <v>65</v>
      </c>
      <c r="L806">
        <v>25.5</v>
      </c>
      <c r="M806">
        <v>13</v>
      </c>
      <c r="N806">
        <v>0.23708064915048299</v>
      </c>
      <c r="O806">
        <v>9.6546847876210901E-2</v>
      </c>
      <c r="P806" t="str">
        <f t="shared" si="24"/>
        <v>F</v>
      </c>
      <c r="Q806" t="str">
        <f t="shared" si="25"/>
        <v>F</v>
      </c>
    </row>
    <row r="807" spans="1:17" hidden="1" x14ac:dyDescent="0.3">
      <c r="A807">
        <v>9874</v>
      </c>
      <c r="B807">
        <v>959</v>
      </c>
      <c r="C807">
        <v>314</v>
      </c>
      <c r="D807" t="s">
        <v>19</v>
      </c>
      <c r="E807" t="s">
        <v>20</v>
      </c>
      <c r="F807" t="s">
        <v>17</v>
      </c>
      <c r="G807" t="s">
        <v>26</v>
      </c>
      <c r="H807">
        <v>273.5</v>
      </c>
      <c r="I807">
        <v>251.5</v>
      </c>
      <c r="J807">
        <v>97.5</v>
      </c>
      <c r="K807">
        <v>65</v>
      </c>
      <c r="L807">
        <v>25.5</v>
      </c>
      <c r="M807">
        <v>13</v>
      </c>
      <c r="N807">
        <v>0.22520328830276401</v>
      </c>
      <c r="O807">
        <v>0.10163714818611801</v>
      </c>
      <c r="P807" t="str">
        <f t="shared" si="24"/>
        <v>F</v>
      </c>
      <c r="Q807" t="str">
        <f t="shared" si="25"/>
        <v>F</v>
      </c>
    </row>
    <row r="808" spans="1:17" hidden="1" x14ac:dyDescent="0.3">
      <c r="A808">
        <v>9875</v>
      </c>
      <c r="B808">
        <v>959</v>
      </c>
      <c r="C808">
        <v>314</v>
      </c>
      <c r="D808" t="s">
        <v>19</v>
      </c>
      <c r="E808" t="s">
        <v>20</v>
      </c>
      <c r="F808" t="s">
        <v>17</v>
      </c>
      <c r="G808" t="s">
        <v>26</v>
      </c>
      <c r="H808">
        <v>273.5</v>
      </c>
      <c r="I808">
        <v>251.5</v>
      </c>
      <c r="J808">
        <v>97.5</v>
      </c>
      <c r="K808">
        <v>65</v>
      </c>
      <c r="L808">
        <v>25.5</v>
      </c>
      <c r="M808">
        <v>13</v>
      </c>
      <c r="N808">
        <v>0.22685835931091</v>
      </c>
      <c r="O808">
        <v>6.7308065070009193E-2</v>
      </c>
      <c r="P808" t="str">
        <f t="shared" si="24"/>
        <v>F</v>
      </c>
      <c r="Q808" t="str">
        <f t="shared" si="25"/>
        <v>F</v>
      </c>
    </row>
    <row r="809" spans="1:17" hidden="1" x14ac:dyDescent="0.3">
      <c r="A809">
        <v>9877</v>
      </c>
      <c r="B809">
        <v>960</v>
      </c>
      <c r="C809">
        <v>27</v>
      </c>
      <c r="D809" t="s">
        <v>19</v>
      </c>
      <c r="E809" t="s">
        <v>20</v>
      </c>
      <c r="F809" t="s">
        <v>17</v>
      </c>
      <c r="G809" t="s">
        <v>18</v>
      </c>
      <c r="H809">
        <v>276.60000000000002</v>
      </c>
      <c r="I809">
        <v>251.5</v>
      </c>
      <c r="J809">
        <v>95.3</v>
      </c>
      <c r="K809">
        <v>67.5</v>
      </c>
      <c r="L809">
        <v>29.7</v>
      </c>
      <c r="M809">
        <v>2</v>
      </c>
      <c r="N809">
        <v>0.163243484938974</v>
      </c>
      <c r="O809">
        <v>0.12642596131453901</v>
      </c>
      <c r="P809" t="str">
        <f t="shared" si="24"/>
        <v>F</v>
      </c>
      <c r="Q809" t="str">
        <f t="shared" si="25"/>
        <v>F</v>
      </c>
    </row>
    <row r="810" spans="1:17" hidden="1" x14ac:dyDescent="0.3">
      <c r="A810">
        <v>9878</v>
      </c>
      <c r="B810">
        <v>960</v>
      </c>
      <c r="C810">
        <v>27</v>
      </c>
      <c r="D810" t="s">
        <v>19</v>
      </c>
      <c r="E810" t="s">
        <v>20</v>
      </c>
      <c r="F810" t="s">
        <v>17</v>
      </c>
      <c r="G810" t="s">
        <v>18</v>
      </c>
      <c r="H810">
        <v>276.60000000000002</v>
      </c>
      <c r="I810">
        <v>251.5</v>
      </c>
      <c r="J810">
        <v>95.3</v>
      </c>
      <c r="K810">
        <v>67.5</v>
      </c>
      <c r="L810">
        <v>29.7</v>
      </c>
      <c r="M810">
        <v>2</v>
      </c>
      <c r="N810">
        <v>0.14253979153273399</v>
      </c>
      <c r="O810">
        <v>0.14571368384348499</v>
      </c>
      <c r="P810" t="str">
        <f t="shared" si="24"/>
        <v>F</v>
      </c>
      <c r="Q810" t="str">
        <f t="shared" si="25"/>
        <v>F</v>
      </c>
    </row>
    <row r="811" spans="1:17" hidden="1" x14ac:dyDescent="0.3">
      <c r="A811">
        <v>9879</v>
      </c>
      <c r="B811">
        <v>960</v>
      </c>
      <c r="C811">
        <v>27</v>
      </c>
      <c r="D811" t="s">
        <v>19</v>
      </c>
      <c r="E811" t="s">
        <v>20</v>
      </c>
      <c r="F811" t="s">
        <v>17</v>
      </c>
      <c r="G811" t="s">
        <v>18</v>
      </c>
      <c r="H811">
        <v>276.60000000000002</v>
      </c>
      <c r="I811">
        <v>251.5</v>
      </c>
      <c r="J811">
        <v>95.3</v>
      </c>
      <c r="K811">
        <v>67.5</v>
      </c>
      <c r="L811">
        <v>29.7</v>
      </c>
      <c r="M811">
        <v>2</v>
      </c>
      <c r="N811">
        <v>0.153670047815435</v>
      </c>
      <c r="O811">
        <v>0.14624156931146401</v>
      </c>
      <c r="P811" t="str">
        <f t="shared" si="24"/>
        <v>F</v>
      </c>
      <c r="Q811" t="str">
        <f t="shared" si="25"/>
        <v>F</v>
      </c>
    </row>
    <row r="812" spans="1:17" hidden="1" x14ac:dyDescent="0.3">
      <c r="A812">
        <v>9880</v>
      </c>
      <c r="B812">
        <v>960</v>
      </c>
      <c r="C812">
        <v>27</v>
      </c>
      <c r="D812" t="s">
        <v>19</v>
      </c>
      <c r="E812" t="s">
        <v>20</v>
      </c>
      <c r="F812" t="s">
        <v>17</v>
      </c>
      <c r="G812" t="s">
        <v>18</v>
      </c>
      <c r="H812">
        <v>276.60000000000002</v>
      </c>
      <c r="I812">
        <v>251.5</v>
      </c>
      <c r="J812">
        <v>95.3</v>
      </c>
      <c r="K812">
        <v>67.5</v>
      </c>
      <c r="L812">
        <v>29.7</v>
      </c>
      <c r="M812">
        <v>2</v>
      </c>
      <c r="N812">
        <v>0.14069315127152901</v>
      </c>
      <c r="O812">
        <v>0.12943911412818301</v>
      </c>
      <c r="P812" t="str">
        <f t="shared" si="24"/>
        <v>F</v>
      </c>
      <c r="Q812" t="str">
        <f t="shared" si="25"/>
        <v>F</v>
      </c>
    </row>
    <row r="813" spans="1:17" hidden="1" x14ac:dyDescent="0.3">
      <c r="A813">
        <v>9881</v>
      </c>
      <c r="B813">
        <v>960</v>
      </c>
      <c r="C813">
        <v>27</v>
      </c>
      <c r="D813" t="s">
        <v>19</v>
      </c>
      <c r="E813" t="s">
        <v>20</v>
      </c>
      <c r="F813" t="s">
        <v>17</v>
      </c>
      <c r="G813" t="s">
        <v>18</v>
      </c>
      <c r="H813">
        <v>276.60000000000002</v>
      </c>
      <c r="I813">
        <v>251.5</v>
      </c>
      <c r="J813">
        <v>95.3</v>
      </c>
      <c r="K813">
        <v>67.5</v>
      </c>
      <c r="L813">
        <v>29.7</v>
      </c>
      <c r="M813">
        <v>2</v>
      </c>
      <c r="N813">
        <v>0.13948687543455901</v>
      </c>
      <c r="O813">
        <v>0.11789812791646</v>
      </c>
      <c r="P813" t="str">
        <f t="shared" si="24"/>
        <v>F</v>
      </c>
      <c r="Q813" t="str">
        <f t="shared" si="25"/>
        <v>F</v>
      </c>
    </row>
    <row r="814" spans="1:17" hidden="1" x14ac:dyDescent="0.3">
      <c r="A814">
        <v>9915</v>
      </c>
      <c r="B814">
        <v>970</v>
      </c>
      <c r="C814">
        <v>147</v>
      </c>
      <c r="D814" t="s">
        <v>19</v>
      </c>
      <c r="E814" t="s">
        <v>20</v>
      </c>
      <c r="F814" t="s">
        <v>21</v>
      </c>
      <c r="G814" t="s">
        <v>18</v>
      </c>
      <c r="H814">
        <v>274.7</v>
      </c>
      <c r="I814">
        <v>246</v>
      </c>
      <c r="J814">
        <v>94.8</v>
      </c>
      <c r="K814">
        <v>66.5</v>
      </c>
      <c r="L814">
        <v>23.6</v>
      </c>
      <c r="M814">
        <v>10.5</v>
      </c>
      <c r="N814">
        <v>0.14759035556510799</v>
      </c>
      <c r="O814">
        <v>0.10287788904</v>
      </c>
      <c r="P814" t="str">
        <f t="shared" si="24"/>
        <v>F</v>
      </c>
      <c r="Q814" t="str">
        <f t="shared" si="25"/>
        <v>F</v>
      </c>
    </row>
    <row r="815" spans="1:17" hidden="1" x14ac:dyDescent="0.3">
      <c r="A815">
        <v>9916</v>
      </c>
      <c r="B815">
        <v>970</v>
      </c>
      <c r="C815">
        <v>147</v>
      </c>
      <c r="D815" t="s">
        <v>19</v>
      </c>
      <c r="E815" t="s">
        <v>20</v>
      </c>
      <c r="F815" t="s">
        <v>21</v>
      </c>
      <c r="G815" t="s">
        <v>18</v>
      </c>
      <c r="H815">
        <v>274.7</v>
      </c>
      <c r="I815">
        <v>246</v>
      </c>
      <c r="J815">
        <v>94.8</v>
      </c>
      <c r="K815">
        <v>66.5</v>
      </c>
      <c r="L815">
        <v>23.6</v>
      </c>
      <c r="M815">
        <v>10.5</v>
      </c>
      <c r="N815">
        <v>0.13771640910701199</v>
      </c>
      <c r="O815">
        <v>0.102806290681959</v>
      </c>
      <c r="P815" t="str">
        <f t="shared" si="24"/>
        <v>F</v>
      </c>
      <c r="Q815" t="str">
        <f t="shared" si="25"/>
        <v>F</v>
      </c>
    </row>
    <row r="816" spans="1:17" hidden="1" x14ac:dyDescent="0.3">
      <c r="A816">
        <v>9931</v>
      </c>
      <c r="B816">
        <v>975</v>
      </c>
      <c r="C816">
        <v>235</v>
      </c>
      <c r="D816" t="s">
        <v>19</v>
      </c>
      <c r="E816" t="s">
        <v>20</v>
      </c>
      <c r="F816" t="s">
        <v>21</v>
      </c>
      <c r="G816" t="s">
        <v>22</v>
      </c>
      <c r="H816">
        <v>271.60000000000002</v>
      </c>
      <c r="I816">
        <v>241</v>
      </c>
      <c r="J816">
        <v>94.5</v>
      </c>
      <c r="K816">
        <v>68</v>
      </c>
      <c r="L816">
        <v>23.5</v>
      </c>
      <c r="M816">
        <v>8</v>
      </c>
      <c r="N816">
        <v>0.30948918139535098</v>
      </c>
      <c r="O816">
        <v>1.28026583206595E-2</v>
      </c>
      <c r="P816" t="str">
        <f t="shared" si="24"/>
        <v>F</v>
      </c>
      <c r="Q816" t="str">
        <f t="shared" si="25"/>
        <v>T</v>
      </c>
    </row>
    <row r="817" spans="1:17" hidden="1" x14ac:dyDescent="0.3">
      <c r="A817">
        <v>9978</v>
      </c>
      <c r="B817">
        <v>992</v>
      </c>
      <c r="C817">
        <v>366</v>
      </c>
      <c r="D817" t="s">
        <v>19</v>
      </c>
      <c r="E817" t="s">
        <v>20</v>
      </c>
      <c r="F817" t="s">
        <v>21</v>
      </c>
      <c r="G817" t="s">
        <v>24</v>
      </c>
      <c r="H817">
        <v>275.89999999999998</v>
      </c>
      <c r="I817">
        <v>255</v>
      </c>
      <c r="J817">
        <v>94.9</v>
      </c>
      <c r="K817">
        <v>64</v>
      </c>
      <c r="L817">
        <v>26.8</v>
      </c>
      <c r="M817">
        <v>17</v>
      </c>
      <c r="N817">
        <v>0.16985706610898399</v>
      </c>
      <c r="O817">
        <v>0.13712145619866101</v>
      </c>
      <c r="P817" t="str">
        <f t="shared" si="24"/>
        <v>F</v>
      </c>
      <c r="Q817" t="str">
        <f t="shared" si="25"/>
        <v>F</v>
      </c>
    </row>
    <row r="818" spans="1:17" hidden="1" x14ac:dyDescent="0.3">
      <c r="A818">
        <v>9979</v>
      </c>
      <c r="B818">
        <v>992</v>
      </c>
      <c r="C818">
        <v>366</v>
      </c>
      <c r="D818" t="s">
        <v>19</v>
      </c>
      <c r="E818" t="s">
        <v>20</v>
      </c>
      <c r="F818" t="s">
        <v>21</v>
      </c>
      <c r="G818" t="s">
        <v>24</v>
      </c>
      <c r="H818">
        <v>275.89999999999998</v>
      </c>
      <c r="I818">
        <v>255</v>
      </c>
      <c r="J818">
        <v>94.9</v>
      </c>
      <c r="K818">
        <v>64</v>
      </c>
      <c r="L818">
        <v>26.8</v>
      </c>
      <c r="M818">
        <v>17</v>
      </c>
      <c r="N818">
        <v>0.17913730470946199</v>
      </c>
      <c r="O818">
        <v>0.16204300367782901</v>
      </c>
      <c r="P818" t="str">
        <f t="shared" si="24"/>
        <v>F</v>
      </c>
      <c r="Q818" t="str">
        <f t="shared" si="25"/>
        <v>F</v>
      </c>
    </row>
    <row r="819" spans="1:17" hidden="1" x14ac:dyDescent="0.3">
      <c r="A819">
        <v>9980</v>
      </c>
      <c r="B819">
        <v>992</v>
      </c>
      <c r="C819">
        <v>366</v>
      </c>
      <c r="D819" t="s">
        <v>19</v>
      </c>
      <c r="E819" t="s">
        <v>20</v>
      </c>
      <c r="F819" t="s">
        <v>21</v>
      </c>
      <c r="G819" t="s">
        <v>24</v>
      </c>
      <c r="H819">
        <v>275.89999999999998</v>
      </c>
      <c r="I819">
        <v>255</v>
      </c>
      <c r="J819">
        <v>94.9</v>
      </c>
      <c r="K819">
        <v>64</v>
      </c>
      <c r="L819">
        <v>26.8</v>
      </c>
      <c r="M819">
        <v>17</v>
      </c>
      <c r="N819">
        <v>0.181422052500812</v>
      </c>
      <c r="O819">
        <v>0.174547265258721</v>
      </c>
      <c r="P819" t="str">
        <f t="shared" si="24"/>
        <v>F</v>
      </c>
      <c r="Q819" t="str">
        <f t="shared" si="25"/>
        <v>F</v>
      </c>
    </row>
    <row r="820" spans="1:17" hidden="1" x14ac:dyDescent="0.3">
      <c r="A820">
        <v>9981</v>
      </c>
      <c r="B820">
        <v>992</v>
      </c>
      <c r="C820">
        <v>366</v>
      </c>
      <c r="D820" t="s">
        <v>19</v>
      </c>
      <c r="E820" t="s">
        <v>20</v>
      </c>
      <c r="F820" t="s">
        <v>21</v>
      </c>
      <c r="G820" t="s">
        <v>24</v>
      </c>
      <c r="H820">
        <v>275.89999999999998</v>
      </c>
      <c r="I820">
        <v>255</v>
      </c>
      <c r="J820">
        <v>94.9</v>
      </c>
      <c r="K820">
        <v>64</v>
      </c>
      <c r="L820">
        <v>26.8</v>
      </c>
      <c r="M820">
        <v>17</v>
      </c>
      <c r="N820">
        <v>0.155949095499125</v>
      </c>
      <c r="O820">
        <v>0.16835435003735</v>
      </c>
      <c r="P820" t="str">
        <f t="shared" si="24"/>
        <v>F</v>
      </c>
      <c r="Q820" t="str">
        <f t="shared" si="25"/>
        <v>F</v>
      </c>
    </row>
  </sheetData>
  <autoFilter ref="A1:Q820" xr:uid="{448F0C94-9087-43CF-AC1C-C9D366E3CB91}">
    <filterColumn colId="15">
      <filters>
        <filter val="T"/>
      </filters>
    </filterColumn>
    <filterColumn colId="16">
      <filters>
        <filter val="T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2540A-CFBA-442E-A754-EE8B4AF741F1}">
  <sheetPr filterMode="1"/>
  <dimension ref="A1:Q731"/>
  <sheetViews>
    <sheetView zoomScale="90" zoomScaleNormal="90" workbookViewId="0">
      <selection activeCell="Q105" sqref="Q105"/>
    </sheetView>
  </sheetViews>
  <sheetFormatPr defaultRowHeight="14.55" x14ac:dyDescent="0.3"/>
  <cols>
    <col min="1" max="1" width="9.44140625" bestFit="1" customWidth="1"/>
    <col min="2" max="2" width="9.109375" bestFit="1" customWidth="1"/>
    <col min="3" max="3" width="7.109375" bestFit="1" customWidth="1"/>
    <col min="4" max="4" width="16.77734375" bestFit="1" customWidth="1"/>
    <col min="5" max="5" width="11.21875" bestFit="1" customWidth="1"/>
    <col min="6" max="6" width="10.21875" bestFit="1" customWidth="1"/>
    <col min="7" max="7" width="14.21875" bestFit="1" customWidth="1"/>
    <col min="8" max="8" width="12.77734375" bestFit="1" customWidth="1"/>
    <col min="9" max="9" width="9.6640625" bestFit="1" customWidth="1"/>
    <col min="10" max="10" width="10.44140625" bestFit="1" customWidth="1"/>
    <col min="11" max="11" width="10.5546875" bestFit="1" customWidth="1"/>
    <col min="12" max="12" width="10.109375" bestFit="1" customWidth="1"/>
    <col min="13" max="13" width="11.21875" bestFit="1" customWidth="1"/>
    <col min="14" max="15" width="13.33203125" bestFit="1" customWidth="1"/>
    <col min="16" max="16" width="15.5546875" bestFit="1" customWidth="1"/>
    <col min="17" max="17" width="1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</v>
      </c>
      <c r="Q1" t="s">
        <v>28</v>
      </c>
    </row>
    <row r="2" spans="1:17" hidden="1" x14ac:dyDescent="0.3">
      <c r="A2">
        <v>43</v>
      </c>
      <c r="B2">
        <v>1013</v>
      </c>
      <c r="C2">
        <v>122</v>
      </c>
      <c r="D2" t="s">
        <v>23</v>
      </c>
      <c r="E2" t="s">
        <v>20</v>
      </c>
      <c r="F2" t="s">
        <v>17</v>
      </c>
      <c r="G2" t="s">
        <v>25</v>
      </c>
      <c r="H2">
        <v>276.60000000000002</v>
      </c>
      <c r="I2">
        <v>246.5</v>
      </c>
      <c r="J2">
        <v>96.7</v>
      </c>
      <c r="K2">
        <v>65.5</v>
      </c>
      <c r="L2">
        <v>30.9</v>
      </c>
      <c r="M2">
        <v>8.5</v>
      </c>
      <c r="N2">
        <v>5.9154641252908403E-2</v>
      </c>
      <c r="O2">
        <v>0.27944655164907201</v>
      </c>
      <c r="P2" t="str">
        <f t="shared" ref="P2:P65" si="0">IF(N2&lt;0.100978, "T", "F")</f>
        <v>T</v>
      </c>
      <c r="Q2" t="str">
        <f t="shared" ref="Q2:Q65" si="1">IF(O2&lt;0.268491, "T", "F")</f>
        <v>F</v>
      </c>
    </row>
    <row r="3" spans="1:17" hidden="1" x14ac:dyDescent="0.3">
      <c r="A3">
        <v>50</v>
      </c>
      <c r="B3">
        <v>1016</v>
      </c>
      <c r="C3">
        <v>453</v>
      </c>
      <c r="D3" t="s">
        <v>23</v>
      </c>
      <c r="E3" t="s">
        <v>20</v>
      </c>
      <c r="F3" t="s">
        <v>17</v>
      </c>
      <c r="G3" t="s">
        <v>26</v>
      </c>
      <c r="H3">
        <v>281.60000000000002</v>
      </c>
      <c r="I3">
        <v>255.5</v>
      </c>
      <c r="J3">
        <v>100.4</v>
      </c>
      <c r="K3">
        <v>70</v>
      </c>
      <c r="L3">
        <v>25.7</v>
      </c>
      <c r="M3">
        <v>10</v>
      </c>
      <c r="N3">
        <v>0.13202357000803699</v>
      </c>
      <c r="O3">
        <v>0.38866097826250601</v>
      </c>
      <c r="P3" t="str">
        <f t="shared" si="0"/>
        <v>F</v>
      </c>
      <c r="Q3" t="str">
        <f t="shared" si="1"/>
        <v>F</v>
      </c>
    </row>
    <row r="4" spans="1:17" hidden="1" x14ac:dyDescent="0.3">
      <c r="A4">
        <v>71</v>
      </c>
      <c r="B4">
        <v>1023</v>
      </c>
      <c r="C4">
        <v>261</v>
      </c>
      <c r="D4" t="s">
        <v>23</v>
      </c>
      <c r="E4" t="s">
        <v>20</v>
      </c>
      <c r="F4" t="s">
        <v>17</v>
      </c>
      <c r="G4" t="s">
        <v>24</v>
      </c>
      <c r="H4">
        <v>276.60000000000002</v>
      </c>
      <c r="I4">
        <v>246</v>
      </c>
      <c r="J4">
        <v>96.1</v>
      </c>
      <c r="K4">
        <v>65.5</v>
      </c>
      <c r="L4">
        <v>29.4</v>
      </c>
      <c r="M4">
        <v>12</v>
      </c>
      <c r="N4">
        <v>2.6381806266959702E-2</v>
      </c>
      <c r="O4">
        <v>0.33817474517208501</v>
      </c>
      <c r="P4" t="str">
        <f t="shared" si="0"/>
        <v>T</v>
      </c>
      <c r="Q4" t="str">
        <f t="shared" si="1"/>
        <v>F</v>
      </c>
    </row>
    <row r="5" spans="1:17" hidden="1" x14ac:dyDescent="0.3">
      <c r="A5">
        <v>72</v>
      </c>
      <c r="B5">
        <v>1023</v>
      </c>
      <c r="C5">
        <v>261</v>
      </c>
      <c r="D5" t="s">
        <v>23</v>
      </c>
      <c r="E5" t="s">
        <v>20</v>
      </c>
      <c r="F5" t="s">
        <v>17</v>
      </c>
      <c r="G5" t="s">
        <v>24</v>
      </c>
      <c r="H5">
        <v>276.60000000000002</v>
      </c>
      <c r="I5">
        <v>246</v>
      </c>
      <c r="J5">
        <v>96.1</v>
      </c>
      <c r="K5">
        <v>65.5</v>
      </c>
      <c r="L5">
        <v>29.4</v>
      </c>
      <c r="M5">
        <v>12</v>
      </c>
      <c r="N5">
        <v>2.62111096607812E-2</v>
      </c>
      <c r="O5">
        <v>0.33743280988555902</v>
      </c>
      <c r="P5" t="str">
        <f t="shared" si="0"/>
        <v>T</v>
      </c>
      <c r="Q5" t="str">
        <f t="shared" si="1"/>
        <v>F</v>
      </c>
    </row>
    <row r="6" spans="1:17" hidden="1" x14ac:dyDescent="0.3">
      <c r="A6">
        <v>73</v>
      </c>
      <c r="B6">
        <v>1023</v>
      </c>
      <c r="C6">
        <v>261</v>
      </c>
      <c r="D6" t="s">
        <v>23</v>
      </c>
      <c r="E6" t="s">
        <v>20</v>
      </c>
      <c r="F6" t="s">
        <v>17</v>
      </c>
      <c r="G6" t="s">
        <v>24</v>
      </c>
      <c r="H6">
        <v>276.60000000000002</v>
      </c>
      <c r="I6">
        <v>246</v>
      </c>
      <c r="J6">
        <v>96.1</v>
      </c>
      <c r="K6">
        <v>65.5</v>
      </c>
      <c r="L6">
        <v>29.4</v>
      </c>
      <c r="M6">
        <v>12</v>
      </c>
      <c r="N6">
        <v>3.4456683615126701E-2</v>
      </c>
      <c r="O6">
        <v>0.34364370837463198</v>
      </c>
      <c r="P6" t="str">
        <f t="shared" si="0"/>
        <v>T</v>
      </c>
      <c r="Q6" t="str">
        <f t="shared" si="1"/>
        <v>F</v>
      </c>
    </row>
    <row r="7" spans="1:17" hidden="1" x14ac:dyDescent="0.3">
      <c r="A7">
        <v>108</v>
      </c>
      <c r="B7">
        <v>1037</v>
      </c>
      <c r="C7">
        <v>122</v>
      </c>
      <c r="D7" t="s">
        <v>23</v>
      </c>
      <c r="E7" t="s">
        <v>20</v>
      </c>
      <c r="F7" t="s">
        <v>17</v>
      </c>
      <c r="G7" t="s">
        <v>25</v>
      </c>
      <c r="H7">
        <v>276.60000000000002</v>
      </c>
      <c r="I7">
        <v>246.5</v>
      </c>
      <c r="J7">
        <v>96.7</v>
      </c>
      <c r="K7">
        <v>65.5</v>
      </c>
      <c r="L7">
        <v>30.9</v>
      </c>
      <c r="M7">
        <v>8.5</v>
      </c>
      <c r="N7">
        <v>7.0549065467127997E-2</v>
      </c>
      <c r="O7">
        <v>0.28702044336403798</v>
      </c>
      <c r="P7" t="str">
        <f t="shared" si="0"/>
        <v>T</v>
      </c>
      <c r="Q7" t="str">
        <f t="shared" si="1"/>
        <v>F</v>
      </c>
    </row>
    <row r="8" spans="1:17" hidden="1" x14ac:dyDescent="0.3">
      <c r="A8">
        <v>109</v>
      </c>
      <c r="B8">
        <v>1037</v>
      </c>
      <c r="C8">
        <v>122</v>
      </c>
      <c r="D8" t="s">
        <v>23</v>
      </c>
      <c r="E8" t="s">
        <v>20</v>
      </c>
      <c r="F8" t="s">
        <v>17</v>
      </c>
      <c r="G8" t="s">
        <v>25</v>
      </c>
      <c r="H8">
        <v>276.60000000000002</v>
      </c>
      <c r="I8">
        <v>246.5</v>
      </c>
      <c r="J8">
        <v>96.7</v>
      </c>
      <c r="K8">
        <v>65.5</v>
      </c>
      <c r="L8">
        <v>30.9</v>
      </c>
      <c r="M8">
        <v>8.5</v>
      </c>
      <c r="N8">
        <v>6.5169774309274398E-2</v>
      </c>
      <c r="O8">
        <v>0.298977813277292</v>
      </c>
      <c r="P8" t="str">
        <f t="shared" si="0"/>
        <v>T</v>
      </c>
      <c r="Q8" t="str">
        <f t="shared" si="1"/>
        <v>F</v>
      </c>
    </row>
    <row r="9" spans="1:17" hidden="1" x14ac:dyDescent="0.3">
      <c r="A9">
        <v>126</v>
      </c>
      <c r="B9">
        <v>1044</v>
      </c>
      <c r="C9">
        <v>190</v>
      </c>
      <c r="D9" t="s">
        <v>23</v>
      </c>
      <c r="E9" t="s">
        <v>20</v>
      </c>
      <c r="F9" t="s">
        <v>21</v>
      </c>
      <c r="G9" t="s">
        <v>24</v>
      </c>
      <c r="H9">
        <v>276.60000000000002</v>
      </c>
      <c r="I9">
        <v>243.5</v>
      </c>
      <c r="J9">
        <v>94.8</v>
      </c>
      <c r="K9">
        <v>67</v>
      </c>
      <c r="L9">
        <v>27</v>
      </c>
      <c r="M9">
        <v>9.5</v>
      </c>
      <c r="N9">
        <v>0.109354582739725</v>
      </c>
      <c r="O9">
        <v>0.273907113876869</v>
      </c>
      <c r="P9" t="str">
        <f t="shared" si="0"/>
        <v>F</v>
      </c>
      <c r="Q9" t="str">
        <f t="shared" si="1"/>
        <v>F</v>
      </c>
    </row>
    <row r="10" spans="1:17" hidden="1" x14ac:dyDescent="0.3">
      <c r="A10">
        <v>127</v>
      </c>
      <c r="B10">
        <v>1044</v>
      </c>
      <c r="C10">
        <v>190</v>
      </c>
      <c r="D10" t="s">
        <v>23</v>
      </c>
      <c r="E10" t="s">
        <v>20</v>
      </c>
      <c r="F10" t="s">
        <v>21</v>
      </c>
      <c r="G10" t="s">
        <v>24</v>
      </c>
      <c r="H10">
        <v>276.60000000000002</v>
      </c>
      <c r="I10">
        <v>243.5</v>
      </c>
      <c r="J10">
        <v>94.8</v>
      </c>
      <c r="K10">
        <v>67</v>
      </c>
      <c r="L10">
        <v>27</v>
      </c>
      <c r="M10">
        <v>9.5</v>
      </c>
      <c r="N10">
        <v>0.110620389302687</v>
      </c>
      <c r="O10">
        <v>0.28022836560173903</v>
      </c>
      <c r="P10" t="str">
        <f t="shared" si="0"/>
        <v>F</v>
      </c>
      <c r="Q10" t="str">
        <f t="shared" si="1"/>
        <v>F</v>
      </c>
    </row>
    <row r="11" spans="1:17" hidden="1" x14ac:dyDescent="0.3">
      <c r="A11">
        <v>128</v>
      </c>
      <c r="B11">
        <v>1044</v>
      </c>
      <c r="C11">
        <v>190</v>
      </c>
      <c r="D11" t="s">
        <v>23</v>
      </c>
      <c r="E11" t="s">
        <v>20</v>
      </c>
      <c r="F11" t="s">
        <v>21</v>
      </c>
      <c r="G11" t="s">
        <v>24</v>
      </c>
      <c r="H11">
        <v>276.60000000000002</v>
      </c>
      <c r="I11">
        <v>243.5</v>
      </c>
      <c r="J11">
        <v>94.8</v>
      </c>
      <c r="K11">
        <v>67</v>
      </c>
      <c r="L11">
        <v>27</v>
      </c>
      <c r="M11">
        <v>9.5</v>
      </c>
      <c r="N11">
        <v>0.124148664272656</v>
      </c>
      <c r="O11">
        <v>0.27933120376527898</v>
      </c>
      <c r="P11" t="str">
        <f t="shared" si="0"/>
        <v>F</v>
      </c>
      <c r="Q11" t="str">
        <f t="shared" si="1"/>
        <v>F</v>
      </c>
    </row>
    <row r="12" spans="1:17" hidden="1" x14ac:dyDescent="0.3">
      <c r="A12">
        <v>129</v>
      </c>
      <c r="B12">
        <v>1044</v>
      </c>
      <c r="C12">
        <v>190</v>
      </c>
      <c r="D12" t="s">
        <v>23</v>
      </c>
      <c r="E12" t="s">
        <v>20</v>
      </c>
      <c r="F12" t="s">
        <v>21</v>
      </c>
      <c r="G12" t="s">
        <v>24</v>
      </c>
      <c r="H12">
        <v>276.60000000000002</v>
      </c>
      <c r="I12">
        <v>243.5</v>
      </c>
      <c r="J12">
        <v>94.8</v>
      </c>
      <c r="K12">
        <v>67</v>
      </c>
      <c r="L12">
        <v>27</v>
      </c>
      <c r="M12">
        <v>9.5</v>
      </c>
      <c r="N12">
        <v>0.105617010215593</v>
      </c>
      <c r="O12">
        <v>0.26623857669079798</v>
      </c>
      <c r="P12" t="str">
        <f t="shared" si="0"/>
        <v>F</v>
      </c>
      <c r="Q12" t="str">
        <f t="shared" si="1"/>
        <v>T</v>
      </c>
    </row>
    <row r="13" spans="1:17" hidden="1" x14ac:dyDescent="0.3">
      <c r="A13">
        <v>162</v>
      </c>
      <c r="B13">
        <v>1056</v>
      </c>
      <c r="C13">
        <v>337</v>
      </c>
      <c r="D13" t="s">
        <v>23</v>
      </c>
      <c r="E13" t="s">
        <v>20</v>
      </c>
      <c r="F13" t="s">
        <v>21</v>
      </c>
      <c r="G13" t="s">
        <v>24</v>
      </c>
      <c r="H13">
        <v>279.7</v>
      </c>
      <c r="I13">
        <v>255</v>
      </c>
      <c r="J13">
        <v>95.2</v>
      </c>
      <c r="K13">
        <v>68</v>
      </c>
      <c r="L13">
        <v>25.3</v>
      </c>
      <c r="M13">
        <v>5.5</v>
      </c>
      <c r="N13">
        <v>0.206562000590267</v>
      </c>
      <c r="O13">
        <v>0.37940815549055201</v>
      </c>
      <c r="P13" t="str">
        <f t="shared" si="0"/>
        <v>F</v>
      </c>
      <c r="Q13" t="str">
        <f t="shared" si="1"/>
        <v>F</v>
      </c>
    </row>
    <row r="14" spans="1:17" hidden="1" x14ac:dyDescent="0.3">
      <c r="A14">
        <v>163</v>
      </c>
      <c r="B14">
        <v>1056</v>
      </c>
      <c r="C14">
        <v>337</v>
      </c>
      <c r="D14" t="s">
        <v>23</v>
      </c>
      <c r="E14" t="s">
        <v>20</v>
      </c>
      <c r="F14" t="s">
        <v>21</v>
      </c>
      <c r="G14" t="s">
        <v>24</v>
      </c>
      <c r="H14">
        <v>279.7</v>
      </c>
      <c r="I14">
        <v>255</v>
      </c>
      <c r="J14">
        <v>95.2</v>
      </c>
      <c r="K14">
        <v>68</v>
      </c>
      <c r="L14">
        <v>25.3</v>
      </c>
      <c r="M14">
        <v>5.5</v>
      </c>
      <c r="N14">
        <v>0.23262933733588101</v>
      </c>
      <c r="O14">
        <v>0.35752739948013601</v>
      </c>
      <c r="P14" t="str">
        <f t="shared" si="0"/>
        <v>F</v>
      </c>
      <c r="Q14" t="str">
        <f t="shared" si="1"/>
        <v>F</v>
      </c>
    </row>
    <row r="15" spans="1:17" hidden="1" x14ac:dyDescent="0.3">
      <c r="A15">
        <v>180</v>
      </c>
      <c r="B15">
        <v>1062</v>
      </c>
      <c r="C15">
        <v>66</v>
      </c>
      <c r="D15" t="s">
        <v>23</v>
      </c>
      <c r="E15" t="s">
        <v>20</v>
      </c>
      <c r="F15" t="s">
        <v>17</v>
      </c>
      <c r="G15" t="s">
        <v>26</v>
      </c>
      <c r="H15">
        <v>276.2</v>
      </c>
      <c r="I15">
        <v>258</v>
      </c>
      <c r="J15">
        <v>95.8</v>
      </c>
      <c r="K15">
        <v>63.5</v>
      </c>
      <c r="L15">
        <v>26.4</v>
      </c>
      <c r="M15">
        <v>7</v>
      </c>
      <c r="N15">
        <v>0.16140944035730201</v>
      </c>
      <c r="O15">
        <v>0.25351773332521099</v>
      </c>
      <c r="P15" t="str">
        <f t="shared" si="0"/>
        <v>F</v>
      </c>
      <c r="Q15" t="str">
        <f t="shared" si="1"/>
        <v>T</v>
      </c>
    </row>
    <row r="16" spans="1:17" hidden="1" x14ac:dyDescent="0.3">
      <c r="A16">
        <v>227</v>
      </c>
      <c r="B16">
        <v>1080</v>
      </c>
      <c r="C16">
        <v>351</v>
      </c>
      <c r="D16" t="s">
        <v>23</v>
      </c>
      <c r="E16" t="s">
        <v>20</v>
      </c>
      <c r="F16" t="s">
        <v>21</v>
      </c>
      <c r="G16" t="s">
        <v>18</v>
      </c>
      <c r="H16">
        <v>277.60000000000002</v>
      </c>
      <c r="I16">
        <v>246.5</v>
      </c>
      <c r="J16">
        <v>93.9</v>
      </c>
      <c r="K16">
        <v>67.5</v>
      </c>
      <c r="L16">
        <v>27.5</v>
      </c>
      <c r="M16">
        <v>8</v>
      </c>
      <c r="N16">
        <v>0.15640887256605199</v>
      </c>
      <c r="O16">
        <v>0.315236009131662</v>
      </c>
      <c r="P16" t="str">
        <f t="shared" si="0"/>
        <v>F</v>
      </c>
      <c r="Q16" t="str">
        <f t="shared" si="1"/>
        <v>F</v>
      </c>
    </row>
    <row r="17" spans="1:17" hidden="1" x14ac:dyDescent="0.3">
      <c r="A17">
        <v>228</v>
      </c>
      <c r="B17">
        <v>1080</v>
      </c>
      <c r="C17">
        <v>351</v>
      </c>
      <c r="D17" t="s">
        <v>23</v>
      </c>
      <c r="E17" t="s">
        <v>20</v>
      </c>
      <c r="F17" t="s">
        <v>21</v>
      </c>
      <c r="G17" t="s">
        <v>18</v>
      </c>
      <c r="H17">
        <v>277.60000000000002</v>
      </c>
      <c r="I17">
        <v>246.5</v>
      </c>
      <c r="J17">
        <v>93.9</v>
      </c>
      <c r="K17">
        <v>67.5</v>
      </c>
      <c r="L17">
        <v>27.5</v>
      </c>
      <c r="M17">
        <v>8</v>
      </c>
      <c r="N17">
        <v>0.16204838766511101</v>
      </c>
      <c r="O17">
        <v>0.317713974352624</v>
      </c>
      <c r="P17" t="str">
        <f t="shared" si="0"/>
        <v>F</v>
      </c>
      <c r="Q17" t="str">
        <f t="shared" si="1"/>
        <v>F</v>
      </c>
    </row>
    <row r="18" spans="1:17" hidden="1" x14ac:dyDescent="0.3">
      <c r="A18">
        <v>254</v>
      </c>
      <c r="B18">
        <v>109</v>
      </c>
      <c r="C18">
        <v>466</v>
      </c>
      <c r="D18" t="s">
        <v>23</v>
      </c>
      <c r="E18" t="s">
        <v>20</v>
      </c>
      <c r="F18" t="s">
        <v>21</v>
      </c>
      <c r="G18" t="s">
        <v>24</v>
      </c>
      <c r="H18">
        <v>282.10000000000002</v>
      </c>
      <c r="I18">
        <v>257</v>
      </c>
      <c r="J18">
        <v>100.3</v>
      </c>
      <c r="K18">
        <v>68.5</v>
      </c>
      <c r="L18">
        <v>27.5</v>
      </c>
      <c r="M18">
        <v>11</v>
      </c>
      <c r="N18">
        <v>7.2824051741045601E-2</v>
      </c>
      <c r="O18">
        <v>0.287352484811778</v>
      </c>
      <c r="P18" t="str">
        <f t="shared" si="0"/>
        <v>T</v>
      </c>
      <c r="Q18" t="str">
        <f t="shared" si="1"/>
        <v>F</v>
      </c>
    </row>
    <row r="19" spans="1:17" hidden="1" x14ac:dyDescent="0.3">
      <c r="A19">
        <v>255</v>
      </c>
      <c r="B19">
        <v>109</v>
      </c>
      <c r="C19">
        <v>466</v>
      </c>
      <c r="D19" t="s">
        <v>23</v>
      </c>
      <c r="E19" t="s">
        <v>20</v>
      </c>
      <c r="F19" t="s">
        <v>21</v>
      </c>
      <c r="G19" t="s">
        <v>24</v>
      </c>
      <c r="H19">
        <v>282.10000000000002</v>
      </c>
      <c r="I19">
        <v>257</v>
      </c>
      <c r="J19">
        <v>100.3</v>
      </c>
      <c r="K19">
        <v>68.5</v>
      </c>
      <c r="L19">
        <v>27.5</v>
      </c>
      <c r="M19">
        <v>11</v>
      </c>
      <c r="N19">
        <v>6.6072294192382905E-2</v>
      </c>
      <c r="O19">
        <v>0.302040561570246</v>
      </c>
      <c r="P19" t="str">
        <f t="shared" si="0"/>
        <v>T</v>
      </c>
      <c r="Q19" t="str">
        <f t="shared" si="1"/>
        <v>F</v>
      </c>
    </row>
    <row r="20" spans="1:17" hidden="1" x14ac:dyDescent="0.3">
      <c r="A20">
        <v>256</v>
      </c>
      <c r="B20">
        <v>109</v>
      </c>
      <c r="C20">
        <v>466</v>
      </c>
      <c r="D20" t="s">
        <v>23</v>
      </c>
      <c r="E20" t="s">
        <v>20</v>
      </c>
      <c r="F20" t="s">
        <v>21</v>
      </c>
      <c r="G20" t="s">
        <v>24</v>
      </c>
      <c r="H20">
        <v>282.10000000000002</v>
      </c>
      <c r="I20">
        <v>257</v>
      </c>
      <c r="J20">
        <v>100.3</v>
      </c>
      <c r="K20">
        <v>68.5</v>
      </c>
      <c r="L20">
        <v>27.5</v>
      </c>
      <c r="M20">
        <v>11</v>
      </c>
      <c r="N20">
        <v>7.8603366405525996E-2</v>
      </c>
      <c r="O20">
        <v>0.29586308632881803</v>
      </c>
      <c r="P20" t="str">
        <f t="shared" si="0"/>
        <v>T</v>
      </c>
      <c r="Q20" t="str">
        <f t="shared" si="1"/>
        <v>F</v>
      </c>
    </row>
    <row r="21" spans="1:17" hidden="1" x14ac:dyDescent="0.3">
      <c r="A21">
        <v>311</v>
      </c>
      <c r="B21">
        <v>111</v>
      </c>
      <c r="C21">
        <v>483</v>
      </c>
      <c r="D21" t="s">
        <v>23</v>
      </c>
      <c r="E21" t="s">
        <v>20</v>
      </c>
      <c r="F21" t="s">
        <v>21</v>
      </c>
      <c r="G21" t="s">
        <v>22</v>
      </c>
      <c r="H21">
        <v>271.89999999999998</v>
      </c>
      <c r="I21">
        <v>246</v>
      </c>
      <c r="J21">
        <v>94.4</v>
      </c>
      <c r="K21">
        <v>60.5</v>
      </c>
      <c r="L21">
        <v>27.6</v>
      </c>
      <c r="M21">
        <v>13.5</v>
      </c>
      <c r="N21">
        <v>0.118953887681248</v>
      </c>
      <c r="O21">
        <v>0.20696142436311701</v>
      </c>
      <c r="P21" t="str">
        <f t="shared" si="0"/>
        <v>F</v>
      </c>
      <c r="Q21" t="str">
        <f t="shared" si="1"/>
        <v>T</v>
      </c>
    </row>
    <row r="22" spans="1:17" hidden="1" x14ac:dyDescent="0.3">
      <c r="A22">
        <v>312</v>
      </c>
      <c r="B22">
        <v>111</v>
      </c>
      <c r="C22">
        <v>483</v>
      </c>
      <c r="D22" t="s">
        <v>23</v>
      </c>
      <c r="E22" t="s">
        <v>20</v>
      </c>
      <c r="F22" t="s">
        <v>21</v>
      </c>
      <c r="G22" t="s">
        <v>22</v>
      </c>
      <c r="H22">
        <v>271.89999999999998</v>
      </c>
      <c r="I22">
        <v>246</v>
      </c>
      <c r="J22">
        <v>94.4</v>
      </c>
      <c r="K22">
        <v>60.5</v>
      </c>
      <c r="L22">
        <v>27.6</v>
      </c>
      <c r="M22">
        <v>13.5</v>
      </c>
      <c r="N22">
        <v>0.107195026097369</v>
      </c>
      <c r="O22">
        <v>0.19942337624089099</v>
      </c>
      <c r="P22" t="str">
        <f t="shared" si="0"/>
        <v>F</v>
      </c>
      <c r="Q22" t="str">
        <f t="shared" si="1"/>
        <v>T</v>
      </c>
    </row>
    <row r="23" spans="1:17" hidden="1" x14ac:dyDescent="0.3">
      <c r="A23">
        <v>321</v>
      </c>
      <c r="B23">
        <v>1112</v>
      </c>
      <c r="C23">
        <v>176</v>
      </c>
      <c r="D23" t="s">
        <v>23</v>
      </c>
      <c r="E23" t="s">
        <v>20</v>
      </c>
      <c r="F23" t="s">
        <v>21</v>
      </c>
      <c r="G23" t="s">
        <v>26</v>
      </c>
      <c r="H23">
        <v>274.5</v>
      </c>
      <c r="I23">
        <v>261.5</v>
      </c>
      <c r="J23">
        <v>100.7</v>
      </c>
      <c r="K23">
        <v>67</v>
      </c>
      <c r="L23">
        <v>26.6</v>
      </c>
      <c r="M23">
        <v>10</v>
      </c>
      <c r="N23">
        <v>0.13545848422842799</v>
      </c>
      <c r="O23">
        <v>0.41596165894989201</v>
      </c>
      <c r="P23" t="str">
        <f t="shared" si="0"/>
        <v>F</v>
      </c>
      <c r="Q23" t="str">
        <f t="shared" si="1"/>
        <v>F</v>
      </c>
    </row>
    <row r="24" spans="1:17" hidden="1" x14ac:dyDescent="0.3">
      <c r="A24">
        <v>322</v>
      </c>
      <c r="B24">
        <v>1112</v>
      </c>
      <c r="C24">
        <v>176</v>
      </c>
      <c r="D24" t="s">
        <v>23</v>
      </c>
      <c r="E24" t="s">
        <v>20</v>
      </c>
      <c r="F24" t="s">
        <v>21</v>
      </c>
      <c r="G24" t="s">
        <v>26</v>
      </c>
      <c r="H24">
        <v>274.5</v>
      </c>
      <c r="I24">
        <v>261.5</v>
      </c>
      <c r="J24">
        <v>100.7</v>
      </c>
      <c r="K24">
        <v>67</v>
      </c>
      <c r="L24">
        <v>26.6</v>
      </c>
      <c r="M24">
        <v>10</v>
      </c>
      <c r="N24">
        <v>0.14276175797299001</v>
      </c>
      <c r="O24">
        <v>0.41035326839115199</v>
      </c>
      <c r="P24" t="str">
        <f t="shared" si="0"/>
        <v>F</v>
      </c>
      <c r="Q24" t="str">
        <f t="shared" si="1"/>
        <v>F</v>
      </c>
    </row>
    <row r="25" spans="1:17" hidden="1" x14ac:dyDescent="0.3">
      <c r="A25">
        <v>323</v>
      </c>
      <c r="B25">
        <v>1112</v>
      </c>
      <c r="C25">
        <v>176</v>
      </c>
      <c r="D25" t="s">
        <v>23</v>
      </c>
      <c r="E25" t="s">
        <v>20</v>
      </c>
      <c r="F25" t="s">
        <v>21</v>
      </c>
      <c r="G25" t="s">
        <v>26</v>
      </c>
      <c r="H25">
        <v>274.5</v>
      </c>
      <c r="I25">
        <v>261.5</v>
      </c>
      <c r="J25">
        <v>100.7</v>
      </c>
      <c r="K25">
        <v>67</v>
      </c>
      <c r="L25">
        <v>26.6</v>
      </c>
      <c r="M25">
        <v>10</v>
      </c>
      <c r="N25">
        <v>0.14914469376197201</v>
      </c>
      <c r="O25">
        <v>0.42955892821594999</v>
      </c>
      <c r="P25" t="str">
        <f t="shared" si="0"/>
        <v>F</v>
      </c>
      <c r="Q25" t="str">
        <f t="shared" si="1"/>
        <v>F</v>
      </c>
    </row>
    <row r="26" spans="1:17" hidden="1" x14ac:dyDescent="0.3">
      <c r="A26">
        <v>334</v>
      </c>
      <c r="B26">
        <v>1116</v>
      </c>
      <c r="C26">
        <v>79</v>
      </c>
      <c r="D26" t="s">
        <v>23</v>
      </c>
      <c r="E26" t="s">
        <v>20</v>
      </c>
      <c r="F26" t="s">
        <v>21</v>
      </c>
      <c r="G26" t="s">
        <v>26</v>
      </c>
      <c r="H26">
        <v>276.8</v>
      </c>
      <c r="I26">
        <v>258.5</v>
      </c>
      <c r="J26">
        <v>101.8</v>
      </c>
      <c r="K26">
        <v>65</v>
      </c>
      <c r="L26">
        <v>24.9</v>
      </c>
      <c r="M26">
        <v>11.5</v>
      </c>
      <c r="N26">
        <v>0.15025735722525399</v>
      </c>
      <c r="O26">
        <v>0.19886920509988501</v>
      </c>
      <c r="P26" t="str">
        <f t="shared" si="0"/>
        <v>F</v>
      </c>
      <c r="Q26" t="str">
        <f t="shared" si="1"/>
        <v>T</v>
      </c>
    </row>
    <row r="27" spans="1:17" hidden="1" x14ac:dyDescent="0.3">
      <c r="A27">
        <v>335</v>
      </c>
      <c r="B27">
        <v>1116</v>
      </c>
      <c r="C27">
        <v>79</v>
      </c>
      <c r="D27" t="s">
        <v>23</v>
      </c>
      <c r="E27" t="s">
        <v>20</v>
      </c>
      <c r="F27" t="s">
        <v>21</v>
      </c>
      <c r="G27" t="s">
        <v>26</v>
      </c>
      <c r="H27">
        <v>276.8</v>
      </c>
      <c r="I27">
        <v>258.5</v>
      </c>
      <c r="J27">
        <v>101.8</v>
      </c>
      <c r="K27">
        <v>65</v>
      </c>
      <c r="L27">
        <v>24.9</v>
      </c>
      <c r="M27">
        <v>11.5</v>
      </c>
      <c r="N27">
        <v>0.17190282684205099</v>
      </c>
      <c r="O27">
        <v>0.21375858561106501</v>
      </c>
      <c r="P27" t="str">
        <f t="shared" si="0"/>
        <v>F</v>
      </c>
      <c r="Q27" t="str">
        <f t="shared" si="1"/>
        <v>T</v>
      </c>
    </row>
    <row r="28" spans="1:17" hidden="1" x14ac:dyDescent="0.3">
      <c r="A28">
        <v>336</v>
      </c>
      <c r="B28">
        <v>1116</v>
      </c>
      <c r="C28">
        <v>79</v>
      </c>
      <c r="D28" t="s">
        <v>23</v>
      </c>
      <c r="E28" t="s">
        <v>20</v>
      </c>
      <c r="F28" t="s">
        <v>21</v>
      </c>
      <c r="G28" t="s">
        <v>26</v>
      </c>
      <c r="H28">
        <v>276.8</v>
      </c>
      <c r="I28">
        <v>258.5</v>
      </c>
      <c r="J28">
        <v>101.8</v>
      </c>
      <c r="K28">
        <v>65</v>
      </c>
      <c r="L28">
        <v>24.9</v>
      </c>
      <c r="M28">
        <v>11.5</v>
      </c>
      <c r="N28">
        <v>0.150466006920871</v>
      </c>
      <c r="O28">
        <v>0.206964964793733</v>
      </c>
      <c r="P28" t="str">
        <f t="shared" si="0"/>
        <v>F</v>
      </c>
      <c r="Q28" t="str">
        <f t="shared" si="1"/>
        <v>T</v>
      </c>
    </row>
    <row r="29" spans="1:17" hidden="1" x14ac:dyDescent="0.3">
      <c r="A29">
        <v>337</v>
      </c>
      <c r="B29">
        <v>1116</v>
      </c>
      <c r="C29">
        <v>79</v>
      </c>
      <c r="D29" t="s">
        <v>23</v>
      </c>
      <c r="E29" t="s">
        <v>20</v>
      </c>
      <c r="F29" t="s">
        <v>21</v>
      </c>
      <c r="G29" t="s">
        <v>26</v>
      </c>
      <c r="H29">
        <v>276.8</v>
      </c>
      <c r="I29">
        <v>258.5</v>
      </c>
      <c r="J29">
        <v>101.8</v>
      </c>
      <c r="K29">
        <v>65</v>
      </c>
      <c r="L29">
        <v>24.9</v>
      </c>
      <c r="M29">
        <v>11.5</v>
      </c>
      <c r="N29">
        <v>0.17299690216646299</v>
      </c>
      <c r="O29">
        <v>0.214839707385589</v>
      </c>
      <c r="P29" t="str">
        <f t="shared" si="0"/>
        <v>F</v>
      </c>
      <c r="Q29" t="str">
        <f t="shared" si="1"/>
        <v>T</v>
      </c>
    </row>
    <row r="30" spans="1:17" hidden="1" x14ac:dyDescent="0.3">
      <c r="A30">
        <v>338</v>
      </c>
      <c r="B30">
        <v>1116</v>
      </c>
      <c r="C30">
        <v>79</v>
      </c>
      <c r="D30" t="s">
        <v>23</v>
      </c>
      <c r="E30" t="s">
        <v>20</v>
      </c>
      <c r="F30" t="s">
        <v>21</v>
      </c>
      <c r="G30" t="s">
        <v>26</v>
      </c>
      <c r="H30">
        <v>276.8</v>
      </c>
      <c r="I30">
        <v>258.5</v>
      </c>
      <c r="J30">
        <v>101.8</v>
      </c>
      <c r="K30">
        <v>65</v>
      </c>
      <c r="L30">
        <v>24.9</v>
      </c>
      <c r="M30">
        <v>11.5</v>
      </c>
      <c r="N30">
        <v>0.161187010697355</v>
      </c>
      <c r="O30">
        <v>0.205269838297471</v>
      </c>
      <c r="P30" t="str">
        <f t="shared" si="0"/>
        <v>F</v>
      </c>
      <c r="Q30" t="str">
        <f t="shared" si="1"/>
        <v>T</v>
      </c>
    </row>
    <row r="31" spans="1:17" hidden="1" x14ac:dyDescent="0.3">
      <c r="A31">
        <v>339</v>
      </c>
      <c r="B31">
        <v>1116</v>
      </c>
      <c r="C31">
        <v>79</v>
      </c>
      <c r="D31" t="s">
        <v>23</v>
      </c>
      <c r="E31" t="s">
        <v>20</v>
      </c>
      <c r="F31" t="s">
        <v>21</v>
      </c>
      <c r="G31" t="s">
        <v>26</v>
      </c>
      <c r="H31">
        <v>276.8</v>
      </c>
      <c r="I31">
        <v>258.5</v>
      </c>
      <c r="J31">
        <v>101.8</v>
      </c>
      <c r="K31">
        <v>65</v>
      </c>
      <c r="L31">
        <v>24.9</v>
      </c>
      <c r="M31">
        <v>11.5</v>
      </c>
      <c r="N31">
        <v>0.15362728347378199</v>
      </c>
      <c r="O31">
        <v>0.19633112635660299</v>
      </c>
      <c r="P31" t="str">
        <f t="shared" si="0"/>
        <v>F</v>
      </c>
      <c r="Q31" t="str">
        <f t="shared" si="1"/>
        <v>T</v>
      </c>
    </row>
    <row r="32" spans="1:17" hidden="1" x14ac:dyDescent="0.3">
      <c r="A32">
        <v>407</v>
      </c>
      <c r="B32">
        <v>1143</v>
      </c>
      <c r="C32">
        <v>385</v>
      </c>
      <c r="D32" t="s">
        <v>23</v>
      </c>
      <c r="E32" t="s">
        <v>20</v>
      </c>
      <c r="F32" t="s">
        <v>17</v>
      </c>
      <c r="G32" t="s">
        <v>26</v>
      </c>
      <c r="H32">
        <v>270</v>
      </c>
      <c r="I32">
        <v>256</v>
      </c>
      <c r="J32">
        <v>97.2</v>
      </c>
      <c r="K32">
        <v>65.5</v>
      </c>
      <c r="L32">
        <v>26</v>
      </c>
      <c r="M32">
        <v>8</v>
      </c>
      <c r="N32">
        <v>0.19141965058389501</v>
      </c>
      <c r="O32">
        <v>0.36753839373103497</v>
      </c>
      <c r="P32" t="str">
        <f t="shared" si="0"/>
        <v>F</v>
      </c>
      <c r="Q32" t="str">
        <f t="shared" si="1"/>
        <v>F</v>
      </c>
    </row>
    <row r="33" spans="1:17" hidden="1" x14ac:dyDescent="0.3">
      <c r="A33">
        <v>421</v>
      </c>
      <c r="B33">
        <v>1149</v>
      </c>
      <c r="C33">
        <v>340</v>
      </c>
      <c r="D33" t="s">
        <v>23</v>
      </c>
      <c r="E33" t="s">
        <v>20</v>
      </c>
      <c r="F33" t="s">
        <v>17</v>
      </c>
      <c r="G33" t="s">
        <v>25</v>
      </c>
      <c r="H33">
        <v>274.60000000000002</v>
      </c>
      <c r="I33">
        <v>261.5</v>
      </c>
      <c r="J33">
        <v>96.7</v>
      </c>
      <c r="K33">
        <v>62</v>
      </c>
      <c r="L33">
        <v>28.9</v>
      </c>
      <c r="M33">
        <v>10.5</v>
      </c>
      <c r="N33">
        <v>5.0694139886880402E-2</v>
      </c>
      <c r="O33">
        <v>0.38529760519027301</v>
      </c>
      <c r="P33" t="str">
        <f t="shared" si="0"/>
        <v>T</v>
      </c>
      <c r="Q33" t="str">
        <f t="shared" si="1"/>
        <v>F</v>
      </c>
    </row>
    <row r="34" spans="1:17" hidden="1" x14ac:dyDescent="0.3">
      <c r="A34">
        <v>437</v>
      </c>
      <c r="B34">
        <v>1152</v>
      </c>
      <c r="C34">
        <v>351</v>
      </c>
      <c r="D34" t="s">
        <v>23</v>
      </c>
      <c r="E34" t="s">
        <v>20</v>
      </c>
      <c r="F34" t="s">
        <v>17</v>
      </c>
      <c r="G34" t="s">
        <v>26</v>
      </c>
      <c r="H34">
        <v>277.60000000000002</v>
      </c>
      <c r="I34">
        <v>246.5</v>
      </c>
      <c r="J34">
        <v>93.9</v>
      </c>
      <c r="K34">
        <v>67.5</v>
      </c>
      <c r="L34">
        <v>27.5</v>
      </c>
      <c r="M34">
        <v>8</v>
      </c>
      <c r="N34">
        <v>0.15995371251315499</v>
      </c>
      <c r="O34">
        <v>0.30558792597858198</v>
      </c>
      <c r="P34" t="str">
        <f t="shared" si="0"/>
        <v>F</v>
      </c>
      <c r="Q34" t="str">
        <f t="shared" si="1"/>
        <v>F</v>
      </c>
    </row>
    <row r="35" spans="1:17" hidden="1" x14ac:dyDescent="0.3">
      <c r="A35">
        <v>438</v>
      </c>
      <c r="B35">
        <v>1152</v>
      </c>
      <c r="C35">
        <v>351</v>
      </c>
      <c r="D35" t="s">
        <v>23</v>
      </c>
      <c r="E35" t="s">
        <v>20</v>
      </c>
      <c r="F35" t="s">
        <v>17</v>
      </c>
      <c r="G35" t="s">
        <v>26</v>
      </c>
      <c r="H35">
        <v>277.60000000000002</v>
      </c>
      <c r="I35">
        <v>246.5</v>
      </c>
      <c r="J35">
        <v>93.9</v>
      </c>
      <c r="K35">
        <v>67.5</v>
      </c>
      <c r="L35">
        <v>27.5</v>
      </c>
      <c r="M35">
        <v>8</v>
      </c>
      <c r="N35">
        <v>0.146569978852714</v>
      </c>
      <c r="O35">
        <v>0.30963352291865998</v>
      </c>
      <c r="P35" t="str">
        <f t="shared" si="0"/>
        <v>F</v>
      </c>
      <c r="Q35" t="str">
        <f t="shared" si="1"/>
        <v>F</v>
      </c>
    </row>
    <row r="36" spans="1:17" hidden="1" x14ac:dyDescent="0.3">
      <c r="A36">
        <v>450</v>
      </c>
      <c r="B36">
        <v>1158</v>
      </c>
      <c r="C36">
        <v>261</v>
      </c>
      <c r="D36" t="s">
        <v>23</v>
      </c>
      <c r="E36" t="s">
        <v>20</v>
      </c>
      <c r="F36" t="s">
        <v>21</v>
      </c>
      <c r="G36" t="s">
        <v>24</v>
      </c>
      <c r="H36">
        <v>276.60000000000002</v>
      </c>
      <c r="I36">
        <v>246</v>
      </c>
      <c r="J36">
        <v>96.1</v>
      </c>
      <c r="K36">
        <v>65.5</v>
      </c>
      <c r="L36">
        <v>29.4</v>
      </c>
      <c r="M36">
        <v>12</v>
      </c>
      <c r="N36">
        <v>1.9720379353962699E-2</v>
      </c>
      <c r="O36">
        <v>0.34174077524804303</v>
      </c>
      <c r="P36" t="str">
        <f t="shared" si="0"/>
        <v>T</v>
      </c>
      <c r="Q36" t="str">
        <f t="shared" si="1"/>
        <v>F</v>
      </c>
    </row>
    <row r="37" spans="1:17" hidden="1" x14ac:dyDescent="0.3">
      <c r="A37">
        <v>502</v>
      </c>
      <c r="B37">
        <v>1180</v>
      </c>
      <c r="C37">
        <v>267</v>
      </c>
      <c r="D37" t="s">
        <v>23</v>
      </c>
      <c r="E37" t="s">
        <v>20</v>
      </c>
      <c r="F37" t="s">
        <v>17</v>
      </c>
      <c r="G37" t="s">
        <v>24</v>
      </c>
      <c r="H37">
        <v>275.39999999999998</v>
      </c>
      <c r="I37">
        <v>244.5</v>
      </c>
      <c r="J37">
        <v>95.4</v>
      </c>
      <c r="K37">
        <v>67</v>
      </c>
      <c r="L37">
        <v>22.2</v>
      </c>
      <c r="M37">
        <v>9.5</v>
      </c>
      <c r="N37">
        <v>0.238307673261586</v>
      </c>
      <c r="O37">
        <v>0.22249004278600701</v>
      </c>
      <c r="P37" t="str">
        <f t="shared" si="0"/>
        <v>F</v>
      </c>
      <c r="Q37" t="str">
        <f t="shared" si="1"/>
        <v>T</v>
      </c>
    </row>
    <row r="38" spans="1:17" hidden="1" x14ac:dyDescent="0.3">
      <c r="A38">
        <v>503</v>
      </c>
      <c r="B38">
        <v>1180</v>
      </c>
      <c r="C38">
        <v>267</v>
      </c>
      <c r="D38" t="s">
        <v>23</v>
      </c>
      <c r="E38" t="s">
        <v>20</v>
      </c>
      <c r="F38" t="s">
        <v>17</v>
      </c>
      <c r="G38" t="s">
        <v>24</v>
      </c>
      <c r="H38">
        <v>275.39999999999998</v>
      </c>
      <c r="I38">
        <v>244.5</v>
      </c>
      <c r="J38">
        <v>95.4</v>
      </c>
      <c r="K38">
        <v>67</v>
      </c>
      <c r="L38">
        <v>22.2</v>
      </c>
      <c r="M38">
        <v>9.5</v>
      </c>
      <c r="N38">
        <v>0.256464459876243</v>
      </c>
      <c r="O38">
        <v>0.21018213125372601</v>
      </c>
      <c r="P38" t="str">
        <f t="shared" si="0"/>
        <v>F</v>
      </c>
      <c r="Q38" t="str">
        <f t="shared" si="1"/>
        <v>T</v>
      </c>
    </row>
    <row r="39" spans="1:17" hidden="1" x14ac:dyDescent="0.3">
      <c r="A39">
        <v>511</v>
      </c>
      <c r="B39">
        <v>1183</v>
      </c>
      <c r="C39">
        <v>71</v>
      </c>
      <c r="D39" t="s">
        <v>23</v>
      </c>
      <c r="E39" t="s">
        <v>20</v>
      </c>
      <c r="F39" t="s">
        <v>21</v>
      </c>
      <c r="G39" t="s">
        <v>26</v>
      </c>
      <c r="H39">
        <v>281</v>
      </c>
      <c r="I39">
        <v>265.5</v>
      </c>
      <c r="J39">
        <v>100.2</v>
      </c>
      <c r="K39">
        <v>66.5</v>
      </c>
      <c r="L39">
        <v>25.2</v>
      </c>
      <c r="M39">
        <v>8</v>
      </c>
      <c r="N39">
        <v>0.170165269648449</v>
      </c>
      <c r="O39">
        <v>0.15701669187410799</v>
      </c>
      <c r="P39" t="str">
        <f t="shared" si="0"/>
        <v>F</v>
      </c>
      <c r="Q39" t="str">
        <f t="shared" si="1"/>
        <v>T</v>
      </c>
    </row>
    <row r="40" spans="1:17" hidden="1" x14ac:dyDescent="0.3">
      <c r="A40">
        <v>512</v>
      </c>
      <c r="B40">
        <v>1183</v>
      </c>
      <c r="C40">
        <v>71</v>
      </c>
      <c r="D40" t="s">
        <v>23</v>
      </c>
      <c r="E40" t="s">
        <v>20</v>
      </c>
      <c r="F40" t="s">
        <v>21</v>
      </c>
      <c r="G40" t="s">
        <v>26</v>
      </c>
      <c r="H40">
        <v>281</v>
      </c>
      <c r="I40">
        <v>265.5</v>
      </c>
      <c r="J40">
        <v>100.2</v>
      </c>
      <c r="K40">
        <v>66.5</v>
      </c>
      <c r="L40">
        <v>25.2</v>
      </c>
      <c r="M40">
        <v>8</v>
      </c>
      <c r="N40">
        <v>0.15949724750704999</v>
      </c>
      <c r="O40">
        <v>0.16430724316430401</v>
      </c>
      <c r="P40" t="str">
        <f t="shared" si="0"/>
        <v>F</v>
      </c>
      <c r="Q40" t="str">
        <f t="shared" si="1"/>
        <v>T</v>
      </c>
    </row>
    <row r="41" spans="1:17" hidden="1" x14ac:dyDescent="0.3">
      <c r="A41">
        <v>513</v>
      </c>
      <c r="B41">
        <v>1183</v>
      </c>
      <c r="C41">
        <v>71</v>
      </c>
      <c r="D41" t="s">
        <v>23</v>
      </c>
      <c r="E41" t="s">
        <v>20</v>
      </c>
      <c r="F41" t="s">
        <v>21</v>
      </c>
      <c r="G41" t="s">
        <v>26</v>
      </c>
      <c r="H41">
        <v>281</v>
      </c>
      <c r="I41">
        <v>265.5</v>
      </c>
      <c r="J41">
        <v>100.2</v>
      </c>
      <c r="K41">
        <v>66.5</v>
      </c>
      <c r="L41">
        <v>25.2</v>
      </c>
      <c r="M41">
        <v>8</v>
      </c>
      <c r="N41">
        <v>0.185595773584143</v>
      </c>
      <c r="O41">
        <v>0.15093868782113301</v>
      </c>
      <c r="P41" t="str">
        <f t="shared" si="0"/>
        <v>F</v>
      </c>
      <c r="Q41" t="str">
        <f t="shared" si="1"/>
        <v>T</v>
      </c>
    </row>
    <row r="42" spans="1:17" hidden="1" x14ac:dyDescent="0.3">
      <c r="A42">
        <v>514</v>
      </c>
      <c r="B42">
        <v>1183</v>
      </c>
      <c r="C42">
        <v>71</v>
      </c>
      <c r="D42" t="s">
        <v>23</v>
      </c>
      <c r="E42" t="s">
        <v>20</v>
      </c>
      <c r="F42" t="s">
        <v>21</v>
      </c>
      <c r="G42" t="s">
        <v>26</v>
      </c>
      <c r="H42">
        <v>281</v>
      </c>
      <c r="I42">
        <v>265.5</v>
      </c>
      <c r="J42">
        <v>100.2</v>
      </c>
      <c r="K42">
        <v>66.5</v>
      </c>
      <c r="L42">
        <v>25.2</v>
      </c>
      <c r="M42">
        <v>8</v>
      </c>
      <c r="N42">
        <v>0.18844409318723301</v>
      </c>
      <c r="O42">
        <v>0.164875930784085</v>
      </c>
      <c r="P42" t="str">
        <f t="shared" si="0"/>
        <v>F</v>
      </c>
      <c r="Q42" t="str">
        <f t="shared" si="1"/>
        <v>T</v>
      </c>
    </row>
    <row r="43" spans="1:17" hidden="1" x14ac:dyDescent="0.3">
      <c r="A43">
        <v>515</v>
      </c>
      <c r="B43">
        <v>1183</v>
      </c>
      <c r="C43">
        <v>71</v>
      </c>
      <c r="D43" t="s">
        <v>23</v>
      </c>
      <c r="E43" t="s">
        <v>20</v>
      </c>
      <c r="F43" t="s">
        <v>21</v>
      </c>
      <c r="G43" t="s">
        <v>26</v>
      </c>
      <c r="H43">
        <v>281</v>
      </c>
      <c r="I43">
        <v>265.5</v>
      </c>
      <c r="J43">
        <v>100.2</v>
      </c>
      <c r="K43">
        <v>66.5</v>
      </c>
      <c r="L43">
        <v>25.2</v>
      </c>
      <c r="M43">
        <v>8</v>
      </c>
      <c r="N43">
        <v>0.18078973733126899</v>
      </c>
      <c r="O43">
        <v>0.164491980557497</v>
      </c>
      <c r="P43" t="str">
        <f t="shared" si="0"/>
        <v>F</v>
      </c>
      <c r="Q43" t="str">
        <f t="shared" si="1"/>
        <v>T</v>
      </c>
    </row>
    <row r="44" spans="1:17" hidden="1" x14ac:dyDescent="0.3">
      <c r="A44">
        <v>529</v>
      </c>
      <c r="B44">
        <v>1193</v>
      </c>
      <c r="C44">
        <v>226</v>
      </c>
      <c r="D44" t="s">
        <v>23</v>
      </c>
      <c r="E44" t="s">
        <v>20</v>
      </c>
      <c r="F44" t="s">
        <v>21</v>
      </c>
      <c r="G44" t="s">
        <v>22</v>
      </c>
      <c r="H44">
        <v>279.10000000000002</v>
      </c>
      <c r="I44">
        <v>257.5</v>
      </c>
      <c r="J44">
        <v>97.9</v>
      </c>
      <c r="K44">
        <v>68</v>
      </c>
      <c r="L44">
        <v>27.6</v>
      </c>
      <c r="M44">
        <v>2.5</v>
      </c>
      <c r="N44">
        <v>0.149593093598378</v>
      </c>
      <c r="O44">
        <v>0.20984676539336999</v>
      </c>
      <c r="P44" t="str">
        <f t="shared" si="0"/>
        <v>F</v>
      </c>
      <c r="Q44" t="str">
        <f t="shared" si="1"/>
        <v>T</v>
      </c>
    </row>
    <row r="45" spans="1:17" hidden="1" x14ac:dyDescent="0.3">
      <c r="A45">
        <v>530</v>
      </c>
      <c r="B45">
        <v>1193</v>
      </c>
      <c r="C45">
        <v>226</v>
      </c>
      <c r="D45" t="s">
        <v>23</v>
      </c>
      <c r="E45" t="s">
        <v>20</v>
      </c>
      <c r="F45" t="s">
        <v>21</v>
      </c>
      <c r="G45" t="s">
        <v>22</v>
      </c>
      <c r="H45">
        <v>279.10000000000002</v>
      </c>
      <c r="I45">
        <v>257.5</v>
      </c>
      <c r="J45">
        <v>97.9</v>
      </c>
      <c r="K45">
        <v>68</v>
      </c>
      <c r="L45">
        <v>27.6</v>
      </c>
      <c r="M45">
        <v>2.5</v>
      </c>
      <c r="N45">
        <v>0.161001967748724</v>
      </c>
      <c r="O45">
        <v>0.209842957499106</v>
      </c>
      <c r="P45" t="str">
        <f t="shared" si="0"/>
        <v>F</v>
      </c>
      <c r="Q45" t="str">
        <f t="shared" si="1"/>
        <v>T</v>
      </c>
    </row>
    <row r="46" spans="1:17" hidden="1" x14ac:dyDescent="0.3">
      <c r="A46">
        <v>531</v>
      </c>
      <c r="B46">
        <v>1193</v>
      </c>
      <c r="C46">
        <v>226</v>
      </c>
      <c r="D46" t="s">
        <v>23</v>
      </c>
      <c r="E46" t="s">
        <v>20</v>
      </c>
      <c r="F46" t="s">
        <v>21</v>
      </c>
      <c r="G46" t="s">
        <v>22</v>
      </c>
      <c r="H46">
        <v>279.10000000000002</v>
      </c>
      <c r="I46">
        <v>257.5</v>
      </c>
      <c r="J46">
        <v>97.9</v>
      </c>
      <c r="K46">
        <v>68</v>
      </c>
      <c r="L46">
        <v>27.6</v>
      </c>
      <c r="M46">
        <v>2.5</v>
      </c>
      <c r="N46">
        <v>0.135991302324485</v>
      </c>
      <c r="O46">
        <v>0.236264680227321</v>
      </c>
      <c r="P46" t="str">
        <f t="shared" si="0"/>
        <v>F</v>
      </c>
      <c r="Q46" t="str">
        <f t="shared" si="1"/>
        <v>T</v>
      </c>
    </row>
    <row r="47" spans="1:17" hidden="1" x14ac:dyDescent="0.3">
      <c r="A47">
        <v>532</v>
      </c>
      <c r="B47">
        <v>1193</v>
      </c>
      <c r="C47">
        <v>226</v>
      </c>
      <c r="D47" t="s">
        <v>23</v>
      </c>
      <c r="E47" t="s">
        <v>20</v>
      </c>
      <c r="F47" t="s">
        <v>21</v>
      </c>
      <c r="G47" t="s">
        <v>22</v>
      </c>
      <c r="H47">
        <v>279.10000000000002</v>
      </c>
      <c r="I47">
        <v>257.5</v>
      </c>
      <c r="J47">
        <v>97.9</v>
      </c>
      <c r="K47">
        <v>68</v>
      </c>
      <c r="L47">
        <v>27.6</v>
      </c>
      <c r="M47">
        <v>2.5</v>
      </c>
      <c r="N47">
        <v>0.167405526824288</v>
      </c>
      <c r="O47">
        <v>0.217478343716034</v>
      </c>
      <c r="P47" t="str">
        <f t="shared" si="0"/>
        <v>F</v>
      </c>
      <c r="Q47" t="str">
        <f t="shared" si="1"/>
        <v>T</v>
      </c>
    </row>
    <row r="48" spans="1:17" hidden="1" x14ac:dyDescent="0.3">
      <c r="A48">
        <v>533</v>
      </c>
      <c r="B48">
        <v>1193</v>
      </c>
      <c r="C48">
        <v>226</v>
      </c>
      <c r="D48" t="s">
        <v>23</v>
      </c>
      <c r="E48" t="s">
        <v>20</v>
      </c>
      <c r="F48" t="s">
        <v>21</v>
      </c>
      <c r="G48" t="s">
        <v>22</v>
      </c>
      <c r="H48">
        <v>279.10000000000002</v>
      </c>
      <c r="I48">
        <v>257.5</v>
      </c>
      <c r="J48">
        <v>97.9</v>
      </c>
      <c r="K48">
        <v>68</v>
      </c>
      <c r="L48">
        <v>27.6</v>
      </c>
      <c r="M48">
        <v>2.5</v>
      </c>
      <c r="N48">
        <v>0.150089732419179</v>
      </c>
      <c r="O48">
        <v>0.23941237513817901</v>
      </c>
      <c r="P48" t="str">
        <f t="shared" si="0"/>
        <v>F</v>
      </c>
      <c r="Q48" t="str">
        <f t="shared" si="1"/>
        <v>T</v>
      </c>
    </row>
    <row r="49" spans="1:17" hidden="1" x14ac:dyDescent="0.3">
      <c r="A49">
        <v>553</v>
      </c>
      <c r="B49">
        <v>1200</v>
      </c>
      <c r="C49">
        <v>464</v>
      </c>
      <c r="D49" t="s">
        <v>23</v>
      </c>
      <c r="E49" t="s">
        <v>20</v>
      </c>
      <c r="F49" t="s">
        <v>21</v>
      </c>
      <c r="G49" t="s">
        <v>25</v>
      </c>
      <c r="H49">
        <v>280.89999999999998</v>
      </c>
      <c r="I49">
        <v>249</v>
      </c>
      <c r="J49">
        <v>94.7</v>
      </c>
      <c r="K49">
        <v>66</v>
      </c>
      <c r="L49">
        <v>26.1</v>
      </c>
      <c r="M49">
        <v>9</v>
      </c>
      <c r="N49">
        <v>0.16821809790881301</v>
      </c>
      <c r="O49">
        <v>0.13451441436916101</v>
      </c>
      <c r="P49" t="str">
        <f t="shared" si="0"/>
        <v>F</v>
      </c>
      <c r="Q49" t="str">
        <f t="shared" si="1"/>
        <v>T</v>
      </c>
    </row>
    <row r="50" spans="1:17" hidden="1" x14ac:dyDescent="0.3">
      <c r="A50">
        <v>576</v>
      </c>
      <c r="B50">
        <v>1208</v>
      </c>
      <c r="C50">
        <v>385</v>
      </c>
      <c r="D50" t="s">
        <v>23</v>
      </c>
      <c r="E50" t="s">
        <v>20</v>
      </c>
      <c r="F50" t="s">
        <v>17</v>
      </c>
      <c r="G50" t="s">
        <v>26</v>
      </c>
      <c r="H50">
        <v>270</v>
      </c>
      <c r="I50">
        <v>256</v>
      </c>
      <c r="J50">
        <v>97.2</v>
      </c>
      <c r="K50">
        <v>65.5</v>
      </c>
      <c r="L50">
        <v>26</v>
      </c>
      <c r="M50">
        <v>8</v>
      </c>
      <c r="N50">
        <v>0.18717263130604</v>
      </c>
      <c r="O50">
        <v>0.35935085854619098</v>
      </c>
      <c r="P50" t="str">
        <f t="shared" si="0"/>
        <v>F</v>
      </c>
      <c r="Q50" t="str">
        <f t="shared" si="1"/>
        <v>F</v>
      </c>
    </row>
    <row r="51" spans="1:17" hidden="1" x14ac:dyDescent="0.3">
      <c r="A51">
        <v>577</v>
      </c>
      <c r="B51">
        <v>1208</v>
      </c>
      <c r="C51">
        <v>385</v>
      </c>
      <c r="D51" t="s">
        <v>23</v>
      </c>
      <c r="E51" t="s">
        <v>20</v>
      </c>
      <c r="F51" t="s">
        <v>17</v>
      </c>
      <c r="G51" t="s">
        <v>26</v>
      </c>
      <c r="H51">
        <v>270</v>
      </c>
      <c r="I51">
        <v>256</v>
      </c>
      <c r="J51">
        <v>97.2</v>
      </c>
      <c r="K51">
        <v>65.5</v>
      </c>
      <c r="L51">
        <v>26</v>
      </c>
      <c r="M51">
        <v>8</v>
      </c>
      <c r="N51">
        <v>0.166975151848713</v>
      </c>
      <c r="O51">
        <v>0.36095671629892101</v>
      </c>
      <c r="P51" t="str">
        <f t="shared" si="0"/>
        <v>F</v>
      </c>
      <c r="Q51" t="str">
        <f t="shared" si="1"/>
        <v>F</v>
      </c>
    </row>
    <row r="52" spans="1:17" hidden="1" x14ac:dyDescent="0.3">
      <c r="A52">
        <v>602</v>
      </c>
      <c r="B52">
        <v>1217</v>
      </c>
      <c r="C52">
        <v>385</v>
      </c>
      <c r="D52" t="s">
        <v>23</v>
      </c>
      <c r="E52" t="s">
        <v>20</v>
      </c>
      <c r="F52" t="s">
        <v>21</v>
      </c>
      <c r="G52" t="s">
        <v>25</v>
      </c>
      <c r="H52">
        <v>270</v>
      </c>
      <c r="I52">
        <v>256</v>
      </c>
      <c r="J52">
        <v>97.2</v>
      </c>
      <c r="K52">
        <v>65.5</v>
      </c>
      <c r="L52">
        <v>26</v>
      </c>
      <c r="M52">
        <v>8</v>
      </c>
      <c r="N52">
        <v>0.18856094667114601</v>
      </c>
      <c r="O52">
        <v>0.38544232764286701</v>
      </c>
      <c r="P52" t="str">
        <f t="shared" si="0"/>
        <v>F</v>
      </c>
      <c r="Q52" t="str">
        <f t="shared" si="1"/>
        <v>F</v>
      </c>
    </row>
    <row r="53" spans="1:17" hidden="1" x14ac:dyDescent="0.3">
      <c r="A53">
        <v>603</v>
      </c>
      <c r="B53">
        <v>1217</v>
      </c>
      <c r="C53">
        <v>385</v>
      </c>
      <c r="D53" t="s">
        <v>23</v>
      </c>
      <c r="E53" t="s">
        <v>20</v>
      </c>
      <c r="F53" t="s">
        <v>21</v>
      </c>
      <c r="G53" t="s">
        <v>25</v>
      </c>
      <c r="H53">
        <v>270</v>
      </c>
      <c r="I53">
        <v>256</v>
      </c>
      <c r="J53">
        <v>97.2</v>
      </c>
      <c r="K53">
        <v>65.5</v>
      </c>
      <c r="L53">
        <v>26</v>
      </c>
      <c r="M53">
        <v>8</v>
      </c>
      <c r="N53">
        <v>0.17744654869024501</v>
      </c>
      <c r="O53">
        <v>0.366723429370514</v>
      </c>
      <c r="P53" t="str">
        <f t="shared" si="0"/>
        <v>F</v>
      </c>
      <c r="Q53" t="str">
        <f t="shared" si="1"/>
        <v>F</v>
      </c>
    </row>
    <row r="54" spans="1:17" hidden="1" x14ac:dyDescent="0.3">
      <c r="A54">
        <v>604</v>
      </c>
      <c r="B54">
        <v>1217</v>
      </c>
      <c r="C54">
        <v>385</v>
      </c>
      <c r="D54" t="s">
        <v>23</v>
      </c>
      <c r="E54" t="s">
        <v>20</v>
      </c>
      <c r="F54" t="s">
        <v>21</v>
      </c>
      <c r="G54" t="s">
        <v>25</v>
      </c>
      <c r="H54">
        <v>270</v>
      </c>
      <c r="I54">
        <v>256</v>
      </c>
      <c r="J54">
        <v>97.2</v>
      </c>
      <c r="K54">
        <v>65.5</v>
      </c>
      <c r="L54">
        <v>26</v>
      </c>
      <c r="M54">
        <v>8</v>
      </c>
      <c r="N54">
        <v>0.17660910548352299</v>
      </c>
      <c r="O54">
        <v>0.36595978631286302</v>
      </c>
      <c r="P54" t="str">
        <f t="shared" si="0"/>
        <v>F</v>
      </c>
      <c r="Q54" t="str">
        <f t="shared" si="1"/>
        <v>F</v>
      </c>
    </row>
    <row r="55" spans="1:17" hidden="1" x14ac:dyDescent="0.3">
      <c r="A55">
        <v>610</v>
      </c>
      <c r="B55">
        <v>1219</v>
      </c>
      <c r="C55">
        <v>261</v>
      </c>
      <c r="D55" t="s">
        <v>23</v>
      </c>
      <c r="E55" t="s">
        <v>20</v>
      </c>
      <c r="F55" t="s">
        <v>17</v>
      </c>
      <c r="G55" t="s">
        <v>24</v>
      </c>
      <c r="H55">
        <v>276.60000000000002</v>
      </c>
      <c r="I55">
        <v>246</v>
      </c>
      <c r="J55">
        <v>96.1</v>
      </c>
      <c r="K55">
        <v>65.5</v>
      </c>
      <c r="L55">
        <v>29.4</v>
      </c>
      <c r="M55">
        <v>12</v>
      </c>
      <c r="N55">
        <v>1.9881561313544901E-2</v>
      </c>
      <c r="O55">
        <v>0.33144258467668197</v>
      </c>
      <c r="P55" t="str">
        <f t="shared" si="0"/>
        <v>T</v>
      </c>
      <c r="Q55" t="str">
        <f t="shared" si="1"/>
        <v>F</v>
      </c>
    </row>
    <row r="56" spans="1:17" hidden="1" x14ac:dyDescent="0.3">
      <c r="A56">
        <v>611</v>
      </c>
      <c r="B56">
        <v>1219</v>
      </c>
      <c r="C56">
        <v>261</v>
      </c>
      <c r="D56" t="s">
        <v>23</v>
      </c>
      <c r="E56" t="s">
        <v>20</v>
      </c>
      <c r="F56" t="s">
        <v>17</v>
      </c>
      <c r="G56" t="s">
        <v>24</v>
      </c>
      <c r="H56">
        <v>276.60000000000002</v>
      </c>
      <c r="I56">
        <v>246</v>
      </c>
      <c r="J56">
        <v>96.1</v>
      </c>
      <c r="K56">
        <v>65.5</v>
      </c>
      <c r="L56">
        <v>29.4</v>
      </c>
      <c r="M56">
        <v>12</v>
      </c>
      <c r="N56">
        <v>1.4365356072407499E-2</v>
      </c>
      <c r="O56">
        <v>0.332266048358206</v>
      </c>
      <c r="P56" t="str">
        <f t="shared" si="0"/>
        <v>T</v>
      </c>
      <c r="Q56" t="str">
        <f t="shared" si="1"/>
        <v>F</v>
      </c>
    </row>
    <row r="57" spans="1:17" hidden="1" x14ac:dyDescent="0.3">
      <c r="A57">
        <v>702</v>
      </c>
      <c r="B57">
        <v>1253</v>
      </c>
      <c r="C57">
        <v>351</v>
      </c>
      <c r="D57" t="s">
        <v>23</v>
      </c>
      <c r="E57" t="s">
        <v>20</v>
      </c>
      <c r="F57" t="s">
        <v>17</v>
      </c>
      <c r="G57" t="s">
        <v>25</v>
      </c>
      <c r="H57">
        <v>277.60000000000002</v>
      </c>
      <c r="I57">
        <v>246.5</v>
      </c>
      <c r="J57">
        <v>93.9</v>
      </c>
      <c r="K57">
        <v>67.5</v>
      </c>
      <c r="L57">
        <v>27.5</v>
      </c>
      <c r="M57">
        <v>8</v>
      </c>
      <c r="N57">
        <v>0.159636909978738</v>
      </c>
      <c r="O57">
        <v>0.30069118466973299</v>
      </c>
      <c r="P57" t="str">
        <f t="shared" si="0"/>
        <v>F</v>
      </c>
      <c r="Q57" t="str">
        <f t="shared" si="1"/>
        <v>F</v>
      </c>
    </row>
    <row r="58" spans="1:17" hidden="1" x14ac:dyDescent="0.3">
      <c r="A58">
        <v>707</v>
      </c>
      <c r="B58">
        <v>1256</v>
      </c>
      <c r="C58">
        <v>71</v>
      </c>
      <c r="D58" t="s">
        <v>23</v>
      </c>
      <c r="E58" t="s">
        <v>20</v>
      </c>
      <c r="F58" t="s">
        <v>17</v>
      </c>
      <c r="G58" t="s">
        <v>22</v>
      </c>
      <c r="H58">
        <v>281</v>
      </c>
      <c r="I58">
        <v>265.5</v>
      </c>
      <c r="J58">
        <v>100.2</v>
      </c>
      <c r="K58">
        <v>66.5</v>
      </c>
      <c r="L58">
        <v>25.2</v>
      </c>
      <c r="M58">
        <v>8</v>
      </c>
      <c r="N58">
        <v>0.18150481566943</v>
      </c>
      <c r="O58">
        <v>0.13673025338639699</v>
      </c>
      <c r="P58" t="str">
        <f t="shared" si="0"/>
        <v>F</v>
      </c>
      <c r="Q58" t="str">
        <f t="shared" si="1"/>
        <v>T</v>
      </c>
    </row>
    <row r="59" spans="1:17" hidden="1" x14ac:dyDescent="0.3">
      <c r="A59">
        <v>708</v>
      </c>
      <c r="B59">
        <v>1256</v>
      </c>
      <c r="C59">
        <v>71</v>
      </c>
      <c r="D59" t="s">
        <v>23</v>
      </c>
      <c r="E59" t="s">
        <v>20</v>
      </c>
      <c r="F59" t="s">
        <v>17</v>
      </c>
      <c r="G59" t="s">
        <v>22</v>
      </c>
      <c r="H59">
        <v>281</v>
      </c>
      <c r="I59">
        <v>265.5</v>
      </c>
      <c r="J59">
        <v>100.2</v>
      </c>
      <c r="K59">
        <v>66.5</v>
      </c>
      <c r="L59">
        <v>25.2</v>
      </c>
      <c r="M59">
        <v>8</v>
      </c>
      <c r="N59">
        <v>0.15571555112326901</v>
      </c>
      <c r="O59">
        <v>0.15468004821593101</v>
      </c>
      <c r="P59" t="str">
        <f t="shared" si="0"/>
        <v>F</v>
      </c>
      <c r="Q59" t="str">
        <f t="shared" si="1"/>
        <v>T</v>
      </c>
    </row>
    <row r="60" spans="1:17" hidden="1" x14ac:dyDescent="0.3">
      <c r="A60">
        <v>713</v>
      </c>
      <c r="B60">
        <v>1260</v>
      </c>
      <c r="C60">
        <v>340</v>
      </c>
      <c r="D60" t="s">
        <v>23</v>
      </c>
      <c r="E60" t="s">
        <v>20</v>
      </c>
      <c r="F60" t="s">
        <v>17</v>
      </c>
      <c r="G60" t="s">
        <v>25</v>
      </c>
      <c r="H60">
        <v>274.60000000000002</v>
      </c>
      <c r="I60">
        <v>261.5</v>
      </c>
      <c r="J60">
        <v>96.7</v>
      </c>
      <c r="K60">
        <v>62</v>
      </c>
      <c r="L60">
        <v>28.9</v>
      </c>
      <c r="M60">
        <v>10.5</v>
      </c>
      <c r="N60">
        <v>5.8505257070759598E-2</v>
      </c>
      <c r="O60">
        <v>0.37773562705236102</v>
      </c>
      <c r="P60" t="str">
        <f t="shared" si="0"/>
        <v>T</v>
      </c>
      <c r="Q60" t="str">
        <f t="shared" si="1"/>
        <v>F</v>
      </c>
    </row>
    <row r="61" spans="1:17" hidden="1" x14ac:dyDescent="0.3">
      <c r="A61">
        <v>715</v>
      </c>
      <c r="B61">
        <v>1260</v>
      </c>
      <c r="C61">
        <v>340</v>
      </c>
      <c r="D61" t="s">
        <v>23</v>
      </c>
      <c r="E61" t="s">
        <v>20</v>
      </c>
      <c r="F61" t="s">
        <v>17</v>
      </c>
      <c r="G61" t="s">
        <v>25</v>
      </c>
      <c r="H61">
        <v>274.60000000000002</v>
      </c>
      <c r="I61">
        <v>261.5</v>
      </c>
      <c r="J61">
        <v>96.7</v>
      </c>
      <c r="K61">
        <v>62</v>
      </c>
      <c r="L61">
        <v>28.9</v>
      </c>
      <c r="M61">
        <v>10.5</v>
      </c>
      <c r="N61">
        <v>4.02948509591338E-2</v>
      </c>
      <c r="O61">
        <v>0.36507635184308901</v>
      </c>
      <c r="P61" t="str">
        <f t="shared" si="0"/>
        <v>T</v>
      </c>
      <c r="Q61" t="str">
        <f t="shared" si="1"/>
        <v>F</v>
      </c>
    </row>
    <row r="62" spans="1:17" hidden="1" x14ac:dyDescent="0.3">
      <c r="A62">
        <v>716</v>
      </c>
      <c r="B62">
        <v>1261</v>
      </c>
      <c r="C62">
        <v>26</v>
      </c>
      <c r="D62" t="s">
        <v>23</v>
      </c>
      <c r="E62" t="s">
        <v>20</v>
      </c>
      <c r="F62" t="s">
        <v>17</v>
      </c>
      <c r="G62" t="s">
        <v>25</v>
      </c>
      <c r="H62">
        <v>270.5</v>
      </c>
      <c r="I62">
        <v>243.5</v>
      </c>
      <c r="J62">
        <v>95.9</v>
      </c>
      <c r="K62">
        <v>66</v>
      </c>
      <c r="L62">
        <v>26.9</v>
      </c>
      <c r="M62">
        <v>6</v>
      </c>
      <c r="N62">
        <v>0.172726401908295</v>
      </c>
      <c r="O62">
        <v>0.37591916178708601</v>
      </c>
      <c r="P62" t="str">
        <f t="shared" si="0"/>
        <v>F</v>
      </c>
      <c r="Q62" t="str">
        <f t="shared" si="1"/>
        <v>F</v>
      </c>
    </row>
    <row r="63" spans="1:17" hidden="1" x14ac:dyDescent="0.3">
      <c r="A63">
        <v>717</v>
      </c>
      <c r="B63">
        <v>1261</v>
      </c>
      <c r="C63">
        <v>26</v>
      </c>
      <c r="D63" t="s">
        <v>23</v>
      </c>
      <c r="E63" t="s">
        <v>20</v>
      </c>
      <c r="F63" t="s">
        <v>17</v>
      </c>
      <c r="G63" t="s">
        <v>25</v>
      </c>
      <c r="H63">
        <v>270.5</v>
      </c>
      <c r="I63">
        <v>243.5</v>
      </c>
      <c r="J63">
        <v>95.9</v>
      </c>
      <c r="K63">
        <v>66</v>
      </c>
      <c r="L63">
        <v>26.9</v>
      </c>
      <c r="M63">
        <v>6</v>
      </c>
      <c r="N63">
        <v>0.182617470719837</v>
      </c>
      <c r="O63">
        <v>0.373337715264496</v>
      </c>
      <c r="P63" t="str">
        <f t="shared" si="0"/>
        <v>F</v>
      </c>
      <c r="Q63" t="str">
        <f t="shared" si="1"/>
        <v>F</v>
      </c>
    </row>
    <row r="64" spans="1:17" hidden="1" x14ac:dyDescent="0.3">
      <c r="A64">
        <v>790</v>
      </c>
      <c r="B64">
        <v>1288</v>
      </c>
      <c r="C64">
        <v>98</v>
      </c>
      <c r="D64" t="s">
        <v>23</v>
      </c>
      <c r="E64" t="s">
        <v>20</v>
      </c>
      <c r="F64" t="s">
        <v>17</v>
      </c>
      <c r="G64" t="s">
        <v>26</v>
      </c>
      <c r="H64">
        <v>276.60000000000002</v>
      </c>
      <c r="I64">
        <v>257.5</v>
      </c>
      <c r="J64">
        <v>95.2</v>
      </c>
      <c r="K64">
        <v>67.5</v>
      </c>
      <c r="L64">
        <v>24.1</v>
      </c>
      <c r="M64">
        <v>9.5</v>
      </c>
      <c r="N64">
        <v>0.177660625528583</v>
      </c>
      <c r="O64">
        <v>0.38944853447635103</v>
      </c>
      <c r="P64" t="str">
        <f t="shared" si="0"/>
        <v>F</v>
      </c>
      <c r="Q64" t="str">
        <f t="shared" si="1"/>
        <v>F</v>
      </c>
    </row>
    <row r="65" spans="1:17" hidden="1" x14ac:dyDescent="0.3">
      <c r="A65">
        <v>800</v>
      </c>
      <c r="B65">
        <v>1292</v>
      </c>
      <c r="C65">
        <v>497</v>
      </c>
      <c r="D65" t="s">
        <v>23</v>
      </c>
      <c r="E65" t="s">
        <v>20</v>
      </c>
      <c r="F65" t="s">
        <v>17</v>
      </c>
      <c r="G65" t="s">
        <v>22</v>
      </c>
      <c r="H65">
        <v>269.7</v>
      </c>
      <c r="I65">
        <v>245</v>
      </c>
      <c r="J65">
        <v>94</v>
      </c>
      <c r="K65">
        <v>67</v>
      </c>
      <c r="L65">
        <v>24.2</v>
      </c>
      <c r="M65">
        <v>9</v>
      </c>
      <c r="N65">
        <v>0.212908421180733</v>
      </c>
      <c r="O65">
        <v>0.37454617638354598</v>
      </c>
      <c r="P65" t="str">
        <f t="shared" si="0"/>
        <v>F</v>
      </c>
      <c r="Q65" t="str">
        <f t="shared" si="1"/>
        <v>F</v>
      </c>
    </row>
    <row r="66" spans="1:17" hidden="1" x14ac:dyDescent="0.3">
      <c r="A66">
        <v>801</v>
      </c>
      <c r="B66">
        <v>1292</v>
      </c>
      <c r="C66">
        <v>497</v>
      </c>
      <c r="D66" t="s">
        <v>23</v>
      </c>
      <c r="E66" t="s">
        <v>20</v>
      </c>
      <c r="F66" t="s">
        <v>17</v>
      </c>
      <c r="G66" t="s">
        <v>22</v>
      </c>
      <c r="H66">
        <v>269.7</v>
      </c>
      <c r="I66">
        <v>245</v>
      </c>
      <c r="J66">
        <v>94</v>
      </c>
      <c r="K66">
        <v>67</v>
      </c>
      <c r="L66">
        <v>24.2</v>
      </c>
      <c r="M66">
        <v>9</v>
      </c>
      <c r="N66">
        <v>0.22904204772874601</v>
      </c>
      <c r="O66">
        <v>0.38173972401504602</v>
      </c>
      <c r="P66" t="str">
        <f t="shared" ref="P66:P129" si="2">IF(N66&lt;0.100978, "T", "F")</f>
        <v>F</v>
      </c>
      <c r="Q66" t="str">
        <f t="shared" ref="Q66:Q129" si="3">IF(O66&lt;0.268491, "T", "F")</f>
        <v>F</v>
      </c>
    </row>
    <row r="67" spans="1:17" hidden="1" x14ac:dyDescent="0.3">
      <c r="A67">
        <v>802</v>
      </c>
      <c r="B67">
        <v>1292</v>
      </c>
      <c r="C67">
        <v>497</v>
      </c>
      <c r="D67" t="s">
        <v>23</v>
      </c>
      <c r="E67" t="s">
        <v>20</v>
      </c>
      <c r="F67" t="s">
        <v>17</v>
      </c>
      <c r="G67" t="s">
        <v>22</v>
      </c>
      <c r="H67">
        <v>269.7</v>
      </c>
      <c r="I67">
        <v>245</v>
      </c>
      <c r="J67">
        <v>94</v>
      </c>
      <c r="K67">
        <v>67</v>
      </c>
      <c r="L67">
        <v>24.2</v>
      </c>
      <c r="M67">
        <v>9</v>
      </c>
      <c r="N67">
        <v>0.19779250697244199</v>
      </c>
      <c r="O67">
        <v>0.359897924293136</v>
      </c>
      <c r="P67" t="str">
        <f t="shared" si="2"/>
        <v>F</v>
      </c>
      <c r="Q67" t="str">
        <f t="shared" si="3"/>
        <v>F</v>
      </c>
    </row>
    <row r="68" spans="1:17" hidden="1" x14ac:dyDescent="0.3">
      <c r="A68">
        <v>909</v>
      </c>
      <c r="B68">
        <v>1328</v>
      </c>
      <c r="C68">
        <v>385</v>
      </c>
      <c r="D68" t="s">
        <v>23</v>
      </c>
      <c r="E68" t="s">
        <v>20</v>
      </c>
      <c r="F68" t="s">
        <v>17</v>
      </c>
      <c r="G68" t="s">
        <v>26</v>
      </c>
      <c r="H68">
        <v>270</v>
      </c>
      <c r="I68">
        <v>256</v>
      </c>
      <c r="J68">
        <v>97.2</v>
      </c>
      <c r="K68">
        <v>65.5</v>
      </c>
      <c r="L68">
        <v>26</v>
      </c>
      <c r="M68">
        <v>8</v>
      </c>
      <c r="N68">
        <v>0.18519135896848701</v>
      </c>
      <c r="O68">
        <v>0.39338963143186201</v>
      </c>
      <c r="P68" t="str">
        <f t="shared" si="2"/>
        <v>F</v>
      </c>
      <c r="Q68" t="str">
        <f t="shared" si="3"/>
        <v>F</v>
      </c>
    </row>
    <row r="69" spans="1:17" hidden="1" x14ac:dyDescent="0.3">
      <c r="A69">
        <v>910</v>
      </c>
      <c r="B69">
        <v>1328</v>
      </c>
      <c r="C69">
        <v>385</v>
      </c>
      <c r="D69" t="s">
        <v>23</v>
      </c>
      <c r="E69" t="s">
        <v>20</v>
      </c>
      <c r="F69" t="s">
        <v>17</v>
      </c>
      <c r="G69" t="s">
        <v>26</v>
      </c>
      <c r="H69">
        <v>270</v>
      </c>
      <c r="I69">
        <v>256</v>
      </c>
      <c r="J69">
        <v>97.2</v>
      </c>
      <c r="K69">
        <v>65.5</v>
      </c>
      <c r="L69">
        <v>26</v>
      </c>
      <c r="M69">
        <v>8</v>
      </c>
      <c r="N69">
        <v>0.19765166361821601</v>
      </c>
      <c r="O69">
        <v>0.37901360858494099</v>
      </c>
      <c r="P69" t="str">
        <f t="shared" si="2"/>
        <v>F</v>
      </c>
      <c r="Q69" t="str">
        <f t="shared" si="3"/>
        <v>F</v>
      </c>
    </row>
    <row r="70" spans="1:17" hidden="1" x14ac:dyDescent="0.3">
      <c r="A70">
        <v>911</v>
      </c>
      <c r="B70">
        <v>1328</v>
      </c>
      <c r="C70">
        <v>385</v>
      </c>
      <c r="D70" t="s">
        <v>23</v>
      </c>
      <c r="E70" t="s">
        <v>20</v>
      </c>
      <c r="F70" t="s">
        <v>17</v>
      </c>
      <c r="G70" t="s">
        <v>26</v>
      </c>
      <c r="H70">
        <v>270</v>
      </c>
      <c r="I70">
        <v>256</v>
      </c>
      <c r="J70">
        <v>97.2</v>
      </c>
      <c r="K70">
        <v>65.5</v>
      </c>
      <c r="L70">
        <v>26</v>
      </c>
      <c r="M70">
        <v>8</v>
      </c>
      <c r="N70">
        <v>0.176318145240873</v>
      </c>
      <c r="O70">
        <v>0.39222007001383502</v>
      </c>
      <c r="P70" t="str">
        <f t="shared" si="2"/>
        <v>F</v>
      </c>
      <c r="Q70" t="str">
        <f t="shared" si="3"/>
        <v>F</v>
      </c>
    </row>
    <row r="71" spans="1:17" hidden="1" x14ac:dyDescent="0.3">
      <c r="A71">
        <v>912</v>
      </c>
      <c r="B71">
        <v>1328</v>
      </c>
      <c r="C71">
        <v>385</v>
      </c>
      <c r="D71" t="s">
        <v>23</v>
      </c>
      <c r="E71" t="s">
        <v>20</v>
      </c>
      <c r="F71" t="s">
        <v>17</v>
      </c>
      <c r="G71" t="s">
        <v>26</v>
      </c>
      <c r="H71">
        <v>270</v>
      </c>
      <c r="I71">
        <v>256</v>
      </c>
      <c r="J71">
        <v>97.2</v>
      </c>
      <c r="K71">
        <v>65.5</v>
      </c>
      <c r="L71">
        <v>26</v>
      </c>
      <c r="M71">
        <v>8</v>
      </c>
      <c r="N71">
        <v>0.198373117370017</v>
      </c>
      <c r="O71">
        <v>0.38801088984899101</v>
      </c>
      <c r="P71" t="str">
        <f t="shared" si="2"/>
        <v>F</v>
      </c>
      <c r="Q71" t="str">
        <f t="shared" si="3"/>
        <v>F</v>
      </c>
    </row>
    <row r="72" spans="1:17" hidden="1" x14ac:dyDescent="0.3">
      <c r="A72">
        <v>961</v>
      </c>
      <c r="B72">
        <v>1341</v>
      </c>
      <c r="C72">
        <v>95</v>
      </c>
      <c r="D72" t="s">
        <v>23</v>
      </c>
      <c r="E72" t="s">
        <v>20</v>
      </c>
      <c r="F72" t="s">
        <v>21</v>
      </c>
      <c r="G72" t="s">
        <v>22</v>
      </c>
      <c r="H72">
        <v>276.60000000000002</v>
      </c>
      <c r="I72">
        <v>250.5</v>
      </c>
      <c r="J72">
        <v>100</v>
      </c>
      <c r="K72">
        <v>67</v>
      </c>
      <c r="L72">
        <v>28.2</v>
      </c>
      <c r="M72">
        <v>6.5</v>
      </c>
      <c r="N72">
        <v>0.10031167672121701</v>
      </c>
      <c r="O72">
        <v>0.33935098756957899</v>
      </c>
      <c r="P72" t="str">
        <f t="shared" si="2"/>
        <v>T</v>
      </c>
      <c r="Q72" t="str">
        <f t="shared" si="3"/>
        <v>F</v>
      </c>
    </row>
    <row r="73" spans="1:17" hidden="1" x14ac:dyDescent="0.3">
      <c r="A73">
        <v>962</v>
      </c>
      <c r="B73">
        <v>1341</v>
      </c>
      <c r="C73">
        <v>95</v>
      </c>
      <c r="D73" t="s">
        <v>23</v>
      </c>
      <c r="E73" t="s">
        <v>20</v>
      </c>
      <c r="F73" t="s">
        <v>21</v>
      </c>
      <c r="G73" t="s">
        <v>22</v>
      </c>
      <c r="H73">
        <v>276.60000000000002</v>
      </c>
      <c r="I73">
        <v>250.5</v>
      </c>
      <c r="J73">
        <v>100</v>
      </c>
      <c r="K73">
        <v>67</v>
      </c>
      <c r="L73">
        <v>28.2</v>
      </c>
      <c r="M73">
        <v>6.5</v>
      </c>
      <c r="N73">
        <v>0.10389054348570299</v>
      </c>
      <c r="O73">
        <v>0.32487496802564703</v>
      </c>
      <c r="P73" t="str">
        <f t="shared" si="2"/>
        <v>F</v>
      </c>
      <c r="Q73" t="str">
        <f t="shared" si="3"/>
        <v>F</v>
      </c>
    </row>
    <row r="74" spans="1:17" hidden="1" x14ac:dyDescent="0.3">
      <c r="A74">
        <v>963</v>
      </c>
      <c r="B74">
        <v>1341</v>
      </c>
      <c r="C74">
        <v>95</v>
      </c>
      <c r="D74" t="s">
        <v>23</v>
      </c>
      <c r="E74" t="s">
        <v>20</v>
      </c>
      <c r="F74" t="s">
        <v>21</v>
      </c>
      <c r="G74" t="s">
        <v>22</v>
      </c>
      <c r="H74">
        <v>276.60000000000002</v>
      </c>
      <c r="I74">
        <v>250.5</v>
      </c>
      <c r="J74">
        <v>100</v>
      </c>
      <c r="K74">
        <v>67</v>
      </c>
      <c r="L74">
        <v>28.2</v>
      </c>
      <c r="M74">
        <v>6.5</v>
      </c>
      <c r="N74">
        <v>0.11918947525273101</v>
      </c>
      <c r="O74">
        <v>0.347348071514403</v>
      </c>
      <c r="P74" t="str">
        <f t="shared" si="2"/>
        <v>F</v>
      </c>
      <c r="Q74" t="str">
        <f t="shared" si="3"/>
        <v>F</v>
      </c>
    </row>
    <row r="75" spans="1:17" hidden="1" x14ac:dyDescent="0.3">
      <c r="A75">
        <v>1001</v>
      </c>
      <c r="B75">
        <v>1358</v>
      </c>
      <c r="C75">
        <v>251</v>
      </c>
      <c r="D75" t="s">
        <v>23</v>
      </c>
      <c r="E75" t="s">
        <v>20</v>
      </c>
      <c r="F75" t="s">
        <v>17</v>
      </c>
      <c r="G75" t="s">
        <v>24</v>
      </c>
      <c r="H75">
        <v>277.2</v>
      </c>
      <c r="I75">
        <v>261</v>
      </c>
      <c r="J75">
        <v>99.3</v>
      </c>
      <c r="K75">
        <v>69.5</v>
      </c>
      <c r="L75">
        <v>23.6</v>
      </c>
      <c r="M75">
        <v>13</v>
      </c>
      <c r="N75">
        <v>0.19388241161425901</v>
      </c>
      <c r="O75">
        <v>0.48726759976984102</v>
      </c>
      <c r="P75" t="str">
        <f t="shared" si="2"/>
        <v>F</v>
      </c>
      <c r="Q75" t="str">
        <f t="shared" si="3"/>
        <v>F</v>
      </c>
    </row>
    <row r="76" spans="1:17" hidden="1" x14ac:dyDescent="0.3">
      <c r="A76">
        <v>1018</v>
      </c>
      <c r="B76">
        <v>1368</v>
      </c>
      <c r="C76">
        <v>125</v>
      </c>
      <c r="D76" t="s">
        <v>23</v>
      </c>
      <c r="E76" t="s">
        <v>20</v>
      </c>
      <c r="F76" t="s">
        <v>17</v>
      </c>
      <c r="G76" t="s">
        <v>24</v>
      </c>
      <c r="H76">
        <v>274.39999999999998</v>
      </c>
      <c r="I76">
        <v>240</v>
      </c>
      <c r="J76">
        <v>94.3</v>
      </c>
      <c r="K76">
        <v>68</v>
      </c>
      <c r="L76">
        <v>23.6</v>
      </c>
      <c r="M76">
        <v>11.5</v>
      </c>
      <c r="N76">
        <v>0.21742516481448601</v>
      </c>
      <c r="O76">
        <v>0.4110087248589</v>
      </c>
      <c r="P76" t="str">
        <f t="shared" si="2"/>
        <v>F</v>
      </c>
      <c r="Q76" t="str">
        <f t="shared" si="3"/>
        <v>F</v>
      </c>
    </row>
    <row r="77" spans="1:17" hidden="1" x14ac:dyDescent="0.3">
      <c r="A77">
        <v>1031</v>
      </c>
      <c r="B77">
        <v>1373</v>
      </c>
      <c r="C77">
        <v>125</v>
      </c>
      <c r="D77" t="s">
        <v>23</v>
      </c>
      <c r="E77" t="s">
        <v>20</v>
      </c>
      <c r="F77" t="s">
        <v>17</v>
      </c>
      <c r="G77" t="s">
        <v>26</v>
      </c>
      <c r="H77">
        <v>274.39999999999998</v>
      </c>
      <c r="I77">
        <v>240</v>
      </c>
      <c r="J77">
        <v>94.3</v>
      </c>
      <c r="K77">
        <v>68</v>
      </c>
      <c r="L77">
        <v>23.6</v>
      </c>
      <c r="M77">
        <v>11.5</v>
      </c>
      <c r="N77">
        <v>0.19906321731036</v>
      </c>
      <c r="O77">
        <v>0.42172735111475501</v>
      </c>
      <c r="P77" t="str">
        <f t="shared" si="2"/>
        <v>F</v>
      </c>
      <c r="Q77" t="str">
        <f t="shared" si="3"/>
        <v>F</v>
      </c>
    </row>
    <row r="78" spans="1:17" hidden="1" x14ac:dyDescent="0.3">
      <c r="A78">
        <v>1032</v>
      </c>
      <c r="B78">
        <v>1373</v>
      </c>
      <c r="C78">
        <v>125</v>
      </c>
      <c r="D78" t="s">
        <v>23</v>
      </c>
      <c r="E78" t="s">
        <v>20</v>
      </c>
      <c r="F78" t="s">
        <v>17</v>
      </c>
      <c r="G78" t="s">
        <v>26</v>
      </c>
      <c r="H78">
        <v>274.39999999999998</v>
      </c>
      <c r="I78">
        <v>240</v>
      </c>
      <c r="J78">
        <v>94.3</v>
      </c>
      <c r="K78">
        <v>68</v>
      </c>
      <c r="L78">
        <v>23.6</v>
      </c>
      <c r="M78">
        <v>11.5</v>
      </c>
      <c r="N78">
        <v>0.20672232571222099</v>
      </c>
      <c r="O78">
        <v>0.40644220556805599</v>
      </c>
      <c r="P78" t="str">
        <f t="shared" si="2"/>
        <v>F</v>
      </c>
      <c r="Q78" t="str">
        <f t="shared" si="3"/>
        <v>F</v>
      </c>
    </row>
    <row r="79" spans="1:17" hidden="1" x14ac:dyDescent="0.3">
      <c r="A79">
        <v>1110</v>
      </c>
      <c r="B79">
        <v>140</v>
      </c>
      <c r="C79">
        <v>385</v>
      </c>
      <c r="D79" t="s">
        <v>23</v>
      </c>
      <c r="E79" t="s">
        <v>20</v>
      </c>
      <c r="F79" t="s">
        <v>21</v>
      </c>
      <c r="G79" t="s">
        <v>18</v>
      </c>
      <c r="H79">
        <v>270</v>
      </c>
      <c r="I79">
        <v>256</v>
      </c>
      <c r="J79">
        <v>97.2</v>
      </c>
      <c r="K79">
        <v>65.5</v>
      </c>
      <c r="L79">
        <v>26</v>
      </c>
      <c r="M79">
        <v>8</v>
      </c>
      <c r="N79">
        <v>0.19750490266677001</v>
      </c>
      <c r="O79">
        <v>0.382854277399024</v>
      </c>
      <c r="P79" t="str">
        <f t="shared" si="2"/>
        <v>F</v>
      </c>
      <c r="Q79" t="str">
        <f t="shared" si="3"/>
        <v>F</v>
      </c>
    </row>
    <row r="80" spans="1:17" hidden="1" x14ac:dyDescent="0.3">
      <c r="A80">
        <v>1111</v>
      </c>
      <c r="B80">
        <v>140</v>
      </c>
      <c r="C80">
        <v>385</v>
      </c>
      <c r="D80" t="s">
        <v>23</v>
      </c>
      <c r="E80" t="s">
        <v>20</v>
      </c>
      <c r="F80" t="s">
        <v>21</v>
      </c>
      <c r="G80" t="s">
        <v>18</v>
      </c>
      <c r="H80">
        <v>270</v>
      </c>
      <c r="I80">
        <v>256</v>
      </c>
      <c r="J80">
        <v>97.2</v>
      </c>
      <c r="K80">
        <v>65.5</v>
      </c>
      <c r="L80">
        <v>26</v>
      </c>
      <c r="M80">
        <v>8</v>
      </c>
      <c r="N80">
        <v>0.18129026658255501</v>
      </c>
      <c r="O80">
        <v>0.37080427807652699</v>
      </c>
      <c r="P80" t="str">
        <f t="shared" si="2"/>
        <v>F</v>
      </c>
      <c r="Q80" t="str">
        <f t="shared" si="3"/>
        <v>F</v>
      </c>
    </row>
    <row r="81" spans="1:17" hidden="1" x14ac:dyDescent="0.3">
      <c r="A81">
        <v>1112</v>
      </c>
      <c r="B81">
        <v>140</v>
      </c>
      <c r="C81">
        <v>385</v>
      </c>
      <c r="D81" t="s">
        <v>23</v>
      </c>
      <c r="E81" t="s">
        <v>20</v>
      </c>
      <c r="F81" t="s">
        <v>21</v>
      </c>
      <c r="G81" t="s">
        <v>18</v>
      </c>
      <c r="H81">
        <v>270</v>
      </c>
      <c r="I81">
        <v>256</v>
      </c>
      <c r="J81">
        <v>97.2</v>
      </c>
      <c r="K81">
        <v>65.5</v>
      </c>
      <c r="L81">
        <v>26</v>
      </c>
      <c r="M81">
        <v>8</v>
      </c>
      <c r="N81">
        <v>0.190257602475146</v>
      </c>
      <c r="O81">
        <v>0.397446328210806</v>
      </c>
      <c r="P81" t="str">
        <f t="shared" si="2"/>
        <v>F</v>
      </c>
      <c r="Q81" t="str">
        <f t="shared" si="3"/>
        <v>F</v>
      </c>
    </row>
    <row r="82" spans="1:17" hidden="1" x14ac:dyDescent="0.3">
      <c r="A82">
        <v>1113</v>
      </c>
      <c r="B82">
        <v>140</v>
      </c>
      <c r="C82">
        <v>385</v>
      </c>
      <c r="D82" t="s">
        <v>23</v>
      </c>
      <c r="E82" t="s">
        <v>20</v>
      </c>
      <c r="F82" t="s">
        <v>21</v>
      </c>
      <c r="G82" t="s">
        <v>18</v>
      </c>
      <c r="H82">
        <v>270</v>
      </c>
      <c r="I82">
        <v>256</v>
      </c>
      <c r="J82">
        <v>97.2</v>
      </c>
      <c r="K82">
        <v>65.5</v>
      </c>
      <c r="L82">
        <v>26</v>
      </c>
      <c r="M82">
        <v>8</v>
      </c>
      <c r="N82">
        <v>0.17996716969700399</v>
      </c>
      <c r="O82">
        <v>0.376750702349408</v>
      </c>
      <c r="P82" t="str">
        <f t="shared" si="2"/>
        <v>F</v>
      </c>
      <c r="Q82" t="str">
        <f t="shared" si="3"/>
        <v>F</v>
      </c>
    </row>
    <row r="83" spans="1:17" hidden="1" x14ac:dyDescent="0.3">
      <c r="A83">
        <v>1117</v>
      </c>
      <c r="B83">
        <v>1402</v>
      </c>
      <c r="C83">
        <v>122</v>
      </c>
      <c r="D83" t="s">
        <v>23</v>
      </c>
      <c r="E83" t="s">
        <v>20</v>
      </c>
      <c r="F83" t="s">
        <v>17</v>
      </c>
      <c r="G83" t="s">
        <v>22</v>
      </c>
      <c r="H83">
        <v>276.60000000000002</v>
      </c>
      <c r="I83">
        <v>246.5</v>
      </c>
      <c r="J83">
        <v>96.7</v>
      </c>
      <c r="K83">
        <v>65.5</v>
      </c>
      <c r="L83">
        <v>30.9</v>
      </c>
      <c r="M83">
        <v>8.5</v>
      </c>
      <c r="N83">
        <v>7.5492902616501004E-2</v>
      </c>
      <c r="O83">
        <v>0.297514227485351</v>
      </c>
      <c r="P83" t="str">
        <f t="shared" si="2"/>
        <v>T</v>
      </c>
      <c r="Q83" t="str">
        <f t="shared" si="3"/>
        <v>F</v>
      </c>
    </row>
    <row r="84" spans="1:17" hidden="1" x14ac:dyDescent="0.3">
      <c r="A84">
        <v>1118</v>
      </c>
      <c r="B84">
        <v>1402</v>
      </c>
      <c r="C84">
        <v>122</v>
      </c>
      <c r="D84" t="s">
        <v>23</v>
      </c>
      <c r="E84" t="s">
        <v>20</v>
      </c>
      <c r="F84" t="s">
        <v>17</v>
      </c>
      <c r="G84" t="s">
        <v>22</v>
      </c>
      <c r="H84">
        <v>276.60000000000002</v>
      </c>
      <c r="I84">
        <v>246.5</v>
      </c>
      <c r="J84">
        <v>96.7</v>
      </c>
      <c r="K84">
        <v>65.5</v>
      </c>
      <c r="L84">
        <v>30.9</v>
      </c>
      <c r="M84">
        <v>8.5</v>
      </c>
      <c r="N84">
        <v>6.6203422577312696E-2</v>
      </c>
      <c r="O84">
        <v>0.315402071337963</v>
      </c>
      <c r="P84" t="str">
        <f t="shared" si="2"/>
        <v>T</v>
      </c>
      <c r="Q84" t="str">
        <f t="shared" si="3"/>
        <v>F</v>
      </c>
    </row>
    <row r="85" spans="1:17" hidden="1" x14ac:dyDescent="0.3">
      <c r="A85">
        <v>1119</v>
      </c>
      <c r="B85">
        <v>1402</v>
      </c>
      <c r="C85">
        <v>122</v>
      </c>
      <c r="D85" t="s">
        <v>23</v>
      </c>
      <c r="E85" t="s">
        <v>20</v>
      </c>
      <c r="F85" t="s">
        <v>17</v>
      </c>
      <c r="G85" t="s">
        <v>22</v>
      </c>
      <c r="H85">
        <v>276.60000000000002</v>
      </c>
      <c r="I85">
        <v>246.5</v>
      </c>
      <c r="J85">
        <v>96.7</v>
      </c>
      <c r="K85">
        <v>65.5</v>
      </c>
      <c r="L85">
        <v>30.9</v>
      </c>
      <c r="M85">
        <v>8.5</v>
      </c>
      <c r="N85">
        <v>5.8633344519824999E-2</v>
      </c>
      <c r="O85">
        <v>0.31516779606017697</v>
      </c>
      <c r="P85" t="str">
        <f t="shared" si="2"/>
        <v>T</v>
      </c>
      <c r="Q85" t="str">
        <f t="shared" si="3"/>
        <v>F</v>
      </c>
    </row>
    <row r="86" spans="1:17" hidden="1" x14ac:dyDescent="0.3">
      <c r="A86">
        <v>1120</v>
      </c>
      <c r="B86">
        <v>1402</v>
      </c>
      <c r="C86">
        <v>122</v>
      </c>
      <c r="D86" t="s">
        <v>23</v>
      </c>
      <c r="E86" t="s">
        <v>20</v>
      </c>
      <c r="F86" t="s">
        <v>17</v>
      </c>
      <c r="G86" t="s">
        <v>22</v>
      </c>
      <c r="H86">
        <v>276.60000000000002</v>
      </c>
      <c r="I86">
        <v>246.5</v>
      </c>
      <c r="J86">
        <v>96.7</v>
      </c>
      <c r="K86">
        <v>65.5</v>
      </c>
      <c r="L86">
        <v>30.9</v>
      </c>
      <c r="M86">
        <v>8.5</v>
      </c>
      <c r="N86">
        <v>4.84255859667478E-2</v>
      </c>
      <c r="O86">
        <v>0.30763244613920998</v>
      </c>
      <c r="P86" t="str">
        <f t="shared" si="2"/>
        <v>T</v>
      </c>
      <c r="Q86" t="str">
        <f t="shared" si="3"/>
        <v>F</v>
      </c>
    </row>
    <row r="87" spans="1:17" hidden="1" x14ac:dyDescent="0.3">
      <c r="A87">
        <v>1127</v>
      </c>
      <c r="B87">
        <v>1405</v>
      </c>
      <c r="C87">
        <v>340</v>
      </c>
      <c r="D87" t="s">
        <v>23</v>
      </c>
      <c r="E87" t="s">
        <v>20</v>
      </c>
      <c r="F87" t="s">
        <v>17</v>
      </c>
      <c r="G87" t="s">
        <v>25</v>
      </c>
      <c r="H87">
        <v>274.60000000000002</v>
      </c>
      <c r="I87">
        <v>261.5</v>
      </c>
      <c r="J87">
        <v>96.7</v>
      </c>
      <c r="K87">
        <v>62</v>
      </c>
      <c r="L87">
        <v>28.9</v>
      </c>
      <c r="M87">
        <v>10.5</v>
      </c>
      <c r="N87">
        <v>3.0981286114242799E-2</v>
      </c>
      <c r="O87">
        <v>0.36903143570625002</v>
      </c>
      <c r="P87" t="str">
        <f t="shared" si="2"/>
        <v>T</v>
      </c>
      <c r="Q87" t="str">
        <f t="shared" si="3"/>
        <v>F</v>
      </c>
    </row>
    <row r="88" spans="1:17" hidden="1" x14ac:dyDescent="0.3">
      <c r="A88">
        <v>1147</v>
      </c>
      <c r="B88">
        <v>1412</v>
      </c>
      <c r="C88">
        <v>355</v>
      </c>
      <c r="D88" t="s">
        <v>23</v>
      </c>
      <c r="E88" t="s">
        <v>20</v>
      </c>
      <c r="F88" t="s">
        <v>17</v>
      </c>
      <c r="G88" t="s">
        <v>25</v>
      </c>
      <c r="H88">
        <v>277.7</v>
      </c>
      <c r="I88">
        <v>250</v>
      </c>
      <c r="J88">
        <v>99.3</v>
      </c>
      <c r="K88">
        <v>65</v>
      </c>
      <c r="L88">
        <v>25.4</v>
      </c>
      <c r="M88">
        <v>11.5</v>
      </c>
      <c r="N88">
        <v>0.131421879948458</v>
      </c>
      <c r="O88">
        <v>0.31420858957094699</v>
      </c>
      <c r="P88" t="str">
        <f t="shared" si="2"/>
        <v>F</v>
      </c>
      <c r="Q88" t="str">
        <f t="shared" si="3"/>
        <v>F</v>
      </c>
    </row>
    <row r="89" spans="1:17" hidden="1" x14ac:dyDescent="0.3">
      <c r="A89">
        <v>1216</v>
      </c>
      <c r="B89">
        <v>1443</v>
      </c>
      <c r="C89">
        <v>483</v>
      </c>
      <c r="D89" t="s">
        <v>23</v>
      </c>
      <c r="E89" t="s">
        <v>20</v>
      </c>
      <c r="F89" t="s">
        <v>17</v>
      </c>
      <c r="G89" t="s">
        <v>25</v>
      </c>
      <c r="H89">
        <v>271.89999999999998</v>
      </c>
      <c r="I89">
        <v>246</v>
      </c>
      <c r="J89">
        <v>94.4</v>
      </c>
      <c r="K89">
        <v>60.5</v>
      </c>
      <c r="L89">
        <v>27.6</v>
      </c>
      <c r="M89">
        <v>13.5</v>
      </c>
      <c r="N89">
        <v>0.124823777823865</v>
      </c>
      <c r="O89">
        <v>0.19404521206585601</v>
      </c>
      <c r="P89" t="str">
        <f t="shared" si="2"/>
        <v>F</v>
      </c>
      <c r="Q89" t="str">
        <f t="shared" si="3"/>
        <v>T</v>
      </c>
    </row>
    <row r="90" spans="1:17" hidden="1" x14ac:dyDescent="0.3">
      <c r="A90">
        <v>1411</v>
      </c>
      <c r="B90">
        <v>1518</v>
      </c>
      <c r="C90">
        <v>340</v>
      </c>
      <c r="D90" t="s">
        <v>23</v>
      </c>
      <c r="E90" t="s">
        <v>20</v>
      </c>
      <c r="F90" t="s">
        <v>21</v>
      </c>
      <c r="G90" t="s">
        <v>25</v>
      </c>
      <c r="H90">
        <v>274.60000000000002</v>
      </c>
      <c r="I90">
        <v>261.5</v>
      </c>
      <c r="J90">
        <v>96.7</v>
      </c>
      <c r="K90">
        <v>62</v>
      </c>
      <c r="L90">
        <v>28.9</v>
      </c>
      <c r="M90">
        <v>10.5</v>
      </c>
      <c r="N90">
        <v>4.8946074187125599E-2</v>
      </c>
      <c r="O90">
        <v>0.38622007770387601</v>
      </c>
      <c r="P90" t="str">
        <f t="shared" si="2"/>
        <v>T</v>
      </c>
      <c r="Q90" t="str">
        <f t="shared" si="3"/>
        <v>F</v>
      </c>
    </row>
    <row r="91" spans="1:17" hidden="1" x14ac:dyDescent="0.3">
      <c r="A91">
        <v>1412</v>
      </c>
      <c r="B91">
        <v>1518</v>
      </c>
      <c r="C91">
        <v>340</v>
      </c>
      <c r="D91" t="s">
        <v>23</v>
      </c>
      <c r="E91" t="s">
        <v>20</v>
      </c>
      <c r="F91" t="s">
        <v>21</v>
      </c>
      <c r="G91" t="s">
        <v>25</v>
      </c>
      <c r="H91">
        <v>274.60000000000002</v>
      </c>
      <c r="I91">
        <v>261.5</v>
      </c>
      <c r="J91">
        <v>96.7</v>
      </c>
      <c r="K91">
        <v>62</v>
      </c>
      <c r="L91">
        <v>28.9</v>
      </c>
      <c r="M91">
        <v>10.5</v>
      </c>
      <c r="N91">
        <v>4.8328544351738098E-2</v>
      </c>
      <c r="O91">
        <v>0.37120153614453</v>
      </c>
      <c r="P91" t="str">
        <f t="shared" si="2"/>
        <v>T</v>
      </c>
      <c r="Q91" t="str">
        <f t="shared" si="3"/>
        <v>F</v>
      </c>
    </row>
    <row r="92" spans="1:17" hidden="1" x14ac:dyDescent="0.3">
      <c r="A92">
        <v>1413</v>
      </c>
      <c r="B92">
        <v>1519</v>
      </c>
      <c r="C92">
        <v>79</v>
      </c>
      <c r="D92" t="s">
        <v>23</v>
      </c>
      <c r="E92" t="s">
        <v>20</v>
      </c>
      <c r="F92" t="s">
        <v>21</v>
      </c>
      <c r="G92" t="s">
        <v>24</v>
      </c>
      <c r="H92">
        <v>276.8</v>
      </c>
      <c r="I92">
        <v>258.5</v>
      </c>
      <c r="J92">
        <v>101.8</v>
      </c>
      <c r="K92">
        <v>65</v>
      </c>
      <c r="L92">
        <v>24.9</v>
      </c>
      <c r="M92">
        <v>11.5</v>
      </c>
      <c r="N92">
        <v>0.16202390167591599</v>
      </c>
      <c r="O92">
        <v>0.22969559201735701</v>
      </c>
      <c r="P92" t="str">
        <f t="shared" si="2"/>
        <v>F</v>
      </c>
      <c r="Q92" t="str">
        <f t="shared" si="3"/>
        <v>T</v>
      </c>
    </row>
    <row r="93" spans="1:17" hidden="1" x14ac:dyDescent="0.3">
      <c r="A93">
        <v>1414</v>
      </c>
      <c r="B93">
        <v>1519</v>
      </c>
      <c r="C93">
        <v>79</v>
      </c>
      <c r="D93" t="s">
        <v>23</v>
      </c>
      <c r="E93" t="s">
        <v>20</v>
      </c>
      <c r="F93" t="s">
        <v>21</v>
      </c>
      <c r="G93" t="s">
        <v>24</v>
      </c>
      <c r="H93">
        <v>276.8</v>
      </c>
      <c r="I93">
        <v>258.5</v>
      </c>
      <c r="J93">
        <v>101.8</v>
      </c>
      <c r="K93">
        <v>65</v>
      </c>
      <c r="L93">
        <v>24.9</v>
      </c>
      <c r="M93">
        <v>11.5</v>
      </c>
      <c r="N93">
        <v>0.17813007803064199</v>
      </c>
      <c r="O93">
        <v>0.192973009788212</v>
      </c>
      <c r="P93" t="str">
        <f t="shared" si="2"/>
        <v>F</v>
      </c>
      <c r="Q93" t="str">
        <f t="shared" si="3"/>
        <v>T</v>
      </c>
    </row>
    <row r="94" spans="1:17" hidden="1" x14ac:dyDescent="0.3">
      <c r="A94">
        <v>1437</v>
      </c>
      <c r="B94">
        <v>1528</v>
      </c>
      <c r="C94">
        <v>122</v>
      </c>
      <c r="D94" t="s">
        <v>23</v>
      </c>
      <c r="E94" t="s">
        <v>20</v>
      </c>
      <c r="F94" t="s">
        <v>21</v>
      </c>
      <c r="G94" t="s">
        <v>18</v>
      </c>
      <c r="H94">
        <v>276.60000000000002</v>
      </c>
      <c r="I94">
        <v>246.5</v>
      </c>
      <c r="J94">
        <v>96.7</v>
      </c>
      <c r="K94">
        <v>65.5</v>
      </c>
      <c r="L94">
        <v>30.9</v>
      </c>
      <c r="M94">
        <v>8.5</v>
      </c>
      <c r="N94">
        <v>6.5145218869591001E-2</v>
      </c>
      <c r="O94">
        <v>0.30569386068082999</v>
      </c>
      <c r="P94" t="str">
        <f t="shared" si="2"/>
        <v>T</v>
      </c>
      <c r="Q94" t="str">
        <f t="shared" si="3"/>
        <v>F</v>
      </c>
    </row>
    <row r="95" spans="1:17" hidden="1" x14ac:dyDescent="0.3">
      <c r="A95">
        <v>1438</v>
      </c>
      <c r="B95">
        <v>1528</v>
      </c>
      <c r="C95">
        <v>122</v>
      </c>
      <c r="D95" t="s">
        <v>23</v>
      </c>
      <c r="E95" t="s">
        <v>20</v>
      </c>
      <c r="F95" t="s">
        <v>21</v>
      </c>
      <c r="G95" t="s">
        <v>18</v>
      </c>
      <c r="H95">
        <v>276.60000000000002</v>
      </c>
      <c r="I95">
        <v>246.5</v>
      </c>
      <c r="J95">
        <v>96.7</v>
      </c>
      <c r="K95">
        <v>65.5</v>
      </c>
      <c r="L95">
        <v>30.9</v>
      </c>
      <c r="M95">
        <v>8.5</v>
      </c>
      <c r="N95">
        <v>5.0450994620785297E-2</v>
      </c>
      <c r="O95">
        <v>0.30566791006322003</v>
      </c>
      <c r="P95" t="str">
        <f t="shared" si="2"/>
        <v>T</v>
      </c>
      <c r="Q95" t="str">
        <f t="shared" si="3"/>
        <v>F</v>
      </c>
    </row>
    <row r="96" spans="1:17" hidden="1" x14ac:dyDescent="0.3">
      <c r="A96">
        <v>1441</v>
      </c>
      <c r="B96">
        <v>153</v>
      </c>
      <c r="C96">
        <v>152</v>
      </c>
      <c r="D96" t="s">
        <v>23</v>
      </c>
      <c r="E96" t="s">
        <v>20</v>
      </c>
      <c r="F96" t="s">
        <v>17</v>
      </c>
      <c r="G96" t="s">
        <v>26</v>
      </c>
      <c r="H96">
        <v>275.5</v>
      </c>
      <c r="I96">
        <v>247</v>
      </c>
      <c r="J96">
        <v>93.8</v>
      </c>
      <c r="K96">
        <v>66</v>
      </c>
      <c r="L96">
        <v>22</v>
      </c>
      <c r="M96">
        <v>9.5</v>
      </c>
      <c r="N96">
        <v>0.22464003658786799</v>
      </c>
      <c r="O96">
        <v>0.36013764848642599</v>
      </c>
      <c r="P96" t="str">
        <f t="shared" si="2"/>
        <v>F</v>
      </c>
      <c r="Q96" t="str">
        <f t="shared" si="3"/>
        <v>F</v>
      </c>
    </row>
    <row r="97" spans="1:17" hidden="1" x14ac:dyDescent="0.3">
      <c r="A97">
        <v>1514</v>
      </c>
      <c r="B97">
        <v>156</v>
      </c>
      <c r="C97">
        <v>122</v>
      </c>
      <c r="D97" t="s">
        <v>23</v>
      </c>
      <c r="E97" t="s">
        <v>20</v>
      </c>
      <c r="F97" t="s">
        <v>17</v>
      </c>
      <c r="G97" t="s">
        <v>26</v>
      </c>
      <c r="H97">
        <v>276.60000000000002</v>
      </c>
      <c r="I97">
        <v>246.5</v>
      </c>
      <c r="J97">
        <v>96.7</v>
      </c>
      <c r="K97">
        <v>65.5</v>
      </c>
      <c r="L97">
        <v>30.9</v>
      </c>
      <c r="M97">
        <v>8.5</v>
      </c>
      <c r="N97">
        <v>6.8599364432652493E-2</v>
      </c>
      <c r="O97">
        <v>0.30424967728692798</v>
      </c>
      <c r="P97" t="str">
        <f t="shared" si="2"/>
        <v>T</v>
      </c>
      <c r="Q97" t="str">
        <f t="shared" si="3"/>
        <v>F</v>
      </c>
    </row>
    <row r="98" spans="1:17" hidden="1" x14ac:dyDescent="0.3">
      <c r="A98">
        <v>1515</v>
      </c>
      <c r="B98">
        <v>156</v>
      </c>
      <c r="C98">
        <v>122</v>
      </c>
      <c r="D98" t="s">
        <v>23</v>
      </c>
      <c r="E98" t="s">
        <v>20</v>
      </c>
      <c r="F98" t="s">
        <v>17</v>
      </c>
      <c r="G98" t="s">
        <v>26</v>
      </c>
      <c r="H98">
        <v>276.60000000000002</v>
      </c>
      <c r="I98">
        <v>246.5</v>
      </c>
      <c r="J98">
        <v>96.7</v>
      </c>
      <c r="K98">
        <v>65.5</v>
      </c>
      <c r="L98">
        <v>30.9</v>
      </c>
      <c r="M98">
        <v>8.5</v>
      </c>
      <c r="N98">
        <v>5.5299877595755803E-2</v>
      </c>
      <c r="O98">
        <v>0.310757544046046</v>
      </c>
      <c r="P98" t="str">
        <f t="shared" si="2"/>
        <v>T</v>
      </c>
      <c r="Q98" t="str">
        <f t="shared" si="3"/>
        <v>F</v>
      </c>
    </row>
    <row r="99" spans="1:17" hidden="1" x14ac:dyDescent="0.3">
      <c r="A99">
        <v>1533</v>
      </c>
      <c r="B99">
        <v>1566</v>
      </c>
      <c r="C99">
        <v>395</v>
      </c>
      <c r="D99" t="s">
        <v>23</v>
      </c>
      <c r="E99" t="s">
        <v>20</v>
      </c>
      <c r="F99" t="s">
        <v>21</v>
      </c>
      <c r="G99" t="s">
        <v>24</v>
      </c>
      <c r="H99">
        <v>273.60000000000002</v>
      </c>
      <c r="I99">
        <v>247</v>
      </c>
      <c r="J99">
        <v>94</v>
      </c>
      <c r="K99">
        <v>68</v>
      </c>
      <c r="L99">
        <v>26.7</v>
      </c>
      <c r="M99">
        <v>7.5</v>
      </c>
      <c r="N99">
        <v>0.15430440022763101</v>
      </c>
      <c r="O99">
        <v>0.33944226270093403</v>
      </c>
      <c r="P99" t="str">
        <f t="shared" si="2"/>
        <v>F</v>
      </c>
      <c r="Q99" t="str">
        <f t="shared" si="3"/>
        <v>F</v>
      </c>
    </row>
    <row r="100" spans="1:17" hidden="1" x14ac:dyDescent="0.3">
      <c r="A100">
        <v>1534</v>
      </c>
      <c r="B100">
        <v>1566</v>
      </c>
      <c r="C100">
        <v>395</v>
      </c>
      <c r="D100" t="s">
        <v>23</v>
      </c>
      <c r="E100" t="s">
        <v>20</v>
      </c>
      <c r="F100" t="s">
        <v>21</v>
      </c>
      <c r="G100" t="s">
        <v>24</v>
      </c>
      <c r="H100">
        <v>273.60000000000002</v>
      </c>
      <c r="I100">
        <v>247</v>
      </c>
      <c r="J100">
        <v>94</v>
      </c>
      <c r="K100">
        <v>68</v>
      </c>
      <c r="L100">
        <v>26.7</v>
      </c>
      <c r="M100">
        <v>7.5</v>
      </c>
      <c r="N100">
        <v>0.189314127855537</v>
      </c>
      <c r="O100">
        <v>0.36497648121349002</v>
      </c>
      <c r="P100" t="str">
        <f t="shared" si="2"/>
        <v>F</v>
      </c>
      <c r="Q100" t="str">
        <f t="shared" si="3"/>
        <v>F</v>
      </c>
    </row>
    <row r="101" spans="1:17" hidden="1" x14ac:dyDescent="0.3">
      <c r="A101">
        <v>1535</v>
      </c>
      <c r="B101">
        <v>1566</v>
      </c>
      <c r="C101">
        <v>395</v>
      </c>
      <c r="D101" t="s">
        <v>23</v>
      </c>
      <c r="E101" t="s">
        <v>20</v>
      </c>
      <c r="F101" t="s">
        <v>21</v>
      </c>
      <c r="G101" t="s">
        <v>24</v>
      </c>
      <c r="H101">
        <v>273.60000000000002</v>
      </c>
      <c r="I101">
        <v>247</v>
      </c>
      <c r="J101">
        <v>94</v>
      </c>
      <c r="K101">
        <v>68</v>
      </c>
      <c r="L101">
        <v>26.7</v>
      </c>
      <c r="M101">
        <v>7.5</v>
      </c>
      <c r="N101">
        <v>0.15351981811902801</v>
      </c>
      <c r="O101">
        <v>0.34242134254399798</v>
      </c>
      <c r="P101" t="str">
        <f t="shared" si="2"/>
        <v>F</v>
      </c>
      <c r="Q101" t="str">
        <f t="shared" si="3"/>
        <v>F</v>
      </c>
    </row>
    <row r="102" spans="1:17" hidden="1" x14ac:dyDescent="0.3">
      <c r="A102">
        <v>1536</v>
      </c>
      <c r="B102">
        <v>1566</v>
      </c>
      <c r="C102">
        <v>395</v>
      </c>
      <c r="D102" t="s">
        <v>23</v>
      </c>
      <c r="E102" t="s">
        <v>20</v>
      </c>
      <c r="F102" t="s">
        <v>21</v>
      </c>
      <c r="G102" t="s">
        <v>24</v>
      </c>
      <c r="H102">
        <v>273.60000000000002</v>
      </c>
      <c r="I102">
        <v>247</v>
      </c>
      <c r="J102">
        <v>94</v>
      </c>
      <c r="K102">
        <v>68</v>
      </c>
      <c r="L102">
        <v>26.7</v>
      </c>
      <c r="M102">
        <v>7.5</v>
      </c>
      <c r="N102">
        <v>0.15904931507830899</v>
      </c>
      <c r="O102">
        <v>0.36810192648287599</v>
      </c>
      <c r="P102" t="str">
        <f t="shared" si="2"/>
        <v>F</v>
      </c>
      <c r="Q102" t="str">
        <f t="shared" si="3"/>
        <v>F</v>
      </c>
    </row>
    <row r="103" spans="1:17" hidden="1" x14ac:dyDescent="0.3">
      <c r="A103">
        <v>1537</v>
      </c>
      <c r="B103">
        <v>1566</v>
      </c>
      <c r="C103">
        <v>395</v>
      </c>
      <c r="D103" t="s">
        <v>23</v>
      </c>
      <c r="E103" t="s">
        <v>20</v>
      </c>
      <c r="F103" t="s">
        <v>21</v>
      </c>
      <c r="G103" t="s">
        <v>24</v>
      </c>
      <c r="H103">
        <v>273.60000000000002</v>
      </c>
      <c r="I103">
        <v>247</v>
      </c>
      <c r="J103">
        <v>94</v>
      </c>
      <c r="K103">
        <v>68</v>
      </c>
      <c r="L103">
        <v>26.7</v>
      </c>
      <c r="M103">
        <v>7.5</v>
      </c>
      <c r="N103">
        <v>0.15902845520671099</v>
      </c>
      <c r="O103">
        <v>0.34117248820098101</v>
      </c>
      <c r="P103" t="str">
        <f t="shared" si="2"/>
        <v>F</v>
      </c>
      <c r="Q103" t="str">
        <f t="shared" si="3"/>
        <v>F</v>
      </c>
    </row>
    <row r="104" spans="1:17" hidden="1" x14ac:dyDescent="0.3">
      <c r="A104">
        <v>1538</v>
      </c>
      <c r="B104">
        <v>1566</v>
      </c>
      <c r="C104">
        <v>395</v>
      </c>
      <c r="D104" t="s">
        <v>23</v>
      </c>
      <c r="E104" t="s">
        <v>20</v>
      </c>
      <c r="F104" t="s">
        <v>21</v>
      </c>
      <c r="G104" t="s">
        <v>24</v>
      </c>
      <c r="H104">
        <v>273.60000000000002</v>
      </c>
      <c r="I104">
        <v>247</v>
      </c>
      <c r="J104">
        <v>94</v>
      </c>
      <c r="K104">
        <v>68</v>
      </c>
      <c r="L104">
        <v>26.7</v>
      </c>
      <c r="M104">
        <v>7.5</v>
      </c>
      <c r="N104">
        <v>0.15560711191495499</v>
      </c>
      <c r="O104">
        <v>0.35233127845602902</v>
      </c>
      <c r="P104" t="str">
        <f t="shared" si="2"/>
        <v>F</v>
      </c>
      <c r="Q104" t="str">
        <f t="shared" si="3"/>
        <v>F</v>
      </c>
    </row>
    <row r="105" spans="1:17" x14ac:dyDescent="0.3">
      <c r="A105">
        <v>1674</v>
      </c>
      <c r="B105">
        <v>1616</v>
      </c>
      <c r="C105">
        <v>466</v>
      </c>
      <c r="D105" t="s">
        <v>23</v>
      </c>
      <c r="E105" t="s">
        <v>20</v>
      </c>
      <c r="F105" t="s">
        <v>17</v>
      </c>
      <c r="G105" t="s">
        <v>24</v>
      </c>
      <c r="H105">
        <v>282.10000000000002</v>
      </c>
      <c r="I105">
        <v>257</v>
      </c>
      <c r="J105">
        <v>100.3</v>
      </c>
      <c r="K105">
        <v>68.5</v>
      </c>
      <c r="L105">
        <v>27.5</v>
      </c>
      <c r="M105">
        <v>11</v>
      </c>
      <c r="N105">
        <v>6.0761959731072797E-2</v>
      </c>
      <c r="O105">
        <v>0.25842969174036101</v>
      </c>
      <c r="P105" t="str">
        <f t="shared" si="2"/>
        <v>T</v>
      </c>
      <c r="Q105" t="str">
        <f t="shared" si="3"/>
        <v>T</v>
      </c>
    </row>
    <row r="106" spans="1:17" hidden="1" x14ac:dyDescent="0.3">
      <c r="A106">
        <v>1680</v>
      </c>
      <c r="B106">
        <v>1620</v>
      </c>
      <c r="C106">
        <v>355</v>
      </c>
      <c r="D106" t="s">
        <v>23</v>
      </c>
      <c r="E106" t="s">
        <v>20</v>
      </c>
      <c r="F106" t="s">
        <v>21</v>
      </c>
      <c r="G106" t="s">
        <v>18</v>
      </c>
      <c r="H106">
        <v>277.7</v>
      </c>
      <c r="I106">
        <v>250</v>
      </c>
      <c r="J106">
        <v>99.3</v>
      </c>
      <c r="K106">
        <v>65</v>
      </c>
      <c r="L106">
        <v>25.4</v>
      </c>
      <c r="M106">
        <v>11.5</v>
      </c>
      <c r="N106">
        <v>0.156908012529969</v>
      </c>
      <c r="O106">
        <v>0.33358886550657102</v>
      </c>
      <c r="P106" t="str">
        <f t="shared" si="2"/>
        <v>F</v>
      </c>
      <c r="Q106" t="str">
        <f t="shared" si="3"/>
        <v>F</v>
      </c>
    </row>
    <row r="107" spans="1:17" hidden="1" x14ac:dyDescent="0.3">
      <c r="A107">
        <v>1681</v>
      </c>
      <c r="B107">
        <v>1620</v>
      </c>
      <c r="C107">
        <v>355</v>
      </c>
      <c r="D107" t="s">
        <v>23</v>
      </c>
      <c r="E107" t="s">
        <v>20</v>
      </c>
      <c r="F107" t="s">
        <v>21</v>
      </c>
      <c r="G107" t="s">
        <v>18</v>
      </c>
      <c r="H107">
        <v>277.7</v>
      </c>
      <c r="I107">
        <v>250</v>
      </c>
      <c r="J107">
        <v>99.3</v>
      </c>
      <c r="K107">
        <v>65</v>
      </c>
      <c r="L107">
        <v>25.4</v>
      </c>
      <c r="M107">
        <v>11.5</v>
      </c>
      <c r="N107">
        <v>0.15901835529469199</v>
      </c>
      <c r="O107">
        <v>0.31868763182172399</v>
      </c>
      <c r="P107" t="str">
        <f t="shared" si="2"/>
        <v>F</v>
      </c>
      <c r="Q107" t="str">
        <f t="shared" si="3"/>
        <v>F</v>
      </c>
    </row>
    <row r="108" spans="1:17" hidden="1" x14ac:dyDescent="0.3">
      <c r="A108">
        <v>1683</v>
      </c>
      <c r="B108">
        <v>1622</v>
      </c>
      <c r="C108">
        <v>385</v>
      </c>
      <c r="D108" t="s">
        <v>23</v>
      </c>
      <c r="E108" t="s">
        <v>20</v>
      </c>
      <c r="F108" t="s">
        <v>21</v>
      </c>
      <c r="G108" t="s">
        <v>18</v>
      </c>
      <c r="H108">
        <v>270</v>
      </c>
      <c r="I108">
        <v>256</v>
      </c>
      <c r="J108">
        <v>97.2</v>
      </c>
      <c r="K108">
        <v>65.5</v>
      </c>
      <c r="L108">
        <v>26</v>
      </c>
      <c r="M108">
        <v>8</v>
      </c>
      <c r="N108">
        <v>0.182900556137613</v>
      </c>
      <c r="O108">
        <v>0.39790314524788101</v>
      </c>
      <c r="P108" t="str">
        <f t="shared" si="2"/>
        <v>F</v>
      </c>
      <c r="Q108" t="str">
        <f t="shared" si="3"/>
        <v>F</v>
      </c>
    </row>
    <row r="109" spans="1:17" hidden="1" x14ac:dyDescent="0.3">
      <c r="A109">
        <v>1684</v>
      </c>
      <c r="B109">
        <v>1622</v>
      </c>
      <c r="C109">
        <v>385</v>
      </c>
      <c r="D109" t="s">
        <v>23</v>
      </c>
      <c r="E109" t="s">
        <v>20</v>
      </c>
      <c r="F109" t="s">
        <v>21</v>
      </c>
      <c r="G109" t="s">
        <v>18</v>
      </c>
      <c r="H109">
        <v>270</v>
      </c>
      <c r="I109">
        <v>256</v>
      </c>
      <c r="J109">
        <v>97.2</v>
      </c>
      <c r="K109">
        <v>65.5</v>
      </c>
      <c r="L109">
        <v>26</v>
      </c>
      <c r="M109">
        <v>8</v>
      </c>
      <c r="N109">
        <v>0.211998397046362</v>
      </c>
      <c r="O109">
        <v>0.37464768920074798</v>
      </c>
      <c r="P109" t="str">
        <f t="shared" si="2"/>
        <v>F</v>
      </c>
      <c r="Q109" t="str">
        <f t="shared" si="3"/>
        <v>F</v>
      </c>
    </row>
    <row r="110" spans="1:17" hidden="1" x14ac:dyDescent="0.3">
      <c r="A110">
        <v>1685</v>
      </c>
      <c r="B110">
        <v>1622</v>
      </c>
      <c r="C110">
        <v>385</v>
      </c>
      <c r="D110" t="s">
        <v>23</v>
      </c>
      <c r="E110" t="s">
        <v>20</v>
      </c>
      <c r="F110" t="s">
        <v>21</v>
      </c>
      <c r="G110" t="s">
        <v>18</v>
      </c>
      <c r="H110">
        <v>270</v>
      </c>
      <c r="I110">
        <v>256</v>
      </c>
      <c r="J110">
        <v>97.2</v>
      </c>
      <c r="K110">
        <v>65.5</v>
      </c>
      <c r="L110">
        <v>26</v>
      </c>
      <c r="M110">
        <v>8</v>
      </c>
      <c r="N110">
        <v>0.197279433383997</v>
      </c>
      <c r="O110">
        <v>0.39591740972315698</v>
      </c>
      <c r="P110" t="str">
        <f t="shared" si="2"/>
        <v>F</v>
      </c>
      <c r="Q110" t="str">
        <f t="shared" si="3"/>
        <v>F</v>
      </c>
    </row>
    <row r="111" spans="1:17" hidden="1" x14ac:dyDescent="0.3">
      <c r="A111">
        <v>1686</v>
      </c>
      <c r="B111">
        <v>1622</v>
      </c>
      <c r="C111">
        <v>385</v>
      </c>
      <c r="D111" t="s">
        <v>23</v>
      </c>
      <c r="E111" t="s">
        <v>20</v>
      </c>
      <c r="F111" t="s">
        <v>21</v>
      </c>
      <c r="G111" t="s">
        <v>18</v>
      </c>
      <c r="H111">
        <v>270</v>
      </c>
      <c r="I111">
        <v>256</v>
      </c>
      <c r="J111">
        <v>97.2</v>
      </c>
      <c r="K111">
        <v>65.5</v>
      </c>
      <c r="L111">
        <v>26</v>
      </c>
      <c r="M111">
        <v>8</v>
      </c>
      <c r="N111">
        <v>0.21318436222419501</v>
      </c>
      <c r="O111">
        <v>0.38450528373396597</v>
      </c>
      <c r="P111" t="str">
        <f t="shared" si="2"/>
        <v>F</v>
      </c>
      <c r="Q111" t="str">
        <f t="shared" si="3"/>
        <v>F</v>
      </c>
    </row>
    <row r="112" spans="1:17" hidden="1" x14ac:dyDescent="0.3">
      <c r="A112">
        <v>1687</v>
      </c>
      <c r="B112">
        <v>1622</v>
      </c>
      <c r="C112">
        <v>385</v>
      </c>
      <c r="D112" t="s">
        <v>23</v>
      </c>
      <c r="E112" t="s">
        <v>20</v>
      </c>
      <c r="F112" t="s">
        <v>21</v>
      </c>
      <c r="G112" t="s">
        <v>18</v>
      </c>
      <c r="H112">
        <v>270</v>
      </c>
      <c r="I112">
        <v>256</v>
      </c>
      <c r="J112">
        <v>97.2</v>
      </c>
      <c r="K112">
        <v>65.5</v>
      </c>
      <c r="L112">
        <v>26</v>
      </c>
      <c r="M112">
        <v>8</v>
      </c>
      <c r="N112">
        <v>0.185493145956139</v>
      </c>
      <c r="O112">
        <v>0.39593029883407199</v>
      </c>
      <c r="P112" t="str">
        <f t="shared" si="2"/>
        <v>F</v>
      </c>
      <c r="Q112" t="str">
        <f t="shared" si="3"/>
        <v>F</v>
      </c>
    </row>
    <row r="113" spans="1:17" hidden="1" x14ac:dyDescent="0.3">
      <c r="A113">
        <v>1713</v>
      </c>
      <c r="B113">
        <v>1631</v>
      </c>
      <c r="C113">
        <v>26</v>
      </c>
      <c r="D113" t="s">
        <v>23</v>
      </c>
      <c r="E113" t="s">
        <v>20</v>
      </c>
      <c r="F113" t="s">
        <v>17</v>
      </c>
      <c r="G113" t="s">
        <v>24</v>
      </c>
      <c r="H113">
        <v>270.5</v>
      </c>
      <c r="I113">
        <v>243.5</v>
      </c>
      <c r="J113">
        <v>95.9</v>
      </c>
      <c r="K113">
        <v>66</v>
      </c>
      <c r="L113">
        <v>26.9</v>
      </c>
      <c r="M113">
        <v>6</v>
      </c>
      <c r="N113">
        <v>0.16755705300420101</v>
      </c>
      <c r="O113">
        <v>0.38725153506680798</v>
      </c>
      <c r="P113" t="str">
        <f t="shared" si="2"/>
        <v>F</v>
      </c>
      <c r="Q113" t="str">
        <f t="shared" si="3"/>
        <v>F</v>
      </c>
    </row>
    <row r="114" spans="1:17" hidden="1" x14ac:dyDescent="0.3">
      <c r="A114">
        <v>1714</v>
      </c>
      <c r="B114">
        <v>1631</v>
      </c>
      <c r="C114">
        <v>26</v>
      </c>
      <c r="D114" t="s">
        <v>23</v>
      </c>
      <c r="E114" t="s">
        <v>20</v>
      </c>
      <c r="F114" t="s">
        <v>17</v>
      </c>
      <c r="G114" t="s">
        <v>24</v>
      </c>
      <c r="H114">
        <v>270.5</v>
      </c>
      <c r="I114">
        <v>243.5</v>
      </c>
      <c r="J114">
        <v>95.9</v>
      </c>
      <c r="K114">
        <v>66</v>
      </c>
      <c r="L114">
        <v>26.9</v>
      </c>
      <c r="M114">
        <v>6</v>
      </c>
      <c r="N114">
        <v>0.19188793990425701</v>
      </c>
      <c r="O114">
        <v>0.37484132749780302</v>
      </c>
      <c r="P114" t="str">
        <f t="shared" si="2"/>
        <v>F</v>
      </c>
      <c r="Q114" t="str">
        <f t="shared" si="3"/>
        <v>F</v>
      </c>
    </row>
    <row r="115" spans="1:17" hidden="1" x14ac:dyDescent="0.3">
      <c r="A115">
        <v>1745</v>
      </c>
      <c r="B115">
        <v>1646</v>
      </c>
      <c r="C115">
        <v>453</v>
      </c>
      <c r="D115" t="s">
        <v>23</v>
      </c>
      <c r="E115" t="s">
        <v>20</v>
      </c>
      <c r="F115" t="s">
        <v>17</v>
      </c>
      <c r="G115" t="s">
        <v>24</v>
      </c>
      <c r="H115">
        <v>281.60000000000002</v>
      </c>
      <c r="I115">
        <v>255.5</v>
      </c>
      <c r="J115">
        <v>100.4</v>
      </c>
      <c r="K115">
        <v>70</v>
      </c>
      <c r="L115">
        <v>25.7</v>
      </c>
      <c r="M115">
        <v>10</v>
      </c>
      <c r="N115">
        <v>0.14953103804808901</v>
      </c>
      <c r="O115">
        <v>0.41563459524028401</v>
      </c>
      <c r="P115" t="str">
        <f t="shared" si="2"/>
        <v>F</v>
      </c>
      <c r="Q115" t="str">
        <f t="shared" si="3"/>
        <v>F</v>
      </c>
    </row>
    <row r="116" spans="1:17" hidden="1" x14ac:dyDescent="0.3">
      <c r="A116">
        <v>1746</v>
      </c>
      <c r="B116">
        <v>1646</v>
      </c>
      <c r="C116">
        <v>453</v>
      </c>
      <c r="D116" t="s">
        <v>23</v>
      </c>
      <c r="E116" t="s">
        <v>20</v>
      </c>
      <c r="F116" t="s">
        <v>17</v>
      </c>
      <c r="G116" t="s">
        <v>24</v>
      </c>
      <c r="H116">
        <v>281.60000000000002</v>
      </c>
      <c r="I116">
        <v>255.5</v>
      </c>
      <c r="J116">
        <v>100.4</v>
      </c>
      <c r="K116">
        <v>70</v>
      </c>
      <c r="L116">
        <v>25.7</v>
      </c>
      <c r="M116">
        <v>10</v>
      </c>
      <c r="N116">
        <v>0.12770974035875601</v>
      </c>
      <c r="O116">
        <v>0.40720076254383603</v>
      </c>
      <c r="P116" t="str">
        <f t="shared" si="2"/>
        <v>F</v>
      </c>
      <c r="Q116" t="str">
        <f t="shared" si="3"/>
        <v>F</v>
      </c>
    </row>
    <row r="117" spans="1:17" hidden="1" x14ac:dyDescent="0.3">
      <c r="A117">
        <v>1747</v>
      </c>
      <c r="B117">
        <v>1646</v>
      </c>
      <c r="C117">
        <v>453</v>
      </c>
      <c r="D117" t="s">
        <v>23</v>
      </c>
      <c r="E117" t="s">
        <v>20</v>
      </c>
      <c r="F117" t="s">
        <v>17</v>
      </c>
      <c r="G117" t="s">
        <v>24</v>
      </c>
      <c r="H117">
        <v>281.60000000000002</v>
      </c>
      <c r="I117">
        <v>255.5</v>
      </c>
      <c r="J117">
        <v>100.4</v>
      </c>
      <c r="K117">
        <v>70</v>
      </c>
      <c r="L117">
        <v>25.7</v>
      </c>
      <c r="M117">
        <v>10</v>
      </c>
      <c r="N117">
        <v>0.12334251412201901</v>
      </c>
      <c r="O117">
        <v>0.40611585836330399</v>
      </c>
      <c r="P117" t="str">
        <f t="shared" si="2"/>
        <v>F</v>
      </c>
      <c r="Q117" t="str">
        <f t="shared" si="3"/>
        <v>F</v>
      </c>
    </row>
    <row r="118" spans="1:17" hidden="1" x14ac:dyDescent="0.3">
      <c r="A118">
        <v>1748</v>
      </c>
      <c r="B118">
        <v>1648</v>
      </c>
      <c r="C118">
        <v>110</v>
      </c>
      <c r="D118" t="s">
        <v>23</v>
      </c>
      <c r="E118" t="s">
        <v>20</v>
      </c>
      <c r="F118" t="s">
        <v>17</v>
      </c>
      <c r="G118" t="s">
        <v>25</v>
      </c>
      <c r="H118">
        <v>271.3</v>
      </c>
      <c r="I118">
        <v>247.5</v>
      </c>
      <c r="J118">
        <v>95</v>
      </c>
      <c r="K118">
        <v>65.5</v>
      </c>
      <c r="L118">
        <v>24.5</v>
      </c>
      <c r="M118">
        <v>8</v>
      </c>
      <c r="N118">
        <v>0.22157522335797999</v>
      </c>
      <c r="O118">
        <v>0.33682872384157198</v>
      </c>
      <c r="P118" t="str">
        <f t="shared" si="2"/>
        <v>F</v>
      </c>
      <c r="Q118" t="str">
        <f t="shared" si="3"/>
        <v>F</v>
      </c>
    </row>
    <row r="119" spans="1:17" hidden="1" x14ac:dyDescent="0.3">
      <c r="A119">
        <v>1798</v>
      </c>
      <c r="B119">
        <v>1667</v>
      </c>
      <c r="C119">
        <v>61</v>
      </c>
      <c r="D119" t="s">
        <v>23</v>
      </c>
      <c r="E119" t="s">
        <v>20</v>
      </c>
      <c r="F119" t="s">
        <v>17</v>
      </c>
      <c r="G119" t="s">
        <v>25</v>
      </c>
      <c r="H119">
        <v>272.3</v>
      </c>
      <c r="I119">
        <v>239</v>
      </c>
      <c r="J119">
        <v>94.1</v>
      </c>
      <c r="K119">
        <v>68</v>
      </c>
      <c r="L119">
        <v>23.9</v>
      </c>
      <c r="M119">
        <v>4.5</v>
      </c>
      <c r="N119">
        <v>0.30816301403680302</v>
      </c>
      <c r="O119">
        <v>0.38552451472361798</v>
      </c>
      <c r="P119" t="str">
        <f t="shared" si="2"/>
        <v>F</v>
      </c>
      <c r="Q119" t="str">
        <f t="shared" si="3"/>
        <v>F</v>
      </c>
    </row>
    <row r="120" spans="1:17" hidden="1" x14ac:dyDescent="0.3">
      <c r="A120">
        <v>1854</v>
      </c>
      <c r="B120">
        <v>1687</v>
      </c>
      <c r="C120">
        <v>110</v>
      </c>
      <c r="D120" t="s">
        <v>23</v>
      </c>
      <c r="E120" t="s">
        <v>20</v>
      </c>
      <c r="F120" t="s">
        <v>21</v>
      </c>
      <c r="G120" t="s">
        <v>25</v>
      </c>
      <c r="H120">
        <v>271.3</v>
      </c>
      <c r="I120">
        <v>247.5</v>
      </c>
      <c r="J120">
        <v>95</v>
      </c>
      <c r="K120">
        <v>65.5</v>
      </c>
      <c r="L120">
        <v>24.5</v>
      </c>
      <c r="M120">
        <v>8</v>
      </c>
      <c r="N120">
        <v>0.22544775006117301</v>
      </c>
      <c r="O120">
        <v>0.35191359381548398</v>
      </c>
      <c r="P120" t="str">
        <f t="shared" si="2"/>
        <v>F</v>
      </c>
      <c r="Q120" t="str">
        <f t="shared" si="3"/>
        <v>F</v>
      </c>
    </row>
    <row r="121" spans="1:17" hidden="1" x14ac:dyDescent="0.3">
      <c r="A121">
        <v>1855</v>
      </c>
      <c r="B121">
        <v>1687</v>
      </c>
      <c r="C121">
        <v>110</v>
      </c>
      <c r="D121" t="s">
        <v>23</v>
      </c>
      <c r="E121" t="s">
        <v>20</v>
      </c>
      <c r="F121" t="s">
        <v>21</v>
      </c>
      <c r="G121" t="s">
        <v>25</v>
      </c>
      <c r="H121">
        <v>271.3</v>
      </c>
      <c r="I121">
        <v>247.5</v>
      </c>
      <c r="J121">
        <v>95</v>
      </c>
      <c r="K121">
        <v>65.5</v>
      </c>
      <c r="L121">
        <v>24.5</v>
      </c>
      <c r="M121">
        <v>8</v>
      </c>
      <c r="N121">
        <v>0.23543908705716399</v>
      </c>
      <c r="O121">
        <v>0.36051563894302002</v>
      </c>
      <c r="P121" t="str">
        <f t="shared" si="2"/>
        <v>F</v>
      </c>
      <c r="Q121" t="str">
        <f t="shared" si="3"/>
        <v>F</v>
      </c>
    </row>
    <row r="122" spans="1:17" hidden="1" x14ac:dyDescent="0.3">
      <c r="A122">
        <v>1856</v>
      </c>
      <c r="B122">
        <v>1687</v>
      </c>
      <c r="C122">
        <v>110</v>
      </c>
      <c r="D122" t="s">
        <v>23</v>
      </c>
      <c r="E122" t="s">
        <v>20</v>
      </c>
      <c r="F122" t="s">
        <v>21</v>
      </c>
      <c r="G122" t="s">
        <v>25</v>
      </c>
      <c r="H122">
        <v>271.3</v>
      </c>
      <c r="I122">
        <v>247.5</v>
      </c>
      <c r="J122">
        <v>95</v>
      </c>
      <c r="K122">
        <v>65.5</v>
      </c>
      <c r="L122">
        <v>24.5</v>
      </c>
      <c r="M122">
        <v>8</v>
      </c>
      <c r="N122">
        <v>0.22651924353706299</v>
      </c>
      <c r="O122">
        <v>0.34464467593804199</v>
      </c>
      <c r="P122" t="str">
        <f t="shared" si="2"/>
        <v>F</v>
      </c>
      <c r="Q122" t="str">
        <f t="shared" si="3"/>
        <v>F</v>
      </c>
    </row>
    <row r="123" spans="1:17" hidden="1" x14ac:dyDescent="0.3">
      <c r="A123">
        <v>2014</v>
      </c>
      <c r="B123">
        <v>1747</v>
      </c>
      <c r="C123">
        <v>497</v>
      </c>
      <c r="D123" t="s">
        <v>23</v>
      </c>
      <c r="E123" t="s">
        <v>20</v>
      </c>
      <c r="F123" t="s">
        <v>21</v>
      </c>
      <c r="G123" t="s">
        <v>25</v>
      </c>
      <c r="H123">
        <v>269.7</v>
      </c>
      <c r="I123">
        <v>245</v>
      </c>
      <c r="J123">
        <v>94</v>
      </c>
      <c r="K123">
        <v>67</v>
      </c>
      <c r="L123">
        <v>24.2</v>
      </c>
      <c r="M123">
        <v>9</v>
      </c>
      <c r="N123">
        <v>0.20278068472293201</v>
      </c>
      <c r="O123">
        <v>0.37942673595113002</v>
      </c>
      <c r="P123" t="str">
        <f t="shared" si="2"/>
        <v>F</v>
      </c>
      <c r="Q123" t="str">
        <f t="shared" si="3"/>
        <v>F</v>
      </c>
    </row>
    <row r="124" spans="1:17" hidden="1" x14ac:dyDescent="0.3">
      <c r="A124">
        <v>2015</v>
      </c>
      <c r="B124">
        <v>1748</v>
      </c>
      <c r="C124">
        <v>466</v>
      </c>
      <c r="D124" t="s">
        <v>23</v>
      </c>
      <c r="E124" t="s">
        <v>20</v>
      </c>
      <c r="F124" t="s">
        <v>21</v>
      </c>
      <c r="G124" t="s">
        <v>26</v>
      </c>
      <c r="H124">
        <v>282.10000000000002</v>
      </c>
      <c r="I124">
        <v>257</v>
      </c>
      <c r="J124">
        <v>100.3</v>
      </c>
      <c r="K124">
        <v>68.5</v>
      </c>
      <c r="L124">
        <v>27.5</v>
      </c>
      <c r="M124">
        <v>11</v>
      </c>
      <c r="N124">
        <v>5.0188555762444402E-2</v>
      </c>
      <c r="O124">
        <v>0.281955744509232</v>
      </c>
      <c r="P124" t="str">
        <f t="shared" si="2"/>
        <v>T</v>
      </c>
      <c r="Q124" t="str">
        <f t="shared" si="3"/>
        <v>F</v>
      </c>
    </row>
    <row r="125" spans="1:17" x14ac:dyDescent="0.3">
      <c r="A125">
        <v>2016</v>
      </c>
      <c r="B125">
        <v>1748</v>
      </c>
      <c r="C125">
        <v>466</v>
      </c>
      <c r="D125" t="s">
        <v>23</v>
      </c>
      <c r="E125" t="s">
        <v>20</v>
      </c>
      <c r="F125" t="s">
        <v>21</v>
      </c>
      <c r="G125" t="s">
        <v>26</v>
      </c>
      <c r="H125">
        <v>282.10000000000002</v>
      </c>
      <c r="I125">
        <v>257</v>
      </c>
      <c r="J125">
        <v>100.3</v>
      </c>
      <c r="K125">
        <v>68.5</v>
      </c>
      <c r="L125">
        <v>27.5</v>
      </c>
      <c r="M125">
        <v>11</v>
      </c>
      <c r="N125">
        <v>7.2177953786632498E-2</v>
      </c>
      <c r="O125">
        <v>0.26612744242161801</v>
      </c>
      <c r="P125" t="str">
        <f t="shared" si="2"/>
        <v>T</v>
      </c>
      <c r="Q125" t="str">
        <f t="shared" si="3"/>
        <v>T</v>
      </c>
    </row>
    <row r="126" spans="1:17" x14ac:dyDescent="0.3">
      <c r="A126">
        <v>2017</v>
      </c>
      <c r="B126">
        <v>1748</v>
      </c>
      <c r="C126">
        <v>466</v>
      </c>
      <c r="D126" t="s">
        <v>23</v>
      </c>
      <c r="E126" t="s">
        <v>20</v>
      </c>
      <c r="F126" t="s">
        <v>21</v>
      </c>
      <c r="G126" t="s">
        <v>26</v>
      </c>
      <c r="H126">
        <v>282.10000000000002</v>
      </c>
      <c r="I126">
        <v>257</v>
      </c>
      <c r="J126">
        <v>100.3</v>
      </c>
      <c r="K126">
        <v>68.5</v>
      </c>
      <c r="L126">
        <v>27.5</v>
      </c>
      <c r="M126">
        <v>11</v>
      </c>
      <c r="N126">
        <v>6.81858139071648E-2</v>
      </c>
      <c r="O126">
        <v>0.267143313089094</v>
      </c>
      <c r="P126" t="str">
        <f t="shared" si="2"/>
        <v>T</v>
      </c>
      <c r="Q126" t="str">
        <f t="shared" si="3"/>
        <v>T</v>
      </c>
    </row>
    <row r="127" spans="1:17" hidden="1" x14ac:dyDescent="0.3">
      <c r="A127">
        <v>2018</v>
      </c>
      <c r="B127">
        <v>1748</v>
      </c>
      <c r="C127">
        <v>466</v>
      </c>
      <c r="D127" t="s">
        <v>23</v>
      </c>
      <c r="E127" t="s">
        <v>20</v>
      </c>
      <c r="F127" t="s">
        <v>21</v>
      </c>
      <c r="G127" t="s">
        <v>26</v>
      </c>
      <c r="H127">
        <v>282.10000000000002</v>
      </c>
      <c r="I127">
        <v>257</v>
      </c>
      <c r="J127">
        <v>100.3</v>
      </c>
      <c r="K127">
        <v>68.5</v>
      </c>
      <c r="L127">
        <v>27.5</v>
      </c>
      <c r="M127">
        <v>11</v>
      </c>
      <c r="N127">
        <v>5.5473516191224197E-2</v>
      </c>
      <c r="O127">
        <v>0.30048803206872099</v>
      </c>
      <c r="P127" t="str">
        <f t="shared" si="2"/>
        <v>T</v>
      </c>
      <c r="Q127" t="str">
        <f t="shared" si="3"/>
        <v>F</v>
      </c>
    </row>
    <row r="128" spans="1:17" hidden="1" x14ac:dyDescent="0.3">
      <c r="A128">
        <v>2019</v>
      </c>
      <c r="B128">
        <v>1749</v>
      </c>
      <c r="C128">
        <v>66</v>
      </c>
      <c r="D128" t="s">
        <v>23</v>
      </c>
      <c r="E128" t="s">
        <v>20</v>
      </c>
      <c r="F128" t="s">
        <v>21</v>
      </c>
      <c r="G128" t="s">
        <v>25</v>
      </c>
      <c r="H128">
        <v>276.2</v>
      </c>
      <c r="I128">
        <v>258</v>
      </c>
      <c r="J128">
        <v>95.8</v>
      </c>
      <c r="K128">
        <v>63.5</v>
      </c>
      <c r="L128">
        <v>26.4</v>
      </c>
      <c r="M128">
        <v>7</v>
      </c>
      <c r="N128">
        <v>0.15825171025887499</v>
      </c>
      <c r="O128">
        <v>0.24321472649614401</v>
      </c>
      <c r="P128" t="str">
        <f t="shared" si="2"/>
        <v>F</v>
      </c>
      <c r="Q128" t="str">
        <f t="shared" si="3"/>
        <v>T</v>
      </c>
    </row>
    <row r="129" spans="1:17" hidden="1" x14ac:dyDescent="0.3">
      <c r="A129">
        <v>2086</v>
      </c>
      <c r="B129">
        <v>177</v>
      </c>
      <c r="C129">
        <v>98</v>
      </c>
      <c r="D129" t="s">
        <v>23</v>
      </c>
      <c r="E129" t="s">
        <v>20</v>
      </c>
      <c r="F129" t="s">
        <v>21</v>
      </c>
      <c r="G129" t="s">
        <v>22</v>
      </c>
      <c r="H129">
        <v>276.60000000000002</v>
      </c>
      <c r="I129">
        <v>257.5</v>
      </c>
      <c r="J129">
        <v>95.2</v>
      </c>
      <c r="K129">
        <v>67.5</v>
      </c>
      <c r="L129">
        <v>24.1</v>
      </c>
      <c r="M129">
        <v>9.5</v>
      </c>
      <c r="N129">
        <v>0.21235806046994701</v>
      </c>
      <c r="O129">
        <v>0.37809759415061001</v>
      </c>
      <c r="P129" t="str">
        <f t="shared" si="2"/>
        <v>F</v>
      </c>
      <c r="Q129" t="str">
        <f t="shared" si="3"/>
        <v>F</v>
      </c>
    </row>
    <row r="130" spans="1:17" hidden="1" x14ac:dyDescent="0.3">
      <c r="A130">
        <v>2087</v>
      </c>
      <c r="B130">
        <v>177</v>
      </c>
      <c r="C130">
        <v>98</v>
      </c>
      <c r="D130" t="s">
        <v>23</v>
      </c>
      <c r="E130" t="s">
        <v>20</v>
      </c>
      <c r="F130" t="s">
        <v>21</v>
      </c>
      <c r="G130" t="s">
        <v>22</v>
      </c>
      <c r="H130">
        <v>276.60000000000002</v>
      </c>
      <c r="I130">
        <v>257.5</v>
      </c>
      <c r="J130">
        <v>95.2</v>
      </c>
      <c r="K130">
        <v>67.5</v>
      </c>
      <c r="L130">
        <v>24.1</v>
      </c>
      <c r="M130">
        <v>9.5</v>
      </c>
      <c r="N130">
        <v>0.19857925258128301</v>
      </c>
      <c r="O130">
        <v>0.403240666325754</v>
      </c>
      <c r="P130" t="str">
        <f t="shared" ref="P130:P193" si="4">IF(N130&lt;0.100978, "T", "F")</f>
        <v>F</v>
      </c>
      <c r="Q130" t="str">
        <f t="shared" ref="Q130:Q193" si="5">IF(O130&lt;0.268491, "T", "F")</f>
        <v>F</v>
      </c>
    </row>
    <row r="131" spans="1:17" hidden="1" x14ac:dyDescent="0.3">
      <c r="A131">
        <v>2088</v>
      </c>
      <c r="B131">
        <v>177</v>
      </c>
      <c r="C131">
        <v>98</v>
      </c>
      <c r="D131" t="s">
        <v>23</v>
      </c>
      <c r="E131" t="s">
        <v>20</v>
      </c>
      <c r="F131" t="s">
        <v>21</v>
      </c>
      <c r="G131" t="s">
        <v>22</v>
      </c>
      <c r="H131">
        <v>276.60000000000002</v>
      </c>
      <c r="I131">
        <v>257.5</v>
      </c>
      <c r="J131">
        <v>95.2</v>
      </c>
      <c r="K131">
        <v>67.5</v>
      </c>
      <c r="L131">
        <v>24.1</v>
      </c>
      <c r="M131">
        <v>9.5</v>
      </c>
      <c r="N131">
        <v>0.19604053320700901</v>
      </c>
      <c r="O131">
        <v>0.409829945719137</v>
      </c>
      <c r="P131" t="str">
        <f t="shared" si="4"/>
        <v>F</v>
      </c>
      <c r="Q131" t="str">
        <f t="shared" si="5"/>
        <v>F</v>
      </c>
    </row>
    <row r="132" spans="1:17" hidden="1" x14ac:dyDescent="0.3">
      <c r="A132">
        <v>2107</v>
      </c>
      <c r="B132">
        <v>1778</v>
      </c>
      <c r="C132">
        <v>385</v>
      </c>
      <c r="D132" t="s">
        <v>23</v>
      </c>
      <c r="E132" t="s">
        <v>20</v>
      </c>
      <c r="F132" t="s">
        <v>21</v>
      </c>
      <c r="G132" t="s">
        <v>26</v>
      </c>
      <c r="H132">
        <v>270</v>
      </c>
      <c r="I132">
        <v>256</v>
      </c>
      <c r="J132">
        <v>97.2</v>
      </c>
      <c r="K132">
        <v>65.5</v>
      </c>
      <c r="L132">
        <v>26</v>
      </c>
      <c r="M132">
        <v>8</v>
      </c>
      <c r="N132">
        <v>0.19758031831251399</v>
      </c>
      <c r="O132">
        <v>0.39684858945810902</v>
      </c>
      <c r="P132" t="str">
        <f t="shared" si="4"/>
        <v>F</v>
      </c>
      <c r="Q132" t="str">
        <f t="shared" si="5"/>
        <v>F</v>
      </c>
    </row>
    <row r="133" spans="1:17" hidden="1" x14ac:dyDescent="0.3">
      <c r="A133">
        <v>2108</v>
      </c>
      <c r="B133">
        <v>1778</v>
      </c>
      <c r="C133">
        <v>385</v>
      </c>
      <c r="D133" t="s">
        <v>23</v>
      </c>
      <c r="E133" t="s">
        <v>20</v>
      </c>
      <c r="F133" t="s">
        <v>21</v>
      </c>
      <c r="G133" t="s">
        <v>26</v>
      </c>
      <c r="H133">
        <v>270</v>
      </c>
      <c r="I133">
        <v>256</v>
      </c>
      <c r="J133">
        <v>97.2</v>
      </c>
      <c r="K133">
        <v>65.5</v>
      </c>
      <c r="L133">
        <v>26</v>
      </c>
      <c r="M133">
        <v>8</v>
      </c>
      <c r="N133">
        <v>0.175614276532366</v>
      </c>
      <c r="O133">
        <v>0.39199891516381602</v>
      </c>
      <c r="P133" t="str">
        <f t="shared" si="4"/>
        <v>F</v>
      </c>
      <c r="Q133" t="str">
        <f t="shared" si="5"/>
        <v>F</v>
      </c>
    </row>
    <row r="134" spans="1:17" hidden="1" x14ac:dyDescent="0.3">
      <c r="A134">
        <v>2175</v>
      </c>
      <c r="B134">
        <v>180</v>
      </c>
      <c r="C134">
        <v>61</v>
      </c>
      <c r="D134" t="s">
        <v>23</v>
      </c>
      <c r="E134" t="s">
        <v>20</v>
      </c>
      <c r="F134" t="s">
        <v>17</v>
      </c>
      <c r="G134" t="s">
        <v>22</v>
      </c>
      <c r="H134">
        <v>272.3</v>
      </c>
      <c r="I134">
        <v>239</v>
      </c>
      <c r="J134">
        <v>94.1</v>
      </c>
      <c r="K134">
        <v>68</v>
      </c>
      <c r="L134">
        <v>23.9</v>
      </c>
      <c r="M134">
        <v>4.5</v>
      </c>
      <c r="N134">
        <v>0.31370163756719199</v>
      </c>
      <c r="O134">
        <v>0.38102221412960202</v>
      </c>
      <c r="P134" t="str">
        <f t="shared" si="4"/>
        <v>F</v>
      </c>
      <c r="Q134" t="str">
        <f t="shared" si="5"/>
        <v>F</v>
      </c>
    </row>
    <row r="135" spans="1:17" hidden="1" x14ac:dyDescent="0.3">
      <c r="A135">
        <v>2220</v>
      </c>
      <c r="B135">
        <v>1817</v>
      </c>
      <c r="C135">
        <v>466</v>
      </c>
      <c r="D135" t="s">
        <v>23</v>
      </c>
      <c r="E135" t="s">
        <v>20</v>
      </c>
      <c r="F135" t="s">
        <v>17</v>
      </c>
      <c r="G135" t="s">
        <v>25</v>
      </c>
      <c r="H135">
        <v>282.10000000000002</v>
      </c>
      <c r="I135">
        <v>257</v>
      </c>
      <c r="J135">
        <v>100.3</v>
      </c>
      <c r="K135">
        <v>68.5</v>
      </c>
      <c r="L135">
        <v>27.5</v>
      </c>
      <c r="M135">
        <v>11</v>
      </c>
      <c r="N135">
        <v>7.5359696745186999E-2</v>
      </c>
      <c r="O135">
        <v>0.295178807772074</v>
      </c>
      <c r="P135" t="str">
        <f t="shared" si="4"/>
        <v>T</v>
      </c>
      <c r="Q135" t="str">
        <f t="shared" si="5"/>
        <v>F</v>
      </c>
    </row>
    <row r="136" spans="1:17" hidden="1" x14ac:dyDescent="0.3">
      <c r="A136">
        <v>2221</v>
      </c>
      <c r="B136">
        <v>1817</v>
      </c>
      <c r="C136">
        <v>466</v>
      </c>
      <c r="D136" t="s">
        <v>23</v>
      </c>
      <c r="E136" t="s">
        <v>20</v>
      </c>
      <c r="F136" t="s">
        <v>17</v>
      </c>
      <c r="G136" t="s">
        <v>25</v>
      </c>
      <c r="H136">
        <v>282.10000000000002</v>
      </c>
      <c r="I136">
        <v>257</v>
      </c>
      <c r="J136">
        <v>100.3</v>
      </c>
      <c r="K136">
        <v>68.5</v>
      </c>
      <c r="L136">
        <v>27.5</v>
      </c>
      <c r="M136">
        <v>11</v>
      </c>
      <c r="N136">
        <v>6.3414191222790794E-2</v>
      </c>
      <c r="O136">
        <v>0.29385454442480302</v>
      </c>
      <c r="P136" t="str">
        <f t="shared" si="4"/>
        <v>T</v>
      </c>
      <c r="Q136" t="str">
        <f t="shared" si="5"/>
        <v>F</v>
      </c>
    </row>
    <row r="137" spans="1:17" x14ac:dyDescent="0.3">
      <c r="A137">
        <v>2222</v>
      </c>
      <c r="B137">
        <v>1817</v>
      </c>
      <c r="C137">
        <v>466</v>
      </c>
      <c r="D137" t="s">
        <v>23</v>
      </c>
      <c r="E137" t="s">
        <v>20</v>
      </c>
      <c r="F137" t="s">
        <v>17</v>
      </c>
      <c r="G137" t="s">
        <v>25</v>
      </c>
      <c r="H137">
        <v>282.10000000000002</v>
      </c>
      <c r="I137">
        <v>257</v>
      </c>
      <c r="J137">
        <v>100.3</v>
      </c>
      <c r="K137">
        <v>68.5</v>
      </c>
      <c r="L137">
        <v>27.5</v>
      </c>
      <c r="M137">
        <v>11</v>
      </c>
      <c r="N137">
        <v>6.13631912927965E-2</v>
      </c>
      <c r="O137">
        <v>0.26734173500374497</v>
      </c>
      <c r="P137" t="str">
        <f t="shared" si="4"/>
        <v>T</v>
      </c>
      <c r="Q137" t="str">
        <f t="shared" si="5"/>
        <v>T</v>
      </c>
    </row>
    <row r="138" spans="1:17" hidden="1" x14ac:dyDescent="0.3">
      <c r="A138">
        <v>2223</v>
      </c>
      <c r="B138">
        <v>1817</v>
      </c>
      <c r="C138">
        <v>466</v>
      </c>
      <c r="D138" t="s">
        <v>23</v>
      </c>
      <c r="E138" t="s">
        <v>20</v>
      </c>
      <c r="F138" t="s">
        <v>17</v>
      </c>
      <c r="G138" t="s">
        <v>25</v>
      </c>
      <c r="H138">
        <v>282.10000000000002</v>
      </c>
      <c r="I138">
        <v>257</v>
      </c>
      <c r="J138">
        <v>100.3</v>
      </c>
      <c r="K138">
        <v>68.5</v>
      </c>
      <c r="L138">
        <v>27.5</v>
      </c>
      <c r="M138">
        <v>11</v>
      </c>
      <c r="N138">
        <v>5.58219628029787E-2</v>
      </c>
      <c r="O138">
        <v>0.28026981234614101</v>
      </c>
      <c r="P138" t="str">
        <f t="shared" si="4"/>
        <v>T</v>
      </c>
      <c r="Q138" t="str">
        <f t="shared" si="5"/>
        <v>F</v>
      </c>
    </row>
    <row r="139" spans="1:17" hidden="1" x14ac:dyDescent="0.3">
      <c r="A139">
        <v>2309</v>
      </c>
      <c r="B139">
        <v>1849</v>
      </c>
      <c r="C139">
        <v>176</v>
      </c>
      <c r="D139" t="s">
        <v>23</v>
      </c>
      <c r="E139" t="s">
        <v>20</v>
      </c>
      <c r="F139" t="s">
        <v>21</v>
      </c>
      <c r="G139" t="s">
        <v>22</v>
      </c>
      <c r="H139">
        <v>274.5</v>
      </c>
      <c r="I139">
        <v>261.5</v>
      </c>
      <c r="J139">
        <v>100.7</v>
      </c>
      <c r="K139">
        <v>67</v>
      </c>
      <c r="L139">
        <v>26.6</v>
      </c>
      <c r="M139">
        <v>10</v>
      </c>
      <c r="N139">
        <v>0.15377235274513501</v>
      </c>
      <c r="O139">
        <v>0.42057662279547497</v>
      </c>
      <c r="P139" t="str">
        <f t="shared" si="4"/>
        <v>F</v>
      </c>
      <c r="Q139" t="str">
        <f t="shared" si="5"/>
        <v>F</v>
      </c>
    </row>
    <row r="140" spans="1:17" hidden="1" x14ac:dyDescent="0.3">
      <c r="A140">
        <v>2310</v>
      </c>
      <c r="B140">
        <v>1849</v>
      </c>
      <c r="C140">
        <v>176</v>
      </c>
      <c r="D140" t="s">
        <v>23</v>
      </c>
      <c r="E140" t="s">
        <v>20</v>
      </c>
      <c r="F140" t="s">
        <v>21</v>
      </c>
      <c r="G140" t="s">
        <v>22</v>
      </c>
      <c r="H140">
        <v>274.5</v>
      </c>
      <c r="I140">
        <v>261.5</v>
      </c>
      <c r="J140">
        <v>100.7</v>
      </c>
      <c r="K140">
        <v>67</v>
      </c>
      <c r="L140">
        <v>26.6</v>
      </c>
      <c r="M140">
        <v>10</v>
      </c>
      <c r="N140">
        <v>0.131920249266782</v>
      </c>
      <c r="O140">
        <v>0.42211067341208902</v>
      </c>
      <c r="P140" t="str">
        <f t="shared" si="4"/>
        <v>F</v>
      </c>
      <c r="Q140" t="str">
        <f t="shared" si="5"/>
        <v>F</v>
      </c>
    </row>
    <row r="141" spans="1:17" hidden="1" x14ac:dyDescent="0.3">
      <c r="A141">
        <v>2311</v>
      </c>
      <c r="B141">
        <v>1849</v>
      </c>
      <c r="C141">
        <v>176</v>
      </c>
      <c r="D141" t="s">
        <v>23</v>
      </c>
      <c r="E141" t="s">
        <v>20</v>
      </c>
      <c r="F141" t="s">
        <v>21</v>
      </c>
      <c r="G141" t="s">
        <v>22</v>
      </c>
      <c r="H141">
        <v>274.5</v>
      </c>
      <c r="I141">
        <v>261.5</v>
      </c>
      <c r="J141">
        <v>100.7</v>
      </c>
      <c r="K141">
        <v>67</v>
      </c>
      <c r="L141">
        <v>26.6</v>
      </c>
      <c r="M141">
        <v>10</v>
      </c>
      <c r="N141">
        <v>0.133101726527877</v>
      </c>
      <c r="O141">
        <v>0.40417913698798202</v>
      </c>
      <c r="P141" t="str">
        <f t="shared" si="4"/>
        <v>F</v>
      </c>
      <c r="Q141" t="str">
        <f t="shared" si="5"/>
        <v>F</v>
      </c>
    </row>
    <row r="142" spans="1:17" hidden="1" x14ac:dyDescent="0.3">
      <c r="A142">
        <v>2396</v>
      </c>
      <c r="B142">
        <v>1875</v>
      </c>
      <c r="C142">
        <v>395</v>
      </c>
      <c r="D142" t="s">
        <v>23</v>
      </c>
      <c r="E142" t="s">
        <v>20</v>
      </c>
      <c r="F142" t="s">
        <v>17</v>
      </c>
      <c r="G142" t="s">
        <v>18</v>
      </c>
      <c r="H142">
        <v>273.60000000000002</v>
      </c>
      <c r="I142">
        <v>247</v>
      </c>
      <c r="J142">
        <v>94</v>
      </c>
      <c r="K142">
        <v>68</v>
      </c>
      <c r="L142">
        <v>26.7</v>
      </c>
      <c r="M142">
        <v>7.5</v>
      </c>
      <c r="N142">
        <v>0.15655051764247499</v>
      </c>
      <c r="O142">
        <v>0.34358201468133098</v>
      </c>
      <c r="P142" t="str">
        <f t="shared" si="4"/>
        <v>F</v>
      </c>
      <c r="Q142" t="str">
        <f t="shared" si="5"/>
        <v>F</v>
      </c>
    </row>
    <row r="143" spans="1:17" x14ac:dyDescent="0.3">
      <c r="A143">
        <v>2497</v>
      </c>
      <c r="B143">
        <v>1905</v>
      </c>
      <c r="C143">
        <v>483</v>
      </c>
      <c r="D143" t="s">
        <v>23</v>
      </c>
      <c r="E143" t="s">
        <v>20</v>
      </c>
      <c r="F143" t="s">
        <v>17</v>
      </c>
      <c r="G143" t="s">
        <v>24</v>
      </c>
      <c r="H143">
        <v>271.89999999999998</v>
      </c>
      <c r="I143">
        <v>246</v>
      </c>
      <c r="J143">
        <v>94.4</v>
      </c>
      <c r="K143">
        <v>60.5</v>
      </c>
      <c r="L143">
        <v>27.6</v>
      </c>
      <c r="M143">
        <v>13.5</v>
      </c>
      <c r="N143">
        <v>9.9251828940676398E-2</v>
      </c>
      <c r="O143">
        <v>0.20519533114715599</v>
      </c>
      <c r="P143" t="str">
        <f t="shared" si="4"/>
        <v>T</v>
      </c>
      <c r="Q143" t="str">
        <f t="shared" si="5"/>
        <v>T</v>
      </c>
    </row>
    <row r="144" spans="1:17" hidden="1" x14ac:dyDescent="0.3">
      <c r="A144">
        <v>2498</v>
      </c>
      <c r="B144">
        <v>1905</v>
      </c>
      <c r="C144">
        <v>483</v>
      </c>
      <c r="D144" t="s">
        <v>23</v>
      </c>
      <c r="E144" t="s">
        <v>20</v>
      </c>
      <c r="F144" t="s">
        <v>17</v>
      </c>
      <c r="G144" t="s">
        <v>24</v>
      </c>
      <c r="H144">
        <v>271.89999999999998</v>
      </c>
      <c r="I144">
        <v>246</v>
      </c>
      <c r="J144">
        <v>94.4</v>
      </c>
      <c r="K144">
        <v>60.5</v>
      </c>
      <c r="L144">
        <v>27.6</v>
      </c>
      <c r="M144">
        <v>13.5</v>
      </c>
      <c r="N144">
        <v>0.116494088036121</v>
      </c>
      <c r="O144">
        <v>0.18408045350871299</v>
      </c>
      <c r="P144" t="str">
        <f t="shared" si="4"/>
        <v>F</v>
      </c>
      <c r="Q144" t="str">
        <f t="shared" si="5"/>
        <v>T</v>
      </c>
    </row>
    <row r="145" spans="1:17" hidden="1" x14ac:dyDescent="0.3">
      <c r="A145">
        <v>2526</v>
      </c>
      <c r="B145">
        <v>1914</v>
      </c>
      <c r="C145">
        <v>98</v>
      </c>
      <c r="D145" t="s">
        <v>23</v>
      </c>
      <c r="E145" t="s">
        <v>20</v>
      </c>
      <c r="F145" t="s">
        <v>17</v>
      </c>
      <c r="G145" t="s">
        <v>24</v>
      </c>
      <c r="H145">
        <v>276.60000000000002</v>
      </c>
      <c r="I145">
        <v>257.5</v>
      </c>
      <c r="J145">
        <v>95.2</v>
      </c>
      <c r="K145">
        <v>67.5</v>
      </c>
      <c r="L145">
        <v>24.1</v>
      </c>
      <c r="M145">
        <v>9.5</v>
      </c>
      <c r="N145">
        <v>0.18230424489129099</v>
      </c>
      <c r="O145">
        <v>0.37469823273432101</v>
      </c>
      <c r="P145" t="str">
        <f t="shared" si="4"/>
        <v>F</v>
      </c>
      <c r="Q145" t="str">
        <f t="shared" si="5"/>
        <v>F</v>
      </c>
    </row>
    <row r="146" spans="1:17" hidden="1" x14ac:dyDescent="0.3">
      <c r="A146">
        <v>2527</v>
      </c>
      <c r="B146">
        <v>1914</v>
      </c>
      <c r="C146">
        <v>98</v>
      </c>
      <c r="D146" t="s">
        <v>23</v>
      </c>
      <c r="E146" t="s">
        <v>20</v>
      </c>
      <c r="F146" t="s">
        <v>17</v>
      </c>
      <c r="G146" t="s">
        <v>24</v>
      </c>
      <c r="H146">
        <v>276.60000000000002</v>
      </c>
      <c r="I146">
        <v>257.5</v>
      </c>
      <c r="J146">
        <v>95.2</v>
      </c>
      <c r="K146">
        <v>67.5</v>
      </c>
      <c r="L146">
        <v>24.1</v>
      </c>
      <c r="M146">
        <v>9.5</v>
      </c>
      <c r="N146">
        <v>0.18694756668715701</v>
      </c>
      <c r="O146">
        <v>0.39221887953700602</v>
      </c>
      <c r="P146" t="str">
        <f t="shared" si="4"/>
        <v>F</v>
      </c>
      <c r="Q146" t="str">
        <f t="shared" si="5"/>
        <v>F</v>
      </c>
    </row>
    <row r="147" spans="1:17" hidden="1" x14ac:dyDescent="0.3">
      <c r="A147">
        <v>2528</v>
      </c>
      <c r="B147">
        <v>1914</v>
      </c>
      <c r="C147">
        <v>98</v>
      </c>
      <c r="D147" t="s">
        <v>23</v>
      </c>
      <c r="E147" t="s">
        <v>20</v>
      </c>
      <c r="F147" t="s">
        <v>17</v>
      </c>
      <c r="G147" t="s">
        <v>24</v>
      </c>
      <c r="H147">
        <v>276.60000000000002</v>
      </c>
      <c r="I147">
        <v>257.5</v>
      </c>
      <c r="J147">
        <v>95.2</v>
      </c>
      <c r="K147">
        <v>67.5</v>
      </c>
      <c r="L147">
        <v>24.1</v>
      </c>
      <c r="M147">
        <v>9.5</v>
      </c>
      <c r="N147">
        <v>0.18811799196866</v>
      </c>
      <c r="O147">
        <v>0.394987370190579</v>
      </c>
      <c r="P147" t="str">
        <f t="shared" si="4"/>
        <v>F</v>
      </c>
      <c r="Q147" t="str">
        <f t="shared" si="5"/>
        <v>F</v>
      </c>
    </row>
    <row r="148" spans="1:17" hidden="1" x14ac:dyDescent="0.3">
      <c r="A148">
        <v>2539</v>
      </c>
      <c r="B148">
        <v>1919</v>
      </c>
      <c r="C148">
        <v>26</v>
      </c>
      <c r="D148" t="s">
        <v>23</v>
      </c>
      <c r="E148" t="s">
        <v>20</v>
      </c>
      <c r="F148" t="s">
        <v>21</v>
      </c>
      <c r="G148" t="s">
        <v>25</v>
      </c>
      <c r="H148">
        <v>270.5</v>
      </c>
      <c r="I148">
        <v>243.5</v>
      </c>
      <c r="J148">
        <v>95.9</v>
      </c>
      <c r="K148">
        <v>66</v>
      </c>
      <c r="L148">
        <v>26.9</v>
      </c>
      <c r="M148">
        <v>6</v>
      </c>
      <c r="N148">
        <v>0.186675647424414</v>
      </c>
      <c r="O148">
        <v>0.37962382095282299</v>
      </c>
      <c r="P148" t="str">
        <f t="shared" si="4"/>
        <v>F</v>
      </c>
      <c r="Q148" t="str">
        <f t="shared" si="5"/>
        <v>F</v>
      </c>
    </row>
    <row r="149" spans="1:17" hidden="1" x14ac:dyDescent="0.3">
      <c r="A149">
        <v>2564</v>
      </c>
      <c r="B149">
        <v>1928</v>
      </c>
      <c r="C149">
        <v>80</v>
      </c>
      <c r="D149" t="s">
        <v>23</v>
      </c>
      <c r="E149" t="s">
        <v>20</v>
      </c>
      <c r="F149" t="s">
        <v>17</v>
      </c>
      <c r="G149" t="s">
        <v>26</v>
      </c>
      <c r="H149">
        <v>279</v>
      </c>
      <c r="I149">
        <v>254</v>
      </c>
      <c r="J149">
        <v>97.1</v>
      </c>
      <c r="K149">
        <v>67</v>
      </c>
      <c r="L149">
        <v>24.6</v>
      </c>
      <c r="M149">
        <v>7</v>
      </c>
      <c r="N149">
        <v>0.19478574959772199</v>
      </c>
      <c r="O149">
        <v>0.34361155733634202</v>
      </c>
      <c r="P149" t="str">
        <f t="shared" si="4"/>
        <v>F</v>
      </c>
      <c r="Q149" t="str">
        <f t="shared" si="5"/>
        <v>F</v>
      </c>
    </row>
    <row r="150" spans="1:17" hidden="1" x14ac:dyDescent="0.3">
      <c r="A150">
        <v>2565</v>
      </c>
      <c r="B150">
        <v>1928</v>
      </c>
      <c r="C150">
        <v>80</v>
      </c>
      <c r="D150" t="s">
        <v>23</v>
      </c>
      <c r="E150" t="s">
        <v>20</v>
      </c>
      <c r="F150" t="s">
        <v>17</v>
      </c>
      <c r="G150" t="s">
        <v>26</v>
      </c>
      <c r="H150">
        <v>279</v>
      </c>
      <c r="I150">
        <v>254</v>
      </c>
      <c r="J150">
        <v>97.1</v>
      </c>
      <c r="K150">
        <v>67</v>
      </c>
      <c r="L150">
        <v>24.6</v>
      </c>
      <c r="M150">
        <v>7</v>
      </c>
      <c r="N150">
        <v>0.2032241497909</v>
      </c>
      <c r="O150">
        <v>0.32614576792988198</v>
      </c>
      <c r="P150" t="str">
        <f t="shared" si="4"/>
        <v>F</v>
      </c>
      <c r="Q150" t="str">
        <f t="shared" si="5"/>
        <v>F</v>
      </c>
    </row>
    <row r="151" spans="1:17" hidden="1" x14ac:dyDescent="0.3">
      <c r="A151">
        <v>2591</v>
      </c>
      <c r="B151">
        <v>1939</v>
      </c>
      <c r="C151">
        <v>61</v>
      </c>
      <c r="D151" t="s">
        <v>23</v>
      </c>
      <c r="E151" t="s">
        <v>20</v>
      </c>
      <c r="F151" t="s">
        <v>17</v>
      </c>
      <c r="G151" t="s">
        <v>26</v>
      </c>
      <c r="H151">
        <v>272.3</v>
      </c>
      <c r="I151">
        <v>239</v>
      </c>
      <c r="J151">
        <v>94.1</v>
      </c>
      <c r="K151">
        <v>68</v>
      </c>
      <c r="L151">
        <v>23.9</v>
      </c>
      <c r="M151">
        <v>4.5</v>
      </c>
      <c r="N151">
        <v>0.31306728154731001</v>
      </c>
      <c r="O151">
        <v>0.38340497772537202</v>
      </c>
      <c r="P151" t="str">
        <f t="shared" si="4"/>
        <v>F</v>
      </c>
      <c r="Q151" t="str">
        <f t="shared" si="5"/>
        <v>F</v>
      </c>
    </row>
    <row r="152" spans="1:17" hidden="1" x14ac:dyDescent="0.3">
      <c r="A152">
        <v>2592</v>
      </c>
      <c r="B152">
        <v>1939</v>
      </c>
      <c r="C152">
        <v>61</v>
      </c>
      <c r="D152" t="s">
        <v>23</v>
      </c>
      <c r="E152" t="s">
        <v>20</v>
      </c>
      <c r="F152" t="s">
        <v>17</v>
      </c>
      <c r="G152" t="s">
        <v>26</v>
      </c>
      <c r="H152">
        <v>272.3</v>
      </c>
      <c r="I152">
        <v>239</v>
      </c>
      <c r="J152">
        <v>94.1</v>
      </c>
      <c r="K152">
        <v>68</v>
      </c>
      <c r="L152">
        <v>23.9</v>
      </c>
      <c r="M152">
        <v>4.5</v>
      </c>
      <c r="N152">
        <v>0.31168093126352298</v>
      </c>
      <c r="O152">
        <v>0.38132286682862798</v>
      </c>
      <c r="P152" t="str">
        <f t="shared" si="4"/>
        <v>F</v>
      </c>
      <c r="Q152" t="str">
        <f t="shared" si="5"/>
        <v>F</v>
      </c>
    </row>
    <row r="153" spans="1:17" hidden="1" x14ac:dyDescent="0.3">
      <c r="A153">
        <v>2593</v>
      </c>
      <c r="B153">
        <v>1939</v>
      </c>
      <c r="C153">
        <v>61</v>
      </c>
      <c r="D153" t="s">
        <v>23</v>
      </c>
      <c r="E153" t="s">
        <v>20</v>
      </c>
      <c r="F153" t="s">
        <v>17</v>
      </c>
      <c r="G153" t="s">
        <v>26</v>
      </c>
      <c r="H153">
        <v>272.3</v>
      </c>
      <c r="I153">
        <v>239</v>
      </c>
      <c r="J153">
        <v>94.1</v>
      </c>
      <c r="K153">
        <v>68</v>
      </c>
      <c r="L153">
        <v>23.9</v>
      </c>
      <c r="M153">
        <v>4.5</v>
      </c>
      <c r="N153">
        <v>0.29763810680887698</v>
      </c>
      <c r="O153">
        <v>0.38956585675706701</v>
      </c>
      <c r="P153" t="str">
        <f t="shared" si="4"/>
        <v>F</v>
      </c>
      <c r="Q153" t="str">
        <f t="shared" si="5"/>
        <v>F</v>
      </c>
    </row>
    <row r="154" spans="1:17" hidden="1" x14ac:dyDescent="0.3">
      <c r="A154">
        <v>2634</v>
      </c>
      <c r="B154">
        <v>1956</v>
      </c>
      <c r="C154">
        <v>322</v>
      </c>
      <c r="D154" t="s">
        <v>23</v>
      </c>
      <c r="E154" t="s">
        <v>20</v>
      </c>
      <c r="F154" t="s">
        <v>17</v>
      </c>
      <c r="G154" t="s">
        <v>24</v>
      </c>
      <c r="H154">
        <v>276.7</v>
      </c>
      <c r="I154">
        <v>250</v>
      </c>
      <c r="J154">
        <v>99.1</v>
      </c>
      <c r="K154">
        <v>67.5</v>
      </c>
      <c r="L154">
        <v>26</v>
      </c>
      <c r="M154">
        <v>5.5</v>
      </c>
      <c r="N154">
        <v>0.19246340971224499</v>
      </c>
      <c r="O154">
        <v>0.31666233991081999</v>
      </c>
      <c r="P154" t="str">
        <f t="shared" si="4"/>
        <v>F</v>
      </c>
      <c r="Q154" t="str">
        <f t="shared" si="5"/>
        <v>F</v>
      </c>
    </row>
    <row r="155" spans="1:17" hidden="1" x14ac:dyDescent="0.3">
      <c r="A155">
        <v>2635</v>
      </c>
      <c r="B155">
        <v>1956</v>
      </c>
      <c r="C155">
        <v>322</v>
      </c>
      <c r="D155" t="s">
        <v>23</v>
      </c>
      <c r="E155" t="s">
        <v>20</v>
      </c>
      <c r="F155" t="s">
        <v>17</v>
      </c>
      <c r="G155" t="s">
        <v>24</v>
      </c>
      <c r="H155">
        <v>276.7</v>
      </c>
      <c r="I155">
        <v>250</v>
      </c>
      <c r="J155">
        <v>99.1</v>
      </c>
      <c r="K155">
        <v>67.5</v>
      </c>
      <c r="L155">
        <v>26</v>
      </c>
      <c r="M155">
        <v>5.5</v>
      </c>
      <c r="N155">
        <v>0.19266605363123099</v>
      </c>
      <c r="O155">
        <v>0.32975771635677498</v>
      </c>
      <c r="P155" t="str">
        <f t="shared" si="4"/>
        <v>F</v>
      </c>
      <c r="Q155" t="str">
        <f t="shared" si="5"/>
        <v>F</v>
      </c>
    </row>
    <row r="156" spans="1:17" hidden="1" x14ac:dyDescent="0.3">
      <c r="A156">
        <v>2636</v>
      </c>
      <c r="B156">
        <v>1956</v>
      </c>
      <c r="C156">
        <v>322</v>
      </c>
      <c r="D156" t="s">
        <v>23</v>
      </c>
      <c r="E156" t="s">
        <v>20</v>
      </c>
      <c r="F156" t="s">
        <v>17</v>
      </c>
      <c r="G156" t="s">
        <v>24</v>
      </c>
      <c r="H156">
        <v>276.7</v>
      </c>
      <c r="I156">
        <v>250</v>
      </c>
      <c r="J156">
        <v>99.1</v>
      </c>
      <c r="K156">
        <v>67.5</v>
      </c>
      <c r="L156">
        <v>26</v>
      </c>
      <c r="M156">
        <v>5.5</v>
      </c>
      <c r="N156">
        <v>0.15883898626832901</v>
      </c>
      <c r="O156">
        <v>0.34494090868645999</v>
      </c>
      <c r="P156" t="str">
        <f t="shared" si="4"/>
        <v>F</v>
      </c>
      <c r="Q156" t="str">
        <f t="shared" si="5"/>
        <v>F</v>
      </c>
    </row>
    <row r="157" spans="1:17" hidden="1" x14ac:dyDescent="0.3">
      <c r="A157">
        <v>2712</v>
      </c>
      <c r="B157">
        <v>1985</v>
      </c>
      <c r="C157">
        <v>466</v>
      </c>
      <c r="D157" t="s">
        <v>23</v>
      </c>
      <c r="E157" t="s">
        <v>20</v>
      </c>
      <c r="F157" t="s">
        <v>21</v>
      </c>
      <c r="G157" t="s">
        <v>22</v>
      </c>
      <c r="H157">
        <v>282.10000000000002</v>
      </c>
      <c r="I157">
        <v>257</v>
      </c>
      <c r="J157">
        <v>100.3</v>
      </c>
      <c r="K157">
        <v>68.5</v>
      </c>
      <c r="L157">
        <v>27.5</v>
      </c>
      <c r="M157">
        <v>11</v>
      </c>
      <c r="N157">
        <v>4.7076162931696801E-2</v>
      </c>
      <c r="O157">
        <v>0.28030288686069199</v>
      </c>
      <c r="P157" t="str">
        <f t="shared" si="4"/>
        <v>T</v>
      </c>
      <c r="Q157" t="str">
        <f t="shared" si="5"/>
        <v>F</v>
      </c>
    </row>
    <row r="158" spans="1:17" hidden="1" x14ac:dyDescent="0.3">
      <c r="A158">
        <v>2713</v>
      </c>
      <c r="B158">
        <v>1985</v>
      </c>
      <c r="C158">
        <v>466</v>
      </c>
      <c r="D158" t="s">
        <v>23</v>
      </c>
      <c r="E158" t="s">
        <v>20</v>
      </c>
      <c r="F158" t="s">
        <v>21</v>
      </c>
      <c r="G158" t="s">
        <v>22</v>
      </c>
      <c r="H158">
        <v>282.10000000000002</v>
      </c>
      <c r="I158">
        <v>257</v>
      </c>
      <c r="J158">
        <v>100.3</v>
      </c>
      <c r="K158">
        <v>68.5</v>
      </c>
      <c r="L158">
        <v>27.5</v>
      </c>
      <c r="M158">
        <v>11</v>
      </c>
      <c r="N158">
        <v>6.1318633509739102E-2</v>
      </c>
      <c r="O158">
        <v>0.270168008286513</v>
      </c>
      <c r="P158" t="str">
        <f t="shared" si="4"/>
        <v>T</v>
      </c>
      <c r="Q158" t="str">
        <f t="shared" si="5"/>
        <v>F</v>
      </c>
    </row>
    <row r="159" spans="1:17" hidden="1" x14ac:dyDescent="0.3">
      <c r="A159">
        <v>2714</v>
      </c>
      <c r="B159">
        <v>1985</v>
      </c>
      <c r="C159">
        <v>466</v>
      </c>
      <c r="D159" t="s">
        <v>23</v>
      </c>
      <c r="E159" t="s">
        <v>20</v>
      </c>
      <c r="F159" t="s">
        <v>21</v>
      </c>
      <c r="G159" t="s">
        <v>22</v>
      </c>
      <c r="H159">
        <v>282.10000000000002</v>
      </c>
      <c r="I159">
        <v>257</v>
      </c>
      <c r="J159">
        <v>100.3</v>
      </c>
      <c r="K159">
        <v>68.5</v>
      </c>
      <c r="L159">
        <v>27.5</v>
      </c>
      <c r="M159">
        <v>11</v>
      </c>
      <c r="N159">
        <v>8.3107152108016696E-2</v>
      </c>
      <c r="O159">
        <v>0.30095798213764402</v>
      </c>
      <c r="P159" t="str">
        <f t="shared" si="4"/>
        <v>T</v>
      </c>
      <c r="Q159" t="str">
        <f t="shared" si="5"/>
        <v>F</v>
      </c>
    </row>
    <row r="160" spans="1:17" hidden="1" x14ac:dyDescent="0.3">
      <c r="A160">
        <v>2715</v>
      </c>
      <c r="B160">
        <v>1985</v>
      </c>
      <c r="C160">
        <v>466</v>
      </c>
      <c r="D160" t="s">
        <v>23</v>
      </c>
      <c r="E160" t="s">
        <v>20</v>
      </c>
      <c r="F160" t="s">
        <v>21</v>
      </c>
      <c r="G160" t="s">
        <v>22</v>
      </c>
      <c r="H160">
        <v>282.10000000000002</v>
      </c>
      <c r="I160">
        <v>257</v>
      </c>
      <c r="J160">
        <v>100.3</v>
      </c>
      <c r="K160">
        <v>68.5</v>
      </c>
      <c r="L160">
        <v>27.5</v>
      </c>
      <c r="M160">
        <v>11</v>
      </c>
      <c r="N160">
        <v>4.6667667182126199E-2</v>
      </c>
      <c r="O160">
        <v>0.27323893963870499</v>
      </c>
      <c r="P160" t="str">
        <f t="shared" si="4"/>
        <v>T</v>
      </c>
      <c r="Q160" t="str">
        <f t="shared" si="5"/>
        <v>F</v>
      </c>
    </row>
    <row r="161" spans="1:17" hidden="1" x14ac:dyDescent="0.3">
      <c r="A161">
        <v>2726</v>
      </c>
      <c r="B161">
        <v>1989</v>
      </c>
      <c r="C161">
        <v>61</v>
      </c>
      <c r="D161" t="s">
        <v>23</v>
      </c>
      <c r="E161" t="s">
        <v>20</v>
      </c>
      <c r="F161" t="s">
        <v>17</v>
      </c>
      <c r="G161" t="s">
        <v>24</v>
      </c>
      <c r="H161">
        <v>272.3</v>
      </c>
      <c r="I161">
        <v>239</v>
      </c>
      <c r="J161">
        <v>94.1</v>
      </c>
      <c r="K161">
        <v>68</v>
      </c>
      <c r="L161">
        <v>23.9</v>
      </c>
      <c r="M161">
        <v>4.5</v>
      </c>
      <c r="N161">
        <v>0.29828467581809098</v>
      </c>
      <c r="O161">
        <v>0.39729430587639702</v>
      </c>
      <c r="P161" t="str">
        <f t="shared" si="4"/>
        <v>F</v>
      </c>
      <c r="Q161" t="str">
        <f t="shared" si="5"/>
        <v>F</v>
      </c>
    </row>
    <row r="162" spans="1:17" hidden="1" x14ac:dyDescent="0.3">
      <c r="A162">
        <v>2781</v>
      </c>
      <c r="B162">
        <v>2007</v>
      </c>
      <c r="C162">
        <v>66</v>
      </c>
      <c r="D162" t="s">
        <v>23</v>
      </c>
      <c r="E162" t="s">
        <v>20</v>
      </c>
      <c r="F162" t="s">
        <v>21</v>
      </c>
      <c r="G162" t="s">
        <v>25</v>
      </c>
      <c r="H162">
        <v>276.2</v>
      </c>
      <c r="I162">
        <v>258</v>
      </c>
      <c r="J162">
        <v>95.8</v>
      </c>
      <c r="K162">
        <v>63.5</v>
      </c>
      <c r="L162">
        <v>26.4</v>
      </c>
      <c r="M162">
        <v>7</v>
      </c>
      <c r="N162">
        <v>0.15492251688687</v>
      </c>
      <c r="O162">
        <v>0.24834565758185301</v>
      </c>
      <c r="P162" t="str">
        <f t="shared" si="4"/>
        <v>F</v>
      </c>
      <c r="Q162" t="str">
        <f t="shared" si="5"/>
        <v>T</v>
      </c>
    </row>
    <row r="163" spans="1:17" hidden="1" x14ac:dyDescent="0.3">
      <c r="A163">
        <v>2782</v>
      </c>
      <c r="B163">
        <v>2007</v>
      </c>
      <c r="C163">
        <v>66</v>
      </c>
      <c r="D163" t="s">
        <v>23</v>
      </c>
      <c r="E163" t="s">
        <v>20</v>
      </c>
      <c r="F163" t="s">
        <v>21</v>
      </c>
      <c r="G163" t="s">
        <v>25</v>
      </c>
      <c r="H163">
        <v>276.2</v>
      </c>
      <c r="I163">
        <v>258</v>
      </c>
      <c r="J163">
        <v>95.8</v>
      </c>
      <c r="K163">
        <v>63.5</v>
      </c>
      <c r="L163">
        <v>26.4</v>
      </c>
      <c r="M163">
        <v>7</v>
      </c>
      <c r="N163">
        <v>0.15814951637774699</v>
      </c>
      <c r="O163">
        <v>0.26456331783542397</v>
      </c>
      <c r="P163" t="str">
        <f t="shared" si="4"/>
        <v>F</v>
      </c>
      <c r="Q163" t="str">
        <f t="shared" si="5"/>
        <v>T</v>
      </c>
    </row>
    <row r="164" spans="1:17" x14ac:dyDescent="0.3">
      <c r="A164">
        <v>2827</v>
      </c>
      <c r="B164">
        <v>2020</v>
      </c>
      <c r="C164">
        <v>421</v>
      </c>
      <c r="D164" t="s">
        <v>23</v>
      </c>
      <c r="E164" t="s">
        <v>20</v>
      </c>
      <c r="F164" t="s">
        <v>17</v>
      </c>
      <c r="G164" t="s">
        <v>26</v>
      </c>
      <c r="H164">
        <v>278.8</v>
      </c>
      <c r="I164">
        <v>249.5</v>
      </c>
      <c r="J164">
        <v>96.9</v>
      </c>
      <c r="K164">
        <v>68</v>
      </c>
      <c r="L164">
        <v>28.3</v>
      </c>
      <c r="M164">
        <v>9.5</v>
      </c>
      <c r="N164">
        <v>8.6960213276395804E-2</v>
      </c>
      <c r="O164">
        <v>0.24072221407497599</v>
      </c>
      <c r="P164" t="str">
        <f t="shared" si="4"/>
        <v>T</v>
      </c>
      <c r="Q164" t="str">
        <f t="shared" si="5"/>
        <v>T</v>
      </c>
    </row>
    <row r="165" spans="1:17" x14ac:dyDescent="0.3">
      <c r="A165">
        <v>2828</v>
      </c>
      <c r="B165">
        <v>2020</v>
      </c>
      <c r="C165">
        <v>421</v>
      </c>
      <c r="D165" t="s">
        <v>23</v>
      </c>
      <c r="E165" t="s">
        <v>20</v>
      </c>
      <c r="F165" t="s">
        <v>17</v>
      </c>
      <c r="G165" t="s">
        <v>26</v>
      </c>
      <c r="H165">
        <v>278.8</v>
      </c>
      <c r="I165">
        <v>249.5</v>
      </c>
      <c r="J165">
        <v>96.9</v>
      </c>
      <c r="K165">
        <v>68</v>
      </c>
      <c r="L165">
        <v>28.3</v>
      </c>
      <c r="M165">
        <v>9.5</v>
      </c>
      <c r="N165">
        <v>9.1948597631183904E-2</v>
      </c>
      <c r="O165">
        <v>0.226765387338425</v>
      </c>
      <c r="P165" t="str">
        <f t="shared" si="4"/>
        <v>T</v>
      </c>
      <c r="Q165" t="str">
        <f t="shared" si="5"/>
        <v>T</v>
      </c>
    </row>
    <row r="166" spans="1:17" hidden="1" x14ac:dyDescent="0.3">
      <c r="A166">
        <v>2901</v>
      </c>
      <c r="B166">
        <v>2047</v>
      </c>
      <c r="C166">
        <v>61</v>
      </c>
      <c r="D166" t="s">
        <v>23</v>
      </c>
      <c r="E166" t="s">
        <v>20</v>
      </c>
      <c r="F166" t="s">
        <v>17</v>
      </c>
      <c r="G166" t="s">
        <v>25</v>
      </c>
      <c r="H166">
        <v>272.3</v>
      </c>
      <c r="I166">
        <v>239</v>
      </c>
      <c r="J166">
        <v>94.1</v>
      </c>
      <c r="K166">
        <v>68</v>
      </c>
      <c r="L166">
        <v>23.9</v>
      </c>
      <c r="M166">
        <v>4.5</v>
      </c>
      <c r="N166">
        <v>0.29732954697671299</v>
      </c>
      <c r="O166">
        <v>0.37970584970765903</v>
      </c>
      <c r="P166" t="str">
        <f t="shared" si="4"/>
        <v>F</v>
      </c>
      <c r="Q166" t="str">
        <f t="shared" si="5"/>
        <v>F</v>
      </c>
    </row>
    <row r="167" spans="1:17" hidden="1" x14ac:dyDescent="0.3">
      <c r="A167">
        <v>2904</v>
      </c>
      <c r="B167">
        <v>2047</v>
      </c>
      <c r="C167">
        <v>61</v>
      </c>
      <c r="D167" t="s">
        <v>23</v>
      </c>
      <c r="E167" t="s">
        <v>20</v>
      </c>
      <c r="F167" t="s">
        <v>17</v>
      </c>
      <c r="G167" t="s">
        <v>25</v>
      </c>
      <c r="H167">
        <v>272.3</v>
      </c>
      <c r="I167">
        <v>239</v>
      </c>
      <c r="J167">
        <v>94.1</v>
      </c>
      <c r="K167">
        <v>68</v>
      </c>
      <c r="L167">
        <v>23.9</v>
      </c>
      <c r="M167">
        <v>4.5</v>
      </c>
      <c r="N167">
        <v>0.30262017421418103</v>
      </c>
      <c r="O167">
        <v>0.394915252364539</v>
      </c>
      <c r="P167" t="str">
        <f t="shared" si="4"/>
        <v>F</v>
      </c>
      <c r="Q167" t="str">
        <f t="shared" si="5"/>
        <v>F</v>
      </c>
    </row>
    <row r="168" spans="1:17" hidden="1" x14ac:dyDescent="0.3">
      <c r="A168">
        <v>2905</v>
      </c>
      <c r="B168">
        <v>2047</v>
      </c>
      <c r="C168">
        <v>61</v>
      </c>
      <c r="D168" t="s">
        <v>23</v>
      </c>
      <c r="E168" t="s">
        <v>20</v>
      </c>
      <c r="F168" t="s">
        <v>17</v>
      </c>
      <c r="G168" t="s">
        <v>25</v>
      </c>
      <c r="H168">
        <v>272.3</v>
      </c>
      <c r="I168">
        <v>239</v>
      </c>
      <c r="J168">
        <v>94.1</v>
      </c>
      <c r="K168">
        <v>68</v>
      </c>
      <c r="L168">
        <v>23.9</v>
      </c>
      <c r="M168">
        <v>4.5</v>
      </c>
      <c r="N168">
        <v>0.30356787614735298</v>
      </c>
      <c r="O168">
        <v>0.38278298352222401</v>
      </c>
      <c r="P168" t="str">
        <f t="shared" si="4"/>
        <v>F</v>
      </c>
      <c r="Q168" t="str">
        <f t="shared" si="5"/>
        <v>F</v>
      </c>
    </row>
    <row r="169" spans="1:17" hidden="1" x14ac:dyDescent="0.3">
      <c r="A169">
        <v>2911</v>
      </c>
      <c r="B169">
        <v>205</v>
      </c>
      <c r="C169">
        <v>95</v>
      </c>
      <c r="D169" t="s">
        <v>23</v>
      </c>
      <c r="E169" t="s">
        <v>20</v>
      </c>
      <c r="F169" t="s">
        <v>21</v>
      </c>
      <c r="G169" t="s">
        <v>24</v>
      </c>
      <c r="H169">
        <v>276.60000000000002</v>
      </c>
      <c r="I169">
        <v>250.5</v>
      </c>
      <c r="J169">
        <v>100</v>
      </c>
      <c r="K169">
        <v>67</v>
      </c>
      <c r="L169">
        <v>28.2</v>
      </c>
      <c r="M169">
        <v>6.5</v>
      </c>
      <c r="N169">
        <v>0.12471856725295601</v>
      </c>
      <c r="O169">
        <v>0.34753918850827797</v>
      </c>
      <c r="P169" t="str">
        <f t="shared" si="4"/>
        <v>F</v>
      </c>
      <c r="Q169" t="str">
        <f t="shared" si="5"/>
        <v>F</v>
      </c>
    </row>
    <row r="170" spans="1:17" hidden="1" x14ac:dyDescent="0.3">
      <c r="A170">
        <v>2912</v>
      </c>
      <c r="B170">
        <v>205</v>
      </c>
      <c r="C170">
        <v>95</v>
      </c>
      <c r="D170" t="s">
        <v>23</v>
      </c>
      <c r="E170" t="s">
        <v>20</v>
      </c>
      <c r="F170" t="s">
        <v>21</v>
      </c>
      <c r="G170" t="s">
        <v>24</v>
      </c>
      <c r="H170">
        <v>276.60000000000002</v>
      </c>
      <c r="I170">
        <v>250.5</v>
      </c>
      <c r="J170">
        <v>100</v>
      </c>
      <c r="K170">
        <v>67</v>
      </c>
      <c r="L170">
        <v>28.2</v>
      </c>
      <c r="M170">
        <v>6.5</v>
      </c>
      <c r="N170">
        <v>0.101757260968442</v>
      </c>
      <c r="O170">
        <v>0.34402689038633699</v>
      </c>
      <c r="P170" t="str">
        <f t="shared" si="4"/>
        <v>F</v>
      </c>
      <c r="Q170" t="str">
        <f t="shared" si="5"/>
        <v>F</v>
      </c>
    </row>
    <row r="171" spans="1:17" hidden="1" x14ac:dyDescent="0.3">
      <c r="A171">
        <v>2913</v>
      </c>
      <c r="B171">
        <v>205</v>
      </c>
      <c r="C171">
        <v>95</v>
      </c>
      <c r="D171" t="s">
        <v>23</v>
      </c>
      <c r="E171" t="s">
        <v>20</v>
      </c>
      <c r="F171" t="s">
        <v>21</v>
      </c>
      <c r="G171" t="s">
        <v>24</v>
      </c>
      <c r="H171">
        <v>276.60000000000002</v>
      </c>
      <c r="I171">
        <v>250.5</v>
      </c>
      <c r="J171">
        <v>100</v>
      </c>
      <c r="K171">
        <v>67</v>
      </c>
      <c r="L171">
        <v>28.2</v>
      </c>
      <c r="M171">
        <v>6.5</v>
      </c>
      <c r="N171">
        <v>0.10588298693574801</v>
      </c>
      <c r="O171">
        <v>0.33012327661316598</v>
      </c>
      <c r="P171" t="str">
        <f t="shared" si="4"/>
        <v>F</v>
      </c>
      <c r="Q171" t="str">
        <f t="shared" si="5"/>
        <v>F</v>
      </c>
    </row>
    <row r="172" spans="1:17" hidden="1" x14ac:dyDescent="0.3">
      <c r="A172">
        <v>2934</v>
      </c>
      <c r="B172">
        <v>2056</v>
      </c>
      <c r="C172">
        <v>267</v>
      </c>
      <c r="D172" t="s">
        <v>23</v>
      </c>
      <c r="E172" t="s">
        <v>20</v>
      </c>
      <c r="F172" t="s">
        <v>21</v>
      </c>
      <c r="G172" t="s">
        <v>18</v>
      </c>
      <c r="H172">
        <v>275.39999999999998</v>
      </c>
      <c r="I172">
        <v>244.5</v>
      </c>
      <c r="J172">
        <v>95.4</v>
      </c>
      <c r="K172">
        <v>67</v>
      </c>
      <c r="L172">
        <v>22.2</v>
      </c>
      <c r="M172">
        <v>9.5</v>
      </c>
      <c r="N172">
        <v>0.26057624217627301</v>
      </c>
      <c r="O172">
        <v>0.225804159624997</v>
      </c>
      <c r="P172" t="str">
        <f t="shared" si="4"/>
        <v>F</v>
      </c>
      <c r="Q172" t="str">
        <f t="shared" si="5"/>
        <v>T</v>
      </c>
    </row>
    <row r="173" spans="1:17" hidden="1" x14ac:dyDescent="0.3">
      <c r="A173">
        <v>2955</v>
      </c>
      <c r="B173">
        <v>2064</v>
      </c>
      <c r="C173">
        <v>322</v>
      </c>
      <c r="D173" t="s">
        <v>23</v>
      </c>
      <c r="E173" t="s">
        <v>20</v>
      </c>
      <c r="F173" t="s">
        <v>21</v>
      </c>
      <c r="G173" t="s">
        <v>26</v>
      </c>
      <c r="H173">
        <v>276.7</v>
      </c>
      <c r="I173">
        <v>250</v>
      </c>
      <c r="J173">
        <v>99.1</v>
      </c>
      <c r="K173">
        <v>67.5</v>
      </c>
      <c r="L173">
        <v>26</v>
      </c>
      <c r="M173">
        <v>5.5</v>
      </c>
      <c r="N173">
        <v>0.19999626308926299</v>
      </c>
      <c r="O173">
        <v>0.33731755440909</v>
      </c>
      <c r="P173" t="str">
        <f t="shared" si="4"/>
        <v>F</v>
      </c>
      <c r="Q173" t="str">
        <f t="shared" si="5"/>
        <v>F</v>
      </c>
    </row>
    <row r="174" spans="1:17" hidden="1" x14ac:dyDescent="0.3">
      <c r="A174">
        <v>2956</v>
      </c>
      <c r="B174">
        <v>2064</v>
      </c>
      <c r="C174">
        <v>322</v>
      </c>
      <c r="D174" t="s">
        <v>23</v>
      </c>
      <c r="E174" t="s">
        <v>20</v>
      </c>
      <c r="F174" t="s">
        <v>21</v>
      </c>
      <c r="G174" t="s">
        <v>26</v>
      </c>
      <c r="H174">
        <v>276.7</v>
      </c>
      <c r="I174">
        <v>250</v>
      </c>
      <c r="J174">
        <v>99.1</v>
      </c>
      <c r="K174">
        <v>67.5</v>
      </c>
      <c r="L174">
        <v>26</v>
      </c>
      <c r="M174">
        <v>5.5</v>
      </c>
      <c r="N174">
        <v>0.17034886272560501</v>
      </c>
      <c r="O174">
        <v>0.34781448245975199</v>
      </c>
      <c r="P174" t="str">
        <f t="shared" si="4"/>
        <v>F</v>
      </c>
      <c r="Q174" t="str">
        <f t="shared" si="5"/>
        <v>F</v>
      </c>
    </row>
    <row r="175" spans="1:17" hidden="1" x14ac:dyDescent="0.3">
      <c r="A175">
        <v>2967</v>
      </c>
      <c r="B175">
        <v>2071</v>
      </c>
      <c r="C175">
        <v>340</v>
      </c>
      <c r="D175" t="s">
        <v>23</v>
      </c>
      <c r="E175" t="s">
        <v>20</v>
      </c>
      <c r="F175" t="s">
        <v>17</v>
      </c>
      <c r="G175" t="s">
        <v>24</v>
      </c>
      <c r="H175">
        <v>274.60000000000002</v>
      </c>
      <c r="I175">
        <v>261.5</v>
      </c>
      <c r="J175">
        <v>96.7</v>
      </c>
      <c r="K175">
        <v>62</v>
      </c>
      <c r="L175">
        <v>28.9</v>
      </c>
      <c r="M175">
        <v>10.5</v>
      </c>
      <c r="N175">
        <v>4.4407778889516601E-2</v>
      </c>
      <c r="O175">
        <v>0.359552565231057</v>
      </c>
      <c r="P175" t="str">
        <f t="shared" si="4"/>
        <v>T</v>
      </c>
      <c r="Q175" t="str">
        <f t="shared" si="5"/>
        <v>F</v>
      </c>
    </row>
    <row r="176" spans="1:17" hidden="1" x14ac:dyDescent="0.3">
      <c r="A176">
        <v>2969</v>
      </c>
      <c r="B176">
        <v>2071</v>
      </c>
      <c r="C176">
        <v>340</v>
      </c>
      <c r="D176" t="s">
        <v>23</v>
      </c>
      <c r="E176" t="s">
        <v>20</v>
      </c>
      <c r="F176" t="s">
        <v>17</v>
      </c>
      <c r="G176" t="s">
        <v>24</v>
      </c>
      <c r="H176">
        <v>274.60000000000002</v>
      </c>
      <c r="I176">
        <v>261.5</v>
      </c>
      <c r="J176">
        <v>96.7</v>
      </c>
      <c r="K176">
        <v>62</v>
      </c>
      <c r="L176">
        <v>28.9</v>
      </c>
      <c r="M176">
        <v>10.5</v>
      </c>
      <c r="N176">
        <v>3.7126503281780299E-2</v>
      </c>
      <c r="O176">
        <v>0.37184990489026098</v>
      </c>
      <c r="P176" t="str">
        <f t="shared" si="4"/>
        <v>T</v>
      </c>
      <c r="Q176" t="str">
        <f t="shared" si="5"/>
        <v>F</v>
      </c>
    </row>
    <row r="177" spans="1:17" hidden="1" x14ac:dyDescent="0.3">
      <c r="A177">
        <v>2970</v>
      </c>
      <c r="B177">
        <v>2073</v>
      </c>
      <c r="C177">
        <v>497</v>
      </c>
      <c r="D177" t="s">
        <v>23</v>
      </c>
      <c r="E177" t="s">
        <v>20</v>
      </c>
      <c r="F177" t="s">
        <v>17</v>
      </c>
      <c r="G177" t="s">
        <v>25</v>
      </c>
      <c r="H177">
        <v>269.7</v>
      </c>
      <c r="I177">
        <v>245</v>
      </c>
      <c r="J177">
        <v>94</v>
      </c>
      <c r="K177">
        <v>67</v>
      </c>
      <c r="L177">
        <v>24.2</v>
      </c>
      <c r="M177">
        <v>9</v>
      </c>
      <c r="N177">
        <v>0.20434805260005001</v>
      </c>
      <c r="O177">
        <v>0.38238455307955199</v>
      </c>
      <c r="P177" t="str">
        <f t="shared" si="4"/>
        <v>F</v>
      </c>
      <c r="Q177" t="str">
        <f t="shared" si="5"/>
        <v>F</v>
      </c>
    </row>
    <row r="178" spans="1:17" hidden="1" x14ac:dyDescent="0.3">
      <c r="A178">
        <v>2971</v>
      </c>
      <c r="B178">
        <v>2073</v>
      </c>
      <c r="C178">
        <v>497</v>
      </c>
      <c r="D178" t="s">
        <v>23</v>
      </c>
      <c r="E178" t="s">
        <v>20</v>
      </c>
      <c r="F178" t="s">
        <v>17</v>
      </c>
      <c r="G178" t="s">
        <v>25</v>
      </c>
      <c r="H178">
        <v>269.7</v>
      </c>
      <c r="I178">
        <v>245</v>
      </c>
      <c r="J178">
        <v>94</v>
      </c>
      <c r="K178">
        <v>67</v>
      </c>
      <c r="L178">
        <v>24.2</v>
      </c>
      <c r="M178">
        <v>9</v>
      </c>
      <c r="N178">
        <v>0.209420517938643</v>
      </c>
      <c r="O178">
        <v>0.37176330746195002</v>
      </c>
      <c r="P178" t="str">
        <f t="shared" si="4"/>
        <v>F</v>
      </c>
      <c r="Q178" t="str">
        <f t="shared" si="5"/>
        <v>F</v>
      </c>
    </row>
    <row r="179" spans="1:17" hidden="1" x14ac:dyDescent="0.3">
      <c r="A179">
        <v>3029</v>
      </c>
      <c r="B179">
        <v>2093</v>
      </c>
      <c r="C179">
        <v>61</v>
      </c>
      <c r="D179" t="s">
        <v>23</v>
      </c>
      <c r="E179" t="s">
        <v>20</v>
      </c>
      <c r="F179" t="s">
        <v>17</v>
      </c>
      <c r="G179" t="s">
        <v>25</v>
      </c>
      <c r="H179">
        <v>272.3</v>
      </c>
      <c r="I179">
        <v>239</v>
      </c>
      <c r="J179">
        <v>94.1</v>
      </c>
      <c r="K179">
        <v>68</v>
      </c>
      <c r="L179">
        <v>23.9</v>
      </c>
      <c r="M179">
        <v>4.5</v>
      </c>
      <c r="N179">
        <v>0.29728249163223103</v>
      </c>
      <c r="O179">
        <v>0.39025923631510401</v>
      </c>
      <c r="P179" t="str">
        <f t="shared" si="4"/>
        <v>F</v>
      </c>
      <c r="Q179" t="str">
        <f t="shared" si="5"/>
        <v>F</v>
      </c>
    </row>
    <row r="180" spans="1:17" hidden="1" x14ac:dyDescent="0.3">
      <c r="A180">
        <v>3032</v>
      </c>
      <c r="B180">
        <v>2095</v>
      </c>
      <c r="C180">
        <v>154</v>
      </c>
      <c r="D180" t="s">
        <v>23</v>
      </c>
      <c r="E180" t="s">
        <v>20</v>
      </c>
      <c r="F180" t="s">
        <v>21</v>
      </c>
      <c r="G180" t="s">
        <v>26</v>
      </c>
      <c r="H180">
        <v>278.39999999999998</v>
      </c>
      <c r="I180">
        <v>245</v>
      </c>
      <c r="J180">
        <v>94.5</v>
      </c>
      <c r="K180">
        <v>64</v>
      </c>
      <c r="L180">
        <v>25.4</v>
      </c>
      <c r="M180">
        <v>10.5</v>
      </c>
      <c r="N180">
        <v>0.13520295767759599</v>
      </c>
      <c r="O180">
        <v>0.32493560788752801</v>
      </c>
      <c r="P180" t="str">
        <f t="shared" si="4"/>
        <v>F</v>
      </c>
      <c r="Q180" t="str">
        <f t="shared" si="5"/>
        <v>F</v>
      </c>
    </row>
    <row r="181" spans="1:17" hidden="1" x14ac:dyDescent="0.3">
      <c r="A181">
        <v>3033</v>
      </c>
      <c r="B181">
        <v>2095</v>
      </c>
      <c r="C181">
        <v>154</v>
      </c>
      <c r="D181" t="s">
        <v>23</v>
      </c>
      <c r="E181" t="s">
        <v>20</v>
      </c>
      <c r="F181" t="s">
        <v>21</v>
      </c>
      <c r="G181" t="s">
        <v>26</v>
      </c>
      <c r="H181">
        <v>278.39999999999998</v>
      </c>
      <c r="I181">
        <v>245</v>
      </c>
      <c r="J181">
        <v>94.5</v>
      </c>
      <c r="K181">
        <v>64</v>
      </c>
      <c r="L181">
        <v>25.4</v>
      </c>
      <c r="M181">
        <v>10.5</v>
      </c>
      <c r="N181">
        <v>0.14460508014121101</v>
      </c>
      <c r="O181">
        <v>0.31554208795601502</v>
      </c>
      <c r="P181" t="str">
        <f t="shared" si="4"/>
        <v>F</v>
      </c>
      <c r="Q181" t="str">
        <f t="shared" si="5"/>
        <v>F</v>
      </c>
    </row>
    <row r="182" spans="1:17" hidden="1" x14ac:dyDescent="0.3">
      <c r="A182">
        <v>3034</v>
      </c>
      <c r="B182">
        <v>2095</v>
      </c>
      <c r="C182">
        <v>154</v>
      </c>
      <c r="D182" t="s">
        <v>23</v>
      </c>
      <c r="E182" t="s">
        <v>20</v>
      </c>
      <c r="F182" t="s">
        <v>21</v>
      </c>
      <c r="G182" t="s">
        <v>26</v>
      </c>
      <c r="H182">
        <v>278.39999999999998</v>
      </c>
      <c r="I182">
        <v>245</v>
      </c>
      <c r="J182">
        <v>94.5</v>
      </c>
      <c r="K182">
        <v>64</v>
      </c>
      <c r="L182">
        <v>25.4</v>
      </c>
      <c r="M182">
        <v>10.5</v>
      </c>
      <c r="N182">
        <v>0.13925315658518</v>
      </c>
      <c r="O182">
        <v>0.31201964300717</v>
      </c>
      <c r="P182" t="str">
        <f t="shared" si="4"/>
        <v>F</v>
      </c>
      <c r="Q182" t="str">
        <f t="shared" si="5"/>
        <v>F</v>
      </c>
    </row>
    <row r="183" spans="1:17" hidden="1" x14ac:dyDescent="0.3">
      <c r="A183">
        <v>3035</v>
      </c>
      <c r="B183">
        <v>2095</v>
      </c>
      <c r="C183">
        <v>154</v>
      </c>
      <c r="D183" t="s">
        <v>23</v>
      </c>
      <c r="E183" t="s">
        <v>20</v>
      </c>
      <c r="F183" t="s">
        <v>21</v>
      </c>
      <c r="G183" t="s">
        <v>26</v>
      </c>
      <c r="H183">
        <v>278.39999999999998</v>
      </c>
      <c r="I183">
        <v>245</v>
      </c>
      <c r="J183">
        <v>94.5</v>
      </c>
      <c r="K183">
        <v>64</v>
      </c>
      <c r="L183">
        <v>25.4</v>
      </c>
      <c r="M183">
        <v>10.5</v>
      </c>
      <c r="N183">
        <v>0.15016118601238401</v>
      </c>
      <c r="O183">
        <v>0.33222923482386102</v>
      </c>
      <c r="P183" t="str">
        <f t="shared" si="4"/>
        <v>F</v>
      </c>
      <c r="Q183" t="str">
        <f t="shared" si="5"/>
        <v>F</v>
      </c>
    </row>
    <row r="184" spans="1:17" hidden="1" x14ac:dyDescent="0.3">
      <c r="A184">
        <v>3047</v>
      </c>
      <c r="B184">
        <v>210</v>
      </c>
      <c r="C184">
        <v>351</v>
      </c>
      <c r="D184" t="s">
        <v>23</v>
      </c>
      <c r="E184" t="s">
        <v>20</v>
      </c>
      <c r="F184" t="s">
        <v>17</v>
      </c>
      <c r="G184" t="s">
        <v>22</v>
      </c>
      <c r="H184">
        <v>277.60000000000002</v>
      </c>
      <c r="I184">
        <v>246.5</v>
      </c>
      <c r="J184">
        <v>93.9</v>
      </c>
      <c r="K184">
        <v>67.5</v>
      </c>
      <c r="L184">
        <v>27.5</v>
      </c>
      <c r="M184">
        <v>8</v>
      </c>
      <c r="N184">
        <v>0.16683928851245799</v>
      </c>
      <c r="O184">
        <v>0.29104621184296398</v>
      </c>
      <c r="P184" t="str">
        <f t="shared" si="4"/>
        <v>F</v>
      </c>
      <c r="Q184" t="str">
        <f t="shared" si="5"/>
        <v>F</v>
      </c>
    </row>
    <row r="185" spans="1:17" hidden="1" x14ac:dyDescent="0.3">
      <c r="A185">
        <v>3048</v>
      </c>
      <c r="B185">
        <v>210</v>
      </c>
      <c r="C185">
        <v>351</v>
      </c>
      <c r="D185" t="s">
        <v>23</v>
      </c>
      <c r="E185" t="s">
        <v>20</v>
      </c>
      <c r="F185" t="s">
        <v>17</v>
      </c>
      <c r="G185" t="s">
        <v>22</v>
      </c>
      <c r="H185">
        <v>277.60000000000002</v>
      </c>
      <c r="I185">
        <v>246.5</v>
      </c>
      <c r="J185">
        <v>93.9</v>
      </c>
      <c r="K185">
        <v>67.5</v>
      </c>
      <c r="L185">
        <v>27.5</v>
      </c>
      <c r="M185">
        <v>8</v>
      </c>
      <c r="N185">
        <v>0.171700591701237</v>
      </c>
      <c r="O185">
        <v>0.31065989946633099</v>
      </c>
      <c r="P185" t="str">
        <f t="shared" si="4"/>
        <v>F</v>
      </c>
      <c r="Q185" t="str">
        <f t="shared" si="5"/>
        <v>F</v>
      </c>
    </row>
    <row r="186" spans="1:17" hidden="1" x14ac:dyDescent="0.3">
      <c r="A186">
        <v>3077</v>
      </c>
      <c r="B186">
        <v>2108</v>
      </c>
      <c r="C186">
        <v>95</v>
      </c>
      <c r="D186" t="s">
        <v>23</v>
      </c>
      <c r="E186" t="s">
        <v>20</v>
      </c>
      <c r="F186" t="s">
        <v>21</v>
      </c>
      <c r="G186" t="s">
        <v>25</v>
      </c>
      <c r="H186">
        <v>276.60000000000002</v>
      </c>
      <c r="I186">
        <v>250.5</v>
      </c>
      <c r="J186">
        <v>100</v>
      </c>
      <c r="K186">
        <v>67</v>
      </c>
      <c r="L186">
        <v>28.2</v>
      </c>
      <c r="M186">
        <v>6.5</v>
      </c>
      <c r="N186">
        <v>0.114647430199288</v>
      </c>
      <c r="O186">
        <v>0.33035476639477701</v>
      </c>
      <c r="P186" t="str">
        <f t="shared" si="4"/>
        <v>F</v>
      </c>
      <c r="Q186" t="str">
        <f t="shared" si="5"/>
        <v>F</v>
      </c>
    </row>
    <row r="187" spans="1:17" hidden="1" x14ac:dyDescent="0.3">
      <c r="A187">
        <v>3171</v>
      </c>
      <c r="B187">
        <v>2146</v>
      </c>
      <c r="C187">
        <v>261</v>
      </c>
      <c r="D187" t="s">
        <v>23</v>
      </c>
      <c r="E187" t="s">
        <v>20</v>
      </c>
      <c r="F187" t="s">
        <v>21</v>
      </c>
      <c r="G187" t="s">
        <v>24</v>
      </c>
      <c r="H187">
        <v>276.60000000000002</v>
      </c>
      <c r="I187">
        <v>246</v>
      </c>
      <c r="J187">
        <v>96.1</v>
      </c>
      <c r="K187">
        <v>65.5</v>
      </c>
      <c r="L187">
        <v>29.4</v>
      </c>
      <c r="M187">
        <v>12</v>
      </c>
      <c r="N187">
        <v>4.1582399960549903E-2</v>
      </c>
      <c r="O187">
        <v>0.35742221557863801</v>
      </c>
      <c r="P187" t="str">
        <f t="shared" si="4"/>
        <v>T</v>
      </c>
      <c r="Q187" t="str">
        <f t="shared" si="5"/>
        <v>F</v>
      </c>
    </row>
    <row r="188" spans="1:17" hidden="1" x14ac:dyDescent="0.3">
      <c r="A188">
        <v>3172</v>
      </c>
      <c r="B188">
        <v>2146</v>
      </c>
      <c r="C188">
        <v>261</v>
      </c>
      <c r="D188" t="s">
        <v>23</v>
      </c>
      <c r="E188" t="s">
        <v>20</v>
      </c>
      <c r="F188" t="s">
        <v>21</v>
      </c>
      <c r="G188" t="s">
        <v>24</v>
      </c>
      <c r="H188">
        <v>276.60000000000002</v>
      </c>
      <c r="I188">
        <v>246</v>
      </c>
      <c r="J188">
        <v>96.1</v>
      </c>
      <c r="K188">
        <v>65.5</v>
      </c>
      <c r="L188">
        <v>29.4</v>
      </c>
      <c r="M188">
        <v>12</v>
      </c>
      <c r="N188">
        <v>4.2369881140500797E-2</v>
      </c>
      <c r="O188">
        <v>0.35950256496496003</v>
      </c>
      <c r="P188" t="str">
        <f t="shared" si="4"/>
        <v>T</v>
      </c>
      <c r="Q188" t="str">
        <f t="shared" si="5"/>
        <v>F</v>
      </c>
    </row>
    <row r="189" spans="1:17" hidden="1" x14ac:dyDescent="0.3">
      <c r="A189">
        <v>3173</v>
      </c>
      <c r="B189">
        <v>2146</v>
      </c>
      <c r="C189">
        <v>261</v>
      </c>
      <c r="D189" t="s">
        <v>23</v>
      </c>
      <c r="E189" t="s">
        <v>20</v>
      </c>
      <c r="F189" t="s">
        <v>21</v>
      </c>
      <c r="G189" t="s">
        <v>24</v>
      </c>
      <c r="H189">
        <v>276.60000000000002</v>
      </c>
      <c r="I189">
        <v>246</v>
      </c>
      <c r="J189">
        <v>96.1</v>
      </c>
      <c r="K189">
        <v>65.5</v>
      </c>
      <c r="L189">
        <v>29.4</v>
      </c>
      <c r="M189">
        <v>12</v>
      </c>
      <c r="N189">
        <v>2.86717748873699E-2</v>
      </c>
      <c r="O189">
        <v>0.32973755592369303</v>
      </c>
      <c r="P189" t="str">
        <f t="shared" si="4"/>
        <v>T</v>
      </c>
      <c r="Q189" t="str">
        <f t="shared" si="5"/>
        <v>F</v>
      </c>
    </row>
    <row r="190" spans="1:17" hidden="1" x14ac:dyDescent="0.3">
      <c r="A190">
        <v>3174</v>
      </c>
      <c r="B190">
        <v>2146</v>
      </c>
      <c r="C190">
        <v>261</v>
      </c>
      <c r="D190" t="s">
        <v>23</v>
      </c>
      <c r="E190" t="s">
        <v>20</v>
      </c>
      <c r="F190" t="s">
        <v>21</v>
      </c>
      <c r="G190" t="s">
        <v>24</v>
      </c>
      <c r="H190">
        <v>276.60000000000002</v>
      </c>
      <c r="I190">
        <v>246</v>
      </c>
      <c r="J190">
        <v>96.1</v>
      </c>
      <c r="K190">
        <v>65.5</v>
      </c>
      <c r="L190">
        <v>29.4</v>
      </c>
      <c r="M190">
        <v>12</v>
      </c>
      <c r="N190">
        <v>4.2218451217044699E-2</v>
      </c>
      <c r="O190">
        <v>0.330556934807402</v>
      </c>
      <c r="P190" t="str">
        <f t="shared" si="4"/>
        <v>T</v>
      </c>
      <c r="Q190" t="str">
        <f t="shared" si="5"/>
        <v>F</v>
      </c>
    </row>
    <row r="191" spans="1:17" hidden="1" x14ac:dyDescent="0.3">
      <c r="A191">
        <v>3202</v>
      </c>
      <c r="B191">
        <v>2158</v>
      </c>
      <c r="C191">
        <v>66</v>
      </c>
      <c r="D191" t="s">
        <v>23</v>
      </c>
      <c r="E191" t="s">
        <v>20</v>
      </c>
      <c r="F191" t="s">
        <v>21</v>
      </c>
      <c r="G191" t="s">
        <v>26</v>
      </c>
      <c r="H191">
        <v>276.2</v>
      </c>
      <c r="I191">
        <v>258</v>
      </c>
      <c r="J191">
        <v>95.8</v>
      </c>
      <c r="K191">
        <v>63.5</v>
      </c>
      <c r="L191">
        <v>26.4</v>
      </c>
      <c r="M191">
        <v>7</v>
      </c>
      <c r="N191">
        <v>0.18130585226118101</v>
      </c>
      <c r="O191">
        <v>0.275242806099606</v>
      </c>
      <c r="P191" t="str">
        <f t="shared" si="4"/>
        <v>F</v>
      </c>
      <c r="Q191" t="str">
        <f t="shared" si="5"/>
        <v>F</v>
      </c>
    </row>
    <row r="192" spans="1:17" hidden="1" x14ac:dyDescent="0.3">
      <c r="A192">
        <v>3203</v>
      </c>
      <c r="B192">
        <v>2158</v>
      </c>
      <c r="C192">
        <v>66</v>
      </c>
      <c r="D192" t="s">
        <v>23</v>
      </c>
      <c r="E192" t="s">
        <v>20</v>
      </c>
      <c r="F192" t="s">
        <v>21</v>
      </c>
      <c r="G192" t="s">
        <v>26</v>
      </c>
      <c r="H192">
        <v>276.2</v>
      </c>
      <c r="I192">
        <v>258</v>
      </c>
      <c r="J192">
        <v>95.8</v>
      </c>
      <c r="K192">
        <v>63.5</v>
      </c>
      <c r="L192">
        <v>26.4</v>
      </c>
      <c r="M192">
        <v>7</v>
      </c>
      <c r="N192">
        <v>0.161765457398756</v>
      </c>
      <c r="O192">
        <v>0.24898698079874701</v>
      </c>
      <c r="P192" t="str">
        <f t="shared" si="4"/>
        <v>F</v>
      </c>
      <c r="Q192" t="str">
        <f t="shared" si="5"/>
        <v>T</v>
      </c>
    </row>
    <row r="193" spans="1:17" hidden="1" x14ac:dyDescent="0.3">
      <c r="A193">
        <v>3204</v>
      </c>
      <c r="B193">
        <v>2158</v>
      </c>
      <c r="C193">
        <v>66</v>
      </c>
      <c r="D193" t="s">
        <v>23</v>
      </c>
      <c r="E193" t="s">
        <v>20</v>
      </c>
      <c r="F193" t="s">
        <v>21</v>
      </c>
      <c r="G193" t="s">
        <v>26</v>
      </c>
      <c r="H193">
        <v>276.2</v>
      </c>
      <c r="I193">
        <v>258</v>
      </c>
      <c r="J193">
        <v>95.8</v>
      </c>
      <c r="K193">
        <v>63.5</v>
      </c>
      <c r="L193">
        <v>26.4</v>
      </c>
      <c r="M193">
        <v>7</v>
      </c>
      <c r="N193">
        <v>0.1773784111908</v>
      </c>
      <c r="O193">
        <v>0.27609851303532001</v>
      </c>
      <c r="P193" t="str">
        <f t="shared" si="4"/>
        <v>F</v>
      </c>
      <c r="Q193" t="str">
        <f t="shared" si="5"/>
        <v>F</v>
      </c>
    </row>
    <row r="194" spans="1:17" hidden="1" x14ac:dyDescent="0.3">
      <c r="A194">
        <v>3210</v>
      </c>
      <c r="B194">
        <v>216</v>
      </c>
      <c r="C194">
        <v>154</v>
      </c>
      <c r="D194" t="s">
        <v>23</v>
      </c>
      <c r="E194" t="s">
        <v>20</v>
      </c>
      <c r="F194" t="s">
        <v>17</v>
      </c>
      <c r="G194" t="s">
        <v>22</v>
      </c>
      <c r="H194">
        <v>278.39999999999998</v>
      </c>
      <c r="I194">
        <v>245</v>
      </c>
      <c r="J194">
        <v>94.5</v>
      </c>
      <c r="K194">
        <v>64</v>
      </c>
      <c r="L194">
        <v>25.4</v>
      </c>
      <c r="M194">
        <v>10.5</v>
      </c>
      <c r="N194">
        <v>0.11654394379428699</v>
      </c>
      <c r="O194">
        <v>0.33263750967699901</v>
      </c>
      <c r="P194" t="str">
        <f t="shared" ref="P194:P257" si="6">IF(N194&lt;0.100978, "T", "F")</f>
        <v>F</v>
      </c>
      <c r="Q194" t="str">
        <f t="shared" ref="Q194:Q257" si="7">IF(O194&lt;0.268491, "T", "F")</f>
        <v>F</v>
      </c>
    </row>
    <row r="195" spans="1:17" hidden="1" x14ac:dyDescent="0.3">
      <c r="A195">
        <v>3211</v>
      </c>
      <c r="B195">
        <v>216</v>
      </c>
      <c r="C195">
        <v>154</v>
      </c>
      <c r="D195" t="s">
        <v>23</v>
      </c>
      <c r="E195" t="s">
        <v>20</v>
      </c>
      <c r="F195" t="s">
        <v>17</v>
      </c>
      <c r="G195" t="s">
        <v>22</v>
      </c>
      <c r="H195">
        <v>278.39999999999998</v>
      </c>
      <c r="I195">
        <v>245</v>
      </c>
      <c r="J195">
        <v>94.5</v>
      </c>
      <c r="K195">
        <v>64</v>
      </c>
      <c r="L195">
        <v>25.4</v>
      </c>
      <c r="M195">
        <v>10.5</v>
      </c>
      <c r="N195">
        <v>0.12715274717754199</v>
      </c>
      <c r="O195">
        <v>0.32547126093692103</v>
      </c>
      <c r="P195" t="str">
        <f t="shared" si="6"/>
        <v>F</v>
      </c>
      <c r="Q195" t="str">
        <f t="shared" si="7"/>
        <v>F</v>
      </c>
    </row>
    <row r="196" spans="1:17" hidden="1" x14ac:dyDescent="0.3">
      <c r="A196">
        <v>3212</v>
      </c>
      <c r="B196">
        <v>216</v>
      </c>
      <c r="C196">
        <v>154</v>
      </c>
      <c r="D196" t="s">
        <v>23</v>
      </c>
      <c r="E196" t="s">
        <v>20</v>
      </c>
      <c r="F196" t="s">
        <v>17</v>
      </c>
      <c r="G196" t="s">
        <v>22</v>
      </c>
      <c r="H196">
        <v>278.39999999999998</v>
      </c>
      <c r="I196">
        <v>245</v>
      </c>
      <c r="J196">
        <v>94.5</v>
      </c>
      <c r="K196">
        <v>64</v>
      </c>
      <c r="L196">
        <v>25.4</v>
      </c>
      <c r="M196">
        <v>10.5</v>
      </c>
      <c r="N196">
        <v>0.13203579335125501</v>
      </c>
      <c r="O196">
        <v>0.33727429380246499</v>
      </c>
      <c r="P196" t="str">
        <f t="shared" si="6"/>
        <v>F</v>
      </c>
      <c r="Q196" t="str">
        <f t="shared" si="7"/>
        <v>F</v>
      </c>
    </row>
    <row r="197" spans="1:17" hidden="1" x14ac:dyDescent="0.3">
      <c r="A197">
        <v>3277</v>
      </c>
      <c r="B197">
        <v>2186</v>
      </c>
      <c r="C197">
        <v>80</v>
      </c>
      <c r="D197" t="s">
        <v>23</v>
      </c>
      <c r="E197" t="s">
        <v>20</v>
      </c>
      <c r="F197" t="s">
        <v>21</v>
      </c>
      <c r="G197" t="s">
        <v>18</v>
      </c>
      <c r="H197">
        <v>279</v>
      </c>
      <c r="I197">
        <v>254</v>
      </c>
      <c r="J197">
        <v>97.1</v>
      </c>
      <c r="K197">
        <v>67</v>
      </c>
      <c r="L197">
        <v>24.6</v>
      </c>
      <c r="M197">
        <v>7</v>
      </c>
      <c r="N197">
        <v>0.20813365140906601</v>
      </c>
      <c r="O197">
        <v>0.33005875395887302</v>
      </c>
      <c r="P197" t="str">
        <f t="shared" si="6"/>
        <v>F</v>
      </c>
      <c r="Q197" t="str">
        <f t="shared" si="7"/>
        <v>F</v>
      </c>
    </row>
    <row r="198" spans="1:17" hidden="1" x14ac:dyDescent="0.3">
      <c r="A198">
        <v>3278</v>
      </c>
      <c r="B198">
        <v>2186</v>
      </c>
      <c r="C198">
        <v>80</v>
      </c>
      <c r="D198" t="s">
        <v>23</v>
      </c>
      <c r="E198" t="s">
        <v>20</v>
      </c>
      <c r="F198" t="s">
        <v>21</v>
      </c>
      <c r="G198" t="s">
        <v>18</v>
      </c>
      <c r="H198">
        <v>279</v>
      </c>
      <c r="I198">
        <v>254</v>
      </c>
      <c r="J198">
        <v>97.1</v>
      </c>
      <c r="K198">
        <v>67</v>
      </c>
      <c r="L198">
        <v>24.6</v>
      </c>
      <c r="M198">
        <v>7</v>
      </c>
      <c r="N198">
        <v>0.19334257844686101</v>
      </c>
      <c r="O198">
        <v>0.35778595500701599</v>
      </c>
      <c r="P198" t="str">
        <f t="shared" si="6"/>
        <v>F</v>
      </c>
      <c r="Q198" t="str">
        <f t="shared" si="7"/>
        <v>F</v>
      </c>
    </row>
    <row r="199" spans="1:17" hidden="1" x14ac:dyDescent="0.3">
      <c r="A199">
        <v>3303</v>
      </c>
      <c r="B199">
        <v>22</v>
      </c>
      <c r="C199">
        <v>66</v>
      </c>
      <c r="D199" t="s">
        <v>23</v>
      </c>
      <c r="E199" t="s">
        <v>20</v>
      </c>
      <c r="F199" t="s">
        <v>17</v>
      </c>
      <c r="G199" t="s">
        <v>22</v>
      </c>
      <c r="H199">
        <v>276.2</v>
      </c>
      <c r="I199">
        <v>258</v>
      </c>
      <c r="J199">
        <v>95.8</v>
      </c>
      <c r="K199">
        <v>63.5</v>
      </c>
      <c r="L199">
        <v>26.4</v>
      </c>
      <c r="M199">
        <v>7</v>
      </c>
      <c r="N199">
        <v>0.14799621432269899</v>
      </c>
      <c r="O199">
        <v>0.23470231148430301</v>
      </c>
      <c r="P199" t="str">
        <f t="shared" si="6"/>
        <v>F</v>
      </c>
      <c r="Q199" t="str">
        <f t="shared" si="7"/>
        <v>T</v>
      </c>
    </row>
    <row r="200" spans="1:17" hidden="1" x14ac:dyDescent="0.3">
      <c r="A200">
        <v>3321</v>
      </c>
      <c r="B200">
        <v>2207</v>
      </c>
      <c r="C200">
        <v>466</v>
      </c>
      <c r="D200" t="s">
        <v>23</v>
      </c>
      <c r="E200" t="s">
        <v>20</v>
      </c>
      <c r="F200" t="s">
        <v>21</v>
      </c>
      <c r="G200" t="s">
        <v>25</v>
      </c>
      <c r="H200">
        <v>282.10000000000002</v>
      </c>
      <c r="I200">
        <v>257</v>
      </c>
      <c r="J200">
        <v>100.3</v>
      </c>
      <c r="K200">
        <v>68.5</v>
      </c>
      <c r="L200">
        <v>27.5</v>
      </c>
      <c r="M200">
        <v>11</v>
      </c>
      <c r="N200">
        <v>8.2571450637462102E-2</v>
      </c>
      <c r="O200">
        <v>0.30100214058883501</v>
      </c>
      <c r="P200" t="str">
        <f t="shared" si="6"/>
        <v>T</v>
      </c>
      <c r="Q200" t="str">
        <f t="shared" si="7"/>
        <v>F</v>
      </c>
    </row>
    <row r="201" spans="1:17" hidden="1" x14ac:dyDescent="0.3">
      <c r="A201">
        <v>3322</v>
      </c>
      <c r="B201">
        <v>2207</v>
      </c>
      <c r="C201">
        <v>466</v>
      </c>
      <c r="D201" t="s">
        <v>23</v>
      </c>
      <c r="E201" t="s">
        <v>20</v>
      </c>
      <c r="F201" t="s">
        <v>21</v>
      </c>
      <c r="G201" t="s">
        <v>25</v>
      </c>
      <c r="H201">
        <v>282.10000000000002</v>
      </c>
      <c r="I201">
        <v>257</v>
      </c>
      <c r="J201">
        <v>100.3</v>
      </c>
      <c r="K201">
        <v>68.5</v>
      </c>
      <c r="L201">
        <v>27.5</v>
      </c>
      <c r="M201">
        <v>11</v>
      </c>
      <c r="N201">
        <v>7.4079294121308398E-2</v>
      </c>
      <c r="O201">
        <v>0.27026940207875</v>
      </c>
      <c r="P201" t="str">
        <f t="shared" si="6"/>
        <v>T</v>
      </c>
      <c r="Q201" t="str">
        <f t="shared" si="7"/>
        <v>F</v>
      </c>
    </row>
    <row r="202" spans="1:17" hidden="1" x14ac:dyDescent="0.3">
      <c r="A202">
        <v>3323</v>
      </c>
      <c r="B202">
        <v>2207</v>
      </c>
      <c r="C202">
        <v>466</v>
      </c>
      <c r="D202" t="s">
        <v>23</v>
      </c>
      <c r="E202" t="s">
        <v>20</v>
      </c>
      <c r="F202" t="s">
        <v>21</v>
      </c>
      <c r="G202" t="s">
        <v>25</v>
      </c>
      <c r="H202">
        <v>282.10000000000002</v>
      </c>
      <c r="I202">
        <v>257</v>
      </c>
      <c r="J202">
        <v>100.3</v>
      </c>
      <c r="K202">
        <v>68.5</v>
      </c>
      <c r="L202">
        <v>27.5</v>
      </c>
      <c r="M202">
        <v>11</v>
      </c>
      <c r="N202">
        <v>6.8950028849562098E-2</v>
      </c>
      <c r="O202">
        <v>0.28139645018169901</v>
      </c>
      <c r="P202" t="str">
        <f t="shared" si="6"/>
        <v>T</v>
      </c>
      <c r="Q202" t="str">
        <f t="shared" si="7"/>
        <v>F</v>
      </c>
    </row>
    <row r="203" spans="1:17" hidden="1" x14ac:dyDescent="0.3">
      <c r="A203">
        <v>3335</v>
      </c>
      <c r="B203">
        <v>2213</v>
      </c>
      <c r="C203">
        <v>453</v>
      </c>
      <c r="D203" t="s">
        <v>23</v>
      </c>
      <c r="E203" t="s">
        <v>20</v>
      </c>
      <c r="F203" t="s">
        <v>21</v>
      </c>
      <c r="G203" t="s">
        <v>18</v>
      </c>
      <c r="H203">
        <v>281.60000000000002</v>
      </c>
      <c r="I203">
        <v>255.5</v>
      </c>
      <c r="J203">
        <v>100.4</v>
      </c>
      <c r="K203">
        <v>70</v>
      </c>
      <c r="L203">
        <v>25.7</v>
      </c>
      <c r="M203">
        <v>10</v>
      </c>
      <c r="N203">
        <v>0.166303037497089</v>
      </c>
      <c r="O203">
        <v>0.41571388920280999</v>
      </c>
      <c r="P203" t="str">
        <f t="shared" si="6"/>
        <v>F</v>
      </c>
      <c r="Q203" t="str">
        <f t="shared" si="7"/>
        <v>F</v>
      </c>
    </row>
    <row r="204" spans="1:17" hidden="1" x14ac:dyDescent="0.3">
      <c r="A204">
        <v>3336</v>
      </c>
      <c r="B204">
        <v>2213</v>
      </c>
      <c r="C204">
        <v>453</v>
      </c>
      <c r="D204" t="s">
        <v>23</v>
      </c>
      <c r="E204" t="s">
        <v>20</v>
      </c>
      <c r="F204" t="s">
        <v>21</v>
      </c>
      <c r="G204" t="s">
        <v>18</v>
      </c>
      <c r="H204">
        <v>281.60000000000002</v>
      </c>
      <c r="I204">
        <v>255.5</v>
      </c>
      <c r="J204">
        <v>100.4</v>
      </c>
      <c r="K204">
        <v>70</v>
      </c>
      <c r="L204">
        <v>25.7</v>
      </c>
      <c r="M204">
        <v>10</v>
      </c>
      <c r="N204">
        <v>0.128093894866943</v>
      </c>
      <c r="O204">
        <v>0.41339058965042202</v>
      </c>
      <c r="P204" t="str">
        <f t="shared" si="6"/>
        <v>F</v>
      </c>
      <c r="Q204" t="str">
        <f t="shared" si="7"/>
        <v>F</v>
      </c>
    </row>
    <row r="205" spans="1:17" hidden="1" x14ac:dyDescent="0.3">
      <c r="A205">
        <v>3337</v>
      </c>
      <c r="B205">
        <v>2213</v>
      </c>
      <c r="C205">
        <v>453</v>
      </c>
      <c r="D205" t="s">
        <v>23</v>
      </c>
      <c r="E205" t="s">
        <v>20</v>
      </c>
      <c r="F205" t="s">
        <v>21</v>
      </c>
      <c r="G205" t="s">
        <v>18</v>
      </c>
      <c r="H205">
        <v>281.60000000000002</v>
      </c>
      <c r="I205">
        <v>255.5</v>
      </c>
      <c r="J205">
        <v>100.4</v>
      </c>
      <c r="K205">
        <v>70</v>
      </c>
      <c r="L205">
        <v>25.7</v>
      </c>
      <c r="M205">
        <v>10</v>
      </c>
      <c r="N205">
        <v>0.15803240265778801</v>
      </c>
      <c r="O205">
        <v>0.3996641646802</v>
      </c>
      <c r="P205" t="str">
        <f t="shared" si="6"/>
        <v>F</v>
      </c>
      <c r="Q205" t="str">
        <f t="shared" si="7"/>
        <v>F</v>
      </c>
    </row>
    <row r="206" spans="1:17" hidden="1" x14ac:dyDescent="0.3">
      <c r="A206">
        <v>3399</v>
      </c>
      <c r="B206">
        <v>2234</v>
      </c>
      <c r="C206">
        <v>395</v>
      </c>
      <c r="D206" t="s">
        <v>23</v>
      </c>
      <c r="E206" t="s">
        <v>20</v>
      </c>
      <c r="F206" t="s">
        <v>17</v>
      </c>
      <c r="G206" t="s">
        <v>18</v>
      </c>
      <c r="H206">
        <v>273.60000000000002</v>
      </c>
      <c r="I206">
        <v>247</v>
      </c>
      <c r="J206">
        <v>94</v>
      </c>
      <c r="K206">
        <v>68</v>
      </c>
      <c r="L206">
        <v>26.7</v>
      </c>
      <c r="M206">
        <v>7.5</v>
      </c>
      <c r="N206">
        <v>0.182008216969853</v>
      </c>
      <c r="O206">
        <v>0.36255495628778101</v>
      </c>
      <c r="P206" t="str">
        <f t="shared" si="6"/>
        <v>F</v>
      </c>
      <c r="Q206" t="str">
        <f t="shared" si="7"/>
        <v>F</v>
      </c>
    </row>
    <row r="207" spans="1:17" hidden="1" x14ac:dyDescent="0.3">
      <c r="A207">
        <v>3400</v>
      </c>
      <c r="B207">
        <v>2234</v>
      </c>
      <c r="C207">
        <v>395</v>
      </c>
      <c r="D207" t="s">
        <v>23</v>
      </c>
      <c r="E207" t="s">
        <v>20</v>
      </c>
      <c r="F207" t="s">
        <v>17</v>
      </c>
      <c r="G207" t="s">
        <v>18</v>
      </c>
      <c r="H207">
        <v>273.60000000000002</v>
      </c>
      <c r="I207">
        <v>247</v>
      </c>
      <c r="J207">
        <v>94</v>
      </c>
      <c r="K207">
        <v>68</v>
      </c>
      <c r="L207">
        <v>26.7</v>
      </c>
      <c r="M207">
        <v>7.5</v>
      </c>
      <c r="N207">
        <v>0.15042708013592601</v>
      </c>
      <c r="O207">
        <v>0.35509850728798498</v>
      </c>
      <c r="P207" t="str">
        <f t="shared" si="6"/>
        <v>F</v>
      </c>
      <c r="Q207" t="str">
        <f t="shared" si="7"/>
        <v>F</v>
      </c>
    </row>
    <row r="208" spans="1:17" hidden="1" x14ac:dyDescent="0.3">
      <c r="A208">
        <v>3401</v>
      </c>
      <c r="B208">
        <v>2234</v>
      </c>
      <c r="C208">
        <v>395</v>
      </c>
      <c r="D208" t="s">
        <v>23</v>
      </c>
      <c r="E208" t="s">
        <v>20</v>
      </c>
      <c r="F208" t="s">
        <v>17</v>
      </c>
      <c r="G208" t="s">
        <v>18</v>
      </c>
      <c r="H208">
        <v>273.60000000000002</v>
      </c>
      <c r="I208">
        <v>247</v>
      </c>
      <c r="J208">
        <v>94</v>
      </c>
      <c r="K208">
        <v>68</v>
      </c>
      <c r="L208">
        <v>26.7</v>
      </c>
      <c r="M208">
        <v>7.5</v>
      </c>
      <c r="N208">
        <v>0.147525757379662</v>
      </c>
      <c r="O208">
        <v>0.335112035241458</v>
      </c>
      <c r="P208" t="str">
        <f t="shared" si="6"/>
        <v>F</v>
      </c>
      <c r="Q208" t="str">
        <f t="shared" si="7"/>
        <v>F</v>
      </c>
    </row>
    <row r="209" spans="1:17" hidden="1" x14ac:dyDescent="0.3">
      <c r="A209">
        <v>3424</v>
      </c>
      <c r="B209">
        <v>2240</v>
      </c>
      <c r="C209">
        <v>395</v>
      </c>
      <c r="D209" t="s">
        <v>23</v>
      </c>
      <c r="E209" t="s">
        <v>20</v>
      </c>
      <c r="F209" t="s">
        <v>17</v>
      </c>
      <c r="G209" t="s">
        <v>24</v>
      </c>
      <c r="H209">
        <v>273.60000000000002</v>
      </c>
      <c r="I209">
        <v>247</v>
      </c>
      <c r="J209">
        <v>94</v>
      </c>
      <c r="K209">
        <v>68</v>
      </c>
      <c r="L209">
        <v>26.7</v>
      </c>
      <c r="M209">
        <v>7.5</v>
      </c>
      <c r="N209">
        <v>0.14602235608511899</v>
      </c>
      <c r="O209">
        <v>0.33863654904507701</v>
      </c>
      <c r="P209" t="str">
        <f t="shared" si="6"/>
        <v>F</v>
      </c>
      <c r="Q209" t="str">
        <f t="shared" si="7"/>
        <v>F</v>
      </c>
    </row>
    <row r="210" spans="1:17" hidden="1" x14ac:dyDescent="0.3">
      <c r="A210">
        <v>3425</v>
      </c>
      <c r="B210">
        <v>2240</v>
      </c>
      <c r="C210">
        <v>395</v>
      </c>
      <c r="D210" t="s">
        <v>23</v>
      </c>
      <c r="E210" t="s">
        <v>20</v>
      </c>
      <c r="F210" t="s">
        <v>17</v>
      </c>
      <c r="G210" t="s">
        <v>24</v>
      </c>
      <c r="H210">
        <v>273.60000000000002</v>
      </c>
      <c r="I210">
        <v>247</v>
      </c>
      <c r="J210">
        <v>94</v>
      </c>
      <c r="K210">
        <v>68</v>
      </c>
      <c r="L210">
        <v>26.7</v>
      </c>
      <c r="M210">
        <v>7.5</v>
      </c>
      <c r="N210">
        <v>0.17415485455548399</v>
      </c>
      <c r="O210">
        <v>0.36291614053634702</v>
      </c>
      <c r="P210" t="str">
        <f t="shared" si="6"/>
        <v>F</v>
      </c>
      <c r="Q210" t="str">
        <f t="shared" si="7"/>
        <v>F</v>
      </c>
    </row>
    <row r="211" spans="1:17" hidden="1" x14ac:dyDescent="0.3">
      <c r="A211">
        <v>3448</v>
      </c>
      <c r="B211">
        <v>2250</v>
      </c>
      <c r="C211">
        <v>26</v>
      </c>
      <c r="D211" t="s">
        <v>23</v>
      </c>
      <c r="E211" t="s">
        <v>20</v>
      </c>
      <c r="F211" t="s">
        <v>21</v>
      </c>
      <c r="G211" t="s">
        <v>24</v>
      </c>
      <c r="H211">
        <v>270.5</v>
      </c>
      <c r="I211">
        <v>243.5</v>
      </c>
      <c r="J211">
        <v>95.9</v>
      </c>
      <c r="K211">
        <v>66</v>
      </c>
      <c r="L211">
        <v>26.9</v>
      </c>
      <c r="M211">
        <v>6</v>
      </c>
      <c r="N211">
        <v>0.19937527732580501</v>
      </c>
      <c r="O211">
        <v>0.39180221608221499</v>
      </c>
      <c r="P211" t="str">
        <f t="shared" si="6"/>
        <v>F</v>
      </c>
      <c r="Q211" t="str">
        <f t="shared" si="7"/>
        <v>F</v>
      </c>
    </row>
    <row r="212" spans="1:17" hidden="1" x14ac:dyDescent="0.3">
      <c r="A212">
        <v>3458</v>
      </c>
      <c r="B212">
        <v>2257</v>
      </c>
      <c r="C212">
        <v>322</v>
      </c>
      <c r="D212" t="s">
        <v>23</v>
      </c>
      <c r="E212" t="s">
        <v>20</v>
      </c>
      <c r="F212" t="s">
        <v>17</v>
      </c>
      <c r="G212" t="s">
        <v>22</v>
      </c>
      <c r="H212">
        <v>276.7</v>
      </c>
      <c r="I212">
        <v>250</v>
      </c>
      <c r="J212">
        <v>99.1</v>
      </c>
      <c r="K212">
        <v>67.5</v>
      </c>
      <c r="L212">
        <v>26</v>
      </c>
      <c r="M212">
        <v>5.5</v>
      </c>
      <c r="N212">
        <v>0.17485486468450001</v>
      </c>
      <c r="O212">
        <v>0.34275106127847599</v>
      </c>
      <c r="P212" t="str">
        <f t="shared" si="6"/>
        <v>F</v>
      </c>
      <c r="Q212" t="str">
        <f t="shared" si="7"/>
        <v>F</v>
      </c>
    </row>
    <row r="213" spans="1:17" hidden="1" x14ac:dyDescent="0.3">
      <c r="A213">
        <v>3459</v>
      </c>
      <c r="B213">
        <v>2257</v>
      </c>
      <c r="C213">
        <v>322</v>
      </c>
      <c r="D213" t="s">
        <v>23</v>
      </c>
      <c r="E213" t="s">
        <v>20</v>
      </c>
      <c r="F213" t="s">
        <v>17</v>
      </c>
      <c r="G213" t="s">
        <v>22</v>
      </c>
      <c r="H213">
        <v>276.7</v>
      </c>
      <c r="I213">
        <v>250</v>
      </c>
      <c r="J213">
        <v>99.1</v>
      </c>
      <c r="K213">
        <v>67.5</v>
      </c>
      <c r="L213">
        <v>26</v>
      </c>
      <c r="M213">
        <v>5.5</v>
      </c>
      <c r="N213">
        <v>0.16641580982295201</v>
      </c>
      <c r="O213">
        <v>0.34021381082584101</v>
      </c>
      <c r="P213" t="str">
        <f t="shared" si="6"/>
        <v>F</v>
      </c>
      <c r="Q213" t="str">
        <f t="shared" si="7"/>
        <v>F</v>
      </c>
    </row>
    <row r="214" spans="1:17" hidden="1" x14ac:dyDescent="0.3">
      <c r="A214">
        <v>3460</v>
      </c>
      <c r="B214">
        <v>2257</v>
      </c>
      <c r="C214">
        <v>322</v>
      </c>
      <c r="D214" t="s">
        <v>23</v>
      </c>
      <c r="E214" t="s">
        <v>20</v>
      </c>
      <c r="F214" t="s">
        <v>17</v>
      </c>
      <c r="G214" t="s">
        <v>22</v>
      </c>
      <c r="H214">
        <v>276.7</v>
      </c>
      <c r="I214">
        <v>250</v>
      </c>
      <c r="J214">
        <v>99.1</v>
      </c>
      <c r="K214">
        <v>67.5</v>
      </c>
      <c r="L214">
        <v>26</v>
      </c>
      <c r="M214">
        <v>5.5</v>
      </c>
      <c r="N214">
        <v>0.193077384366032</v>
      </c>
      <c r="O214">
        <v>0.352309614609706</v>
      </c>
      <c r="P214" t="str">
        <f t="shared" si="6"/>
        <v>F</v>
      </c>
      <c r="Q214" t="str">
        <f t="shared" si="7"/>
        <v>F</v>
      </c>
    </row>
    <row r="215" spans="1:17" hidden="1" x14ac:dyDescent="0.3">
      <c r="A215">
        <v>3461</v>
      </c>
      <c r="B215">
        <v>2257</v>
      </c>
      <c r="C215">
        <v>322</v>
      </c>
      <c r="D215" t="s">
        <v>23</v>
      </c>
      <c r="E215" t="s">
        <v>20</v>
      </c>
      <c r="F215" t="s">
        <v>17</v>
      </c>
      <c r="G215" t="s">
        <v>22</v>
      </c>
      <c r="H215">
        <v>276.7</v>
      </c>
      <c r="I215">
        <v>250</v>
      </c>
      <c r="J215">
        <v>99.1</v>
      </c>
      <c r="K215">
        <v>67.5</v>
      </c>
      <c r="L215">
        <v>26</v>
      </c>
      <c r="M215">
        <v>5.5</v>
      </c>
      <c r="N215">
        <v>0.184331348555274</v>
      </c>
      <c r="O215">
        <v>0.31624842209614501</v>
      </c>
      <c r="P215" t="str">
        <f t="shared" si="6"/>
        <v>F</v>
      </c>
      <c r="Q215" t="str">
        <f t="shared" si="7"/>
        <v>F</v>
      </c>
    </row>
    <row r="216" spans="1:17" hidden="1" x14ac:dyDescent="0.3">
      <c r="A216">
        <v>3508</v>
      </c>
      <c r="B216">
        <v>2271</v>
      </c>
      <c r="C216">
        <v>483</v>
      </c>
      <c r="D216" t="s">
        <v>23</v>
      </c>
      <c r="E216" t="s">
        <v>20</v>
      </c>
      <c r="F216" t="s">
        <v>21</v>
      </c>
      <c r="G216" t="s">
        <v>18</v>
      </c>
      <c r="H216">
        <v>271.89999999999998</v>
      </c>
      <c r="I216">
        <v>246</v>
      </c>
      <c r="J216">
        <v>94.4</v>
      </c>
      <c r="K216">
        <v>60.5</v>
      </c>
      <c r="L216">
        <v>27.6</v>
      </c>
      <c r="M216">
        <v>13.5</v>
      </c>
      <c r="N216">
        <v>0.113706911060799</v>
      </c>
      <c r="O216">
        <v>0.20331126856989201</v>
      </c>
      <c r="P216" t="str">
        <f t="shared" si="6"/>
        <v>F</v>
      </c>
      <c r="Q216" t="str">
        <f t="shared" si="7"/>
        <v>T</v>
      </c>
    </row>
    <row r="217" spans="1:17" hidden="1" x14ac:dyDescent="0.3">
      <c r="A217">
        <v>3509</v>
      </c>
      <c r="B217">
        <v>2271</v>
      </c>
      <c r="C217">
        <v>483</v>
      </c>
      <c r="D217" t="s">
        <v>23</v>
      </c>
      <c r="E217" t="s">
        <v>20</v>
      </c>
      <c r="F217" t="s">
        <v>21</v>
      </c>
      <c r="G217" t="s">
        <v>18</v>
      </c>
      <c r="H217">
        <v>271.89999999999998</v>
      </c>
      <c r="I217">
        <v>246</v>
      </c>
      <c r="J217">
        <v>94.4</v>
      </c>
      <c r="K217">
        <v>60.5</v>
      </c>
      <c r="L217">
        <v>27.6</v>
      </c>
      <c r="M217">
        <v>13.5</v>
      </c>
      <c r="N217">
        <v>0.102515692253471</v>
      </c>
      <c r="O217">
        <v>0.20369259708465301</v>
      </c>
      <c r="P217" t="str">
        <f t="shared" si="6"/>
        <v>F</v>
      </c>
      <c r="Q217" t="str">
        <f t="shared" si="7"/>
        <v>T</v>
      </c>
    </row>
    <row r="218" spans="1:17" x14ac:dyDescent="0.3">
      <c r="A218">
        <v>3510</v>
      </c>
      <c r="B218">
        <v>2271</v>
      </c>
      <c r="C218">
        <v>483</v>
      </c>
      <c r="D218" t="s">
        <v>23</v>
      </c>
      <c r="E218" t="s">
        <v>20</v>
      </c>
      <c r="F218" t="s">
        <v>21</v>
      </c>
      <c r="G218" t="s">
        <v>18</v>
      </c>
      <c r="H218">
        <v>271.89999999999998</v>
      </c>
      <c r="I218">
        <v>246</v>
      </c>
      <c r="J218">
        <v>94.4</v>
      </c>
      <c r="K218">
        <v>60.5</v>
      </c>
      <c r="L218">
        <v>27.6</v>
      </c>
      <c r="M218">
        <v>13.5</v>
      </c>
      <c r="N218">
        <v>9.7579814108508897E-2</v>
      </c>
      <c r="O218">
        <v>0.20558257155926901</v>
      </c>
      <c r="P218" t="str">
        <f t="shared" si="6"/>
        <v>T</v>
      </c>
      <c r="Q218" t="str">
        <f t="shared" si="7"/>
        <v>T</v>
      </c>
    </row>
    <row r="219" spans="1:17" hidden="1" x14ac:dyDescent="0.3">
      <c r="A219">
        <v>3531</v>
      </c>
      <c r="B219">
        <v>2276</v>
      </c>
      <c r="C219">
        <v>466</v>
      </c>
      <c r="D219" t="s">
        <v>23</v>
      </c>
      <c r="E219" t="s">
        <v>20</v>
      </c>
      <c r="F219" t="s">
        <v>17</v>
      </c>
      <c r="G219" t="s">
        <v>24</v>
      </c>
      <c r="H219">
        <v>282.10000000000002</v>
      </c>
      <c r="I219">
        <v>257</v>
      </c>
      <c r="J219">
        <v>100.3</v>
      </c>
      <c r="K219">
        <v>68.5</v>
      </c>
      <c r="L219">
        <v>27.5</v>
      </c>
      <c r="M219">
        <v>11</v>
      </c>
      <c r="N219">
        <v>4.2191483284260201E-2</v>
      </c>
      <c r="O219">
        <v>0.28960700701531</v>
      </c>
      <c r="P219" t="str">
        <f t="shared" si="6"/>
        <v>T</v>
      </c>
      <c r="Q219" t="str">
        <f t="shared" si="7"/>
        <v>F</v>
      </c>
    </row>
    <row r="220" spans="1:17" hidden="1" x14ac:dyDescent="0.3">
      <c r="A220">
        <v>3532</v>
      </c>
      <c r="B220">
        <v>2276</v>
      </c>
      <c r="C220">
        <v>466</v>
      </c>
      <c r="D220" t="s">
        <v>23</v>
      </c>
      <c r="E220" t="s">
        <v>20</v>
      </c>
      <c r="F220" t="s">
        <v>17</v>
      </c>
      <c r="G220" t="s">
        <v>24</v>
      </c>
      <c r="H220">
        <v>282.10000000000002</v>
      </c>
      <c r="I220">
        <v>257</v>
      </c>
      <c r="J220">
        <v>100.3</v>
      </c>
      <c r="K220">
        <v>68.5</v>
      </c>
      <c r="L220">
        <v>27.5</v>
      </c>
      <c r="M220">
        <v>11</v>
      </c>
      <c r="N220">
        <v>7.2585032324827201E-2</v>
      </c>
      <c r="O220">
        <v>0.27365962095033902</v>
      </c>
      <c r="P220" t="str">
        <f t="shared" si="6"/>
        <v>T</v>
      </c>
      <c r="Q220" t="str">
        <f t="shared" si="7"/>
        <v>F</v>
      </c>
    </row>
    <row r="221" spans="1:17" hidden="1" x14ac:dyDescent="0.3">
      <c r="A221">
        <v>3533</v>
      </c>
      <c r="B221">
        <v>2276</v>
      </c>
      <c r="C221">
        <v>466</v>
      </c>
      <c r="D221" t="s">
        <v>23</v>
      </c>
      <c r="E221" t="s">
        <v>20</v>
      </c>
      <c r="F221" t="s">
        <v>17</v>
      </c>
      <c r="G221" t="s">
        <v>24</v>
      </c>
      <c r="H221">
        <v>282.10000000000002</v>
      </c>
      <c r="I221">
        <v>257</v>
      </c>
      <c r="J221">
        <v>100.3</v>
      </c>
      <c r="K221">
        <v>68.5</v>
      </c>
      <c r="L221">
        <v>27.5</v>
      </c>
      <c r="M221">
        <v>11</v>
      </c>
      <c r="N221">
        <v>5.3328062735518399E-2</v>
      </c>
      <c r="O221">
        <v>0.28308835395346699</v>
      </c>
      <c r="P221" t="str">
        <f t="shared" si="6"/>
        <v>T</v>
      </c>
      <c r="Q221" t="str">
        <f t="shared" si="7"/>
        <v>F</v>
      </c>
    </row>
    <row r="222" spans="1:17" x14ac:dyDescent="0.3">
      <c r="A222">
        <v>3534</v>
      </c>
      <c r="B222">
        <v>2276</v>
      </c>
      <c r="C222">
        <v>466</v>
      </c>
      <c r="D222" t="s">
        <v>23</v>
      </c>
      <c r="E222" t="s">
        <v>20</v>
      </c>
      <c r="F222" t="s">
        <v>17</v>
      </c>
      <c r="G222" t="s">
        <v>24</v>
      </c>
      <c r="H222">
        <v>282.10000000000002</v>
      </c>
      <c r="I222">
        <v>257</v>
      </c>
      <c r="J222">
        <v>100.3</v>
      </c>
      <c r="K222">
        <v>68.5</v>
      </c>
      <c r="L222">
        <v>27.5</v>
      </c>
      <c r="M222">
        <v>11</v>
      </c>
      <c r="N222">
        <v>4.4882267151108803E-2</v>
      </c>
      <c r="O222">
        <v>0.265816127199894</v>
      </c>
      <c r="P222" t="str">
        <f t="shared" si="6"/>
        <v>T</v>
      </c>
      <c r="Q222" t="str">
        <f t="shared" si="7"/>
        <v>T</v>
      </c>
    </row>
    <row r="223" spans="1:17" hidden="1" x14ac:dyDescent="0.3">
      <c r="A223">
        <v>3535</v>
      </c>
      <c r="B223">
        <v>2276</v>
      </c>
      <c r="C223">
        <v>466</v>
      </c>
      <c r="D223" t="s">
        <v>23</v>
      </c>
      <c r="E223" t="s">
        <v>20</v>
      </c>
      <c r="F223" t="s">
        <v>17</v>
      </c>
      <c r="G223" t="s">
        <v>24</v>
      </c>
      <c r="H223">
        <v>282.10000000000002</v>
      </c>
      <c r="I223">
        <v>257</v>
      </c>
      <c r="J223">
        <v>100.3</v>
      </c>
      <c r="K223">
        <v>68.5</v>
      </c>
      <c r="L223">
        <v>27.5</v>
      </c>
      <c r="M223">
        <v>11</v>
      </c>
      <c r="N223">
        <v>5.2909125646345E-2</v>
      </c>
      <c r="O223">
        <v>0.29205447248716399</v>
      </c>
      <c r="P223" t="str">
        <f t="shared" si="6"/>
        <v>T</v>
      </c>
      <c r="Q223" t="str">
        <f t="shared" si="7"/>
        <v>F</v>
      </c>
    </row>
    <row r="224" spans="1:17" hidden="1" x14ac:dyDescent="0.3">
      <c r="A224">
        <v>3536</v>
      </c>
      <c r="B224">
        <v>2276</v>
      </c>
      <c r="C224">
        <v>466</v>
      </c>
      <c r="D224" t="s">
        <v>23</v>
      </c>
      <c r="E224" t="s">
        <v>20</v>
      </c>
      <c r="F224" t="s">
        <v>17</v>
      </c>
      <c r="G224" t="s">
        <v>24</v>
      </c>
      <c r="H224">
        <v>282.10000000000002</v>
      </c>
      <c r="I224">
        <v>257</v>
      </c>
      <c r="J224">
        <v>100.3</v>
      </c>
      <c r="K224">
        <v>68.5</v>
      </c>
      <c r="L224">
        <v>27.5</v>
      </c>
      <c r="M224">
        <v>11</v>
      </c>
      <c r="N224">
        <v>7.6091944801303102E-2</v>
      </c>
      <c r="O224">
        <v>0.26899084163996201</v>
      </c>
      <c r="P224" t="str">
        <f t="shared" si="6"/>
        <v>T</v>
      </c>
      <c r="Q224" t="str">
        <f t="shared" si="7"/>
        <v>F</v>
      </c>
    </row>
    <row r="225" spans="1:17" hidden="1" x14ac:dyDescent="0.3">
      <c r="A225">
        <v>3585</v>
      </c>
      <c r="B225">
        <v>2292</v>
      </c>
      <c r="C225">
        <v>453</v>
      </c>
      <c r="D225" t="s">
        <v>23</v>
      </c>
      <c r="E225" t="s">
        <v>20</v>
      </c>
      <c r="F225" t="s">
        <v>17</v>
      </c>
      <c r="G225" t="s">
        <v>24</v>
      </c>
      <c r="H225">
        <v>281.60000000000002</v>
      </c>
      <c r="I225">
        <v>255.5</v>
      </c>
      <c r="J225">
        <v>100.4</v>
      </c>
      <c r="K225">
        <v>70</v>
      </c>
      <c r="L225">
        <v>25.7</v>
      </c>
      <c r="M225">
        <v>10</v>
      </c>
      <c r="N225">
        <v>0.139664862287912</v>
      </c>
      <c r="O225">
        <v>0.39490963641954302</v>
      </c>
      <c r="P225" t="str">
        <f t="shared" si="6"/>
        <v>F</v>
      </c>
      <c r="Q225" t="str">
        <f t="shared" si="7"/>
        <v>F</v>
      </c>
    </row>
    <row r="226" spans="1:17" hidden="1" x14ac:dyDescent="0.3">
      <c r="A226">
        <v>3784</v>
      </c>
      <c r="B226">
        <v>2369</v>
      </c>
      <c r="C226">
        <v>497</v>
      </c>
      <c r="D226" t="s">
        <v>23</v>
      </c>
      <c r="E226" t="s">
        <v>20</v>
      </c>
      <c r="F226" t="s">
        <v>21</v>
      </c>
      <c r="G226" t="s">
        <v>22</v>
      </c>
      <c r="H226">
        <v>269.7</v>
      </c>
      <c r="I226">
        <v>245</v>
      </c>
      <c r="J226">
        <v>94</v>
      </c>
      <c r="K226">
        <v>67</v>
      </c>
      <c r="L226">
        <v>24.2</v>
      </c>
      <c r="M226">
        <v>9</v>
      </c>
      <c r="N226">
        <v>0.215159930067121</v>
      </c>
      <c r="O226">
        <v>0.36136027305357299</v>
      </c>
      <c r="P226" t="str">
        <f t="shared" si="6"/>
        <v>F</v>
      </c>
      <c r="Q226" t="str">
        <f t="shared" si="7"/>
        <v>F</v>
      </c>
    </row>
    <row r="227" spans="1:17" hidden="1" x14ac:dyDescent="0.3">
      <c r="A227">
        <v>3785</v>
      </c>
      <c r="B227">
        <v>2369</v>
      </c>
      <c r="C227">
        <v>497</v>
      </c>
      <c r="D227" t="s">
        <v>23</v>
      </c>
      <c r="E227" t="s">
        <v>20</v>
      </c>
      <c r="F227" t="s">
        <v>21</v>
      </c>
      <c r="G227" t="s">
        <v>22</v>
      </c>
      <c r="H227">
        <v>269.7</v>
      </c>
      <c r="I227">
        <v>245</v>
      </c>
      <c r="J227">
        <v>94</v>
      </c>
      <c r="K227">
        <v>67</v>
      </c>
      <c r="L227">
        <v>24.2</v>
      </c>
      <c r="M227">
        <v>9</v>
      </c>
      <c r="N227">
        <v>0.215294731113676</v>
      </c>
      <c r="O227">
        <v>0.37015914376977599</v>
      </c>
      <c r="P227" t="str">
        <f t="shared" si="6"/>
        <v>F</v>
      </c>
      <c r="Q227" t="str">
        <f t="shared" si="7"/>
        <v>F</v>
      </c>
    </row>
    <row r="228" spans="1:17" hidden="1" x14ac:dyDescent="0.3">
      <c r="A228">
        <v>3786</v>
      </c>
      <c r="B228">
        <v>2369</v>
      </c>
      <c r="C228">
        <v>497</v>
      </c>
      <c r="D228" t="s">
        <v>23</v>
      </c>
      <c r="E228" t="s">
        <v>20</v>
      </c>
      <c r="F228" t="s">
        <v>21</v>
      </c>
      <c r="G228" t="s">
        <v>22</v>
      </c>
      <c r="H228">
        <v>269.7</v>
      </c>
      <c r="I228">
        <v>245</v>
      </c>
      <c r="J228">
        <v>94</v>
      </c>
      <c r="K228">
        <v>67</v>
      </c>
      <c r="L228">
        <v>24.2</v>
      </c>
      <c r="M228">
        <v>9</v>
      </c>
      <c r="N228">
        <v>0.23257945674736</v>
      </c>
      <c r="O228">
        <v>0.36627541827573901</v>
      </c>
      <c r="P228" t="str">
        <f t="shared" si="6"/>
        <v>F</v>
      </c>
      <c r="Q228" t="str">
        <f t="shared" si="7"/>
        <v>F</v>
      </c>
    </row>
    <row r="229" spans="1:17" hidden="1" x14ac:dyDescent="0.3">
      <c r="A229">
        <v>3787</v>
      </c>
      <c r="B229">
        <v>2369</v>
      </c>
      <c r="C229">
        <v>497</v>
      </c>
      <c r="D229" t="s">
        <v>23</v>
      </c>
      <c r="E229" t="s">
        <v>20</v>
      </c>
      <c r="F229" t="s">
        <v>21</v>
      </c>
      <c r="G229" t="s">
        <v>22</v>
      </c>
      <c r="H229">
        <v>269.7</v>
      </c>
      <c r="I229">
        <v>245</v>
      </c>
      <c r="J229">
        <v>94</v>
      </c>
      <c r="K229">
        <v>67</v>
      </c>
      <c r="L229">
        <v>24.2</v>
      </c>
      <c r="M229">
        <v>9</v>
      </c>
      <c r="N229">
        <v>0.205076442777786</v>
      </c>
      <c r="O229">
        <v>0.385656378222413</v>
      </c>
      <c r="P229" t="str">
        <f t="shared" si="6"/>
        <v>F</v>
      </c>
      <c r="Q229" t="str">
        <f t="shared" si="7"/>
        <v>F</v>
      </c>
    </row>
    <row r="230" spans="1:17" hidden="1" x14ac:dyDescent="0.3">
      <c r="A230">
        <v>3806</v>
      </c>
      <c r="B230">
        <v>2375</v>
      </c>
      <c r="C230">
        <v>337</v>
      </c>
      <c r="D230" t="s">
        <v>23</v>
      </c>
      <c r="E230" t="s">
        <v>20</v>
      </c>
      <c r="F230" t="s">
        <v>17</v>
      </c>
      <c r="G230" t="s">
        <v>24</v>
      </c>
      <c r="H230">
        <v>279.7</v>
      </c>
      <c r="I230">
        <v>255</v>
      </c>
      <c r="J230">
        <v>95.2</v>
      </c>
      <c r="K230">
        <v>68</v>
      </c>
      <c r="L230">
        <v>25.3</v>
      </c>
      <c r="M230">
        <v>5.5</v>
      </c>
      <c r="N230">
        <v>0.194763816068103</v>
      </c>
      <c r="O230">
        <v>0.34403087229458801</v>
      </c>
      <c r="P230" t="str">
        <f t="shared" si="6"/>
        <v>F</v>
      </c>
      <c r="Q230" t="str">
        <f t="shared" si="7"/>
        <v>F</v>
      </c>
    </row>
    <row r="231" spans="1:17" hidden="1" x14ac:dyDescent="0.3">
      <c r="A231">
        <v>3807</v>
      </c>
      <c r="B231">
        <v>2375</v>
      </c>
      <c r="C231">
        <v>337</v>
      </c>
      <c r="D231" t="s">
        <v>23</v>
      </c>
      <c r="E231" t="s">
        <v>20</v>
      </c>
      <c r="F231" t="s">
        <v>17</v>
      </c>
      <c r="G231" t="s">
        <v>24</v>
      </c>
      <c r="H231">
        <v>279.7</v>
      </c>
      <c r="I231">
        <v>255</v>
      </c>
      <c r="J231">
        <v>95.2</v>
      </c>
      <c r="K231">
        <v>68</v>
      </c>
      <c r="L231">
        <v>25.3</v>
      </c>
      <c r="M231">
        <v>5.5</v>
      </c>
      <c r="N231">
        <v>0.227539857434607</v>
      </c>
      <c r="O231">
        <v>0.34565204535951299</v>
      </c>
      <c r="P231" t="str">
        <f t="shared" si="6"/>
        <v>F</v>
      </c>
      <c r="Q231" t="str">
        <f t="shared" si="7"/>
        <v>F</v>
      </c>
    </row>
    <row r="232" spans="1:17" hidden="1" x14ac:dyDescent="0.3">
      <c r="A232">
        <v>3808</v>
      </c>
      <c r="B232">
        <v>2375</v>
      </c>
      <c r="C232">
        <v>337</v>
      </c>
      <c r="D232" t="s">
        <v>23</v>
      </c>
      <c r="E232" t="s">
        <v>20</v>
      </c>
      <c r="F232" t="s">
        <v>17</v>
      </c>
      <c r="G232" t="s">
        <v>24</v>
      </c>
      <c r="H232">
        <v>279.7</v>
      </c>
      <c r="I232">
        <v>255</v>
      </c>
      <c r="J232">
        <v>95.2</v>
      </c>
      <c r="K232">
        <v>68</v>
      </c>
      <c r="L232">
        <v>25.3</v>
      </c>
      <c r="M232">
        <v>5.5</v>
      </c>
      <c r="N232">
        <v>0.20771146317345701</v>
      </c>
      <c r="O232">
        <v>0.35352361422087902</v>
      </c>
      <c r="P232" t="str">
        <f t="shared" si="6"/>
        <v>F</v>
      </c>
      <c r="Q232" t="str">
        <f t="shared" si="7"/>
        <v>F</v>
      </c>
    </row>
    <row r="233" spans="1:17" hidden="1" x14ac:dyDescent="0.3">
      <c r="A233">
        <v>3826</v>
      </c>
      <c r="B233">
        <v>2384</v>
      </c>
      <c r="C233">
        <v>267</v>
      </c>
      <c r="D233" t="s">
        <v>23</v>
      </c>
      <c r="E233" t="s">
        <v>20</v>
      </c>
      <c r="F233" t="s">
        <v>17</v>
      </c>
      <c r="G233" t="s">
        <v>26</v>
      </c>
      <c r="H233">
        <v>275.39999999999998</v>
      </c>
      <c r="I233">
        <v>244.5</v>
      </c>
      <c r="J233">
        <v>95.4</v>
      </c>
      <c r="K233">
        <v>67</v>
      </c>
      <c r="L233">
        <v>22.2</v>
      </c>
      <c r="M233">
        <v>9.5</v>
      </c>
      <c r="N233">
        <v>0.25436061848007102</v>
      </c>
      <c r="O233">
        <v>0.21077677631209901</v>
      </c>
      <c r="P233" t="str">
        <f t="shared" si="6"/>
        <v>F</v>
      </c>
      <c r="Q233" t="str">
        <f t="shared" si="7"/>
        <v>T</v>
      </c>
    </row>
    <row r="234" spans="1:17" hidden="1" x14ac:dyDescent="0.3">
      <c r="A234">
        <v>3827</v>
      </c>
      <c r="B234">
        <v>2384</v>
      </c>
      <c r="C234">
        <v>267</v>
      </c>
      <c r="D234" t="s">
        <v>23</v>
      </c>
      <c r="E234" t="s">
        <v>20</v>
      </c>
      <c r="F234" t="s">
        <v>17</v>
      </c>
      <c r="G234" t="s">
        <v>26</v>
      </c>
      <c r="H234">
        <v>275.39999999999998</v>
      </c>
      <c r="I234">
        <v>244.5</v>
      </c>
      <c r="J234">
        <v>95.4</v>
      </c>
      <c r="K234">
        <v>67</v>
      </c>
      <c r="L234">
        <v>22.2</v>
      </c>
      <c r="M234">
        <v>9.5</v>
      </c>
      <c r="N234">
        <v>0.25473543343417498</v>
      </c>
      <c r="O234">
        <v>0.2147043659682</v>
      </c>
      <c r="P234" t="str">
        <f t="shared" si="6"/>
        <v>F</v>
      </c>
      <c r="Q234" t="str">
        <f t="shared" si="7"/>
        <v>T</v>
      </c>
    </row>
    <row r="235" spans="1:17" hidden="1" x14ac:dyDescent="0.3">
      <c r="A235">
        <v>3860</v>
      </c>
      <c r="B235">
        <v>2395</v>
      </c>
      <c r="C235">
        <v>66</v>
      </c>
      <c r="D235" t="s">
        <v>23</v>
      </c>
      <c r="E235" t="s">
        <v>20</v>
      </c>
      <c r="F235" t="s">
        <v>17</v>
      </c>
      <c r="G235" t="s">
        <v>25</v>
      </c>
      <c r="H235">
        <v>276.2</v>
      </c>
      <c r="I235">
        <v>258</v>
      </c>
      <c r="J235">
        <v>95.8</v>
      </c>
      <c r="K235">
        <v>63.5</v>
      </c>
      <c r="L235">
        <v>26.4</v>
      </c>
      <c r="M235">
        <v>7</v>
      </c>
      <c r="N235">
        <v>0.18213203796445901</v>
      </c>
      <c r="O235">
        <v>0.24650798450053801</v>
      </c>
      <c r="P235" t="str">
        <f t="shared" si="6"/>
        <v>F</v>
      </c>
      <c r="Q235" t="str">
        <f t="shared" si="7"/>
        <v>T</v>
      </c>
    </row>
    <row r="236" spans="1:17" hidden="1" x14ac:dyDescent="0.3">
      <c r="A236">
        <v>3861</v>
      </c>
      <c r="B236">
        <v>2395</v>
      </c>
      <c r="C236">
        <v>66</v>
      </c>
      <c r="D236" t="s">
        <v>23</v>
      </c>
      <c r="E236" t="s">
        <v>20</v>
      </c>
      <c r="F236" t="s">
        <v>17</v>
      </c>
      <c r="G236" t="s">
        <v>25</v>
      </c>
      <c r="H236">
        <v>276.2</v>
      </c>
      <c r="I236">
        <v>258</v>
      </c>
      <c r="J236">
        <v>95.8</v>
      </c>
      <c r="K236">
        <v>63.5</v>
      </c>
      <c r="L236">
        <v>26.4</v>
      </c>
      <c r="M236">
        <v>7</v>
      </c>
      <c r="N236">
        <v>0.14893467075356101</v>
      </c>
      <c r="O236">
        <v>0.25828616492293799</v>
      </c>
      <c r="P236" t="str">
        <f t="shared" si="6"/>
        <v>F</v>
      </c>
      <c r="Q236" t="str">
        <f t="shared" si="7"/>
        <v>T</v>
      </c>
    </row>
    <row r="237" spans="1:17" hidden="1" x14ac:dyDescent="0.3">
      <c r="A237">
        <v>3862</v>
      </c>
      <c r="B237">
        <v>2395</v>
      </c>
      <c r="C237">
        <v>66</v>
      </c>
      <c r="D237" t="s">
        <v>23</v>
      </c>
      <c r="E237" t="s">
        <v>20</v>
      </c>
      <c r="F237" t="s">
        <v>17</v>
      </c>
      <c r="G237" t="s">
        <v>25</v>
      </c>
      <c r="H237">
        <v>276.2</v>
      </c>
      <c r="I237">
        <v>258</v>
      </c>
      <c r="J237">
        <v>95.8</v>
      </c>
      <c r="K237">
        <v>63.5</v>
      </c>
      <c r="L237">
        <v>26.4</v>
      </c>
      <c r="M237">
        <v>7</v>
      </c>
      <c r="N237">
        <v>0.164017499132737</v>
      </c>
      <c r="O237">
        <v>0.269816344097422</v>
      </c>
      <c r="P237" t="str">
        <f t="shared" si="6"/>
        <v>F</v>
      </c>
      <c r="Q237" t="str">
        <f t="shared" si="7"/>
        <v>F</v>
      </c>
    </row>
    <row r="238" spans="1:17" hidden="1" x14ac:dyDescent="0.3">
      <c r="A238">
        <v>3863</v>
      </c>
      <c r="B238">
        <v>2395</v>
      </c>
      <c r="C238">
        <v>66</v>
      </c>
      <c r="D238" t="s">
        <v>23</v>
      </c>
      <c r="E238" t="s">
        <v>20</v>
      </c>
      <c r="F238" t="s">
        <v>17</v>
      </c>
      <c r="G238" t="s">
        <v>25</v>
      </c>
      <c r="H238">
        <v>276.2</v>
      </c>
      <c r="I238">
        <v>258</v>
      </c>
      <c r="J238">
        <v>95.8</v>
      </c>
      <c r="K238">
        <v>63.5</v>
      </c>
      <c r="L238">
        <v>26.4</v>
      </c>
      <c r="M238">
        <v>7</v>
      </c>
      <c r="N238">
        <v>0.181496261995053</v>
      </c>
      <c r="O238">
        <v>0.24015621792487599</v>
      </c>
      <c r="P238" t="str">
        <f t="shared" si="6"/>
        <v>F</v>
      </c>
      <c r="Q238" t="str">
        <f t="shared" si="7"/>
        <v>T</v>
      </c>
    </row>
    <row r="239" spans="1:17" hidden="1" x14ac:dyDescent="0.3">
      <c r="A239">
        <v>3864</v>
      </c>
      <c r="B239">
        <v>2395</v>
      </c>
      <c r="C239">
        <v>66</v>
      </c>
      <c r="D239" t="s">
        <v>23</v>
      </c>
      <c r="E239" t="s">
        <v>20</v>
      </c>
      <c r="F239" t="s">
        <v>17</v>
      </c>
      <c r="G239" t="s">
        <v>25</v>
      </c>
      <c r="H239">
        <v>276.2</v>
      </c>
      <c r="I239">
        <v>258</v>
      </c>
      <c r="J239">
        <v>95.8</v>
      </c>
      <c r="K239">
        <v>63.5</v>
      </c>
      <c r="L239">
        <v>26.4</v>
      </c>
      <c r="M239">
        <v>7</v>
      </c>
      <c r="N239">
        <v>0.16390176709395299</v>
      </c>
      <c r="O239">
        <v>0.237848742273671</v>
      </c>
      <c r="P239" t="str">
        <f t="shared" si="6"/>
        <v>F</v>
      </c>
      <c r="Q239" t="str">
        <f t="shared" si="7"/>
        <v>T</v>
      </c>
    </row>
    <row r="240" spans="1:17" hidden="1" x14ac:dyDescent="0.3">
      <c r="A240">
        <v>3874</v>
      </c>
      <c r="B240">
        <v>24</v>
      </c>
      <c r="C240">
        <v>226</v>
      </c>
      <c r="D240" t="s">
        <v>23</v>
      </c>
      <c r="E240" t="s">
        <v>20</v>
      </c>
      <c r="F240" t="s">
        <v>17</v>
      </c>
      <c r="G240" t="s">
        <v>18</v>
      </c>
      <c r="H240">
        <v>279.10000000000002</v>
      </c>
      <c r="I240">
        <v>257.5</v>
      </c>
      <c r="J240">
        <v>97.9</v>
      </c>
      <c r="K240">
        <v>68</v>
      </c>
      <c r="L240">
        <v>27.6</v>
      </c>
      <c r="M240">
        <v>2.5</v>
      </c>
      <c r="N240">
        <v>0.15221116534278001</v>
      </c>
      <c r="O240">
        <v>0.22654643578362699</v>
      </c>
      <c r="P240" t="str">
        <f t="shared" si="6"/>
        <v>F</v>
      </c>
      <c r="Q240" t="str">
        <f t="shared" si="7"/>
        <v>T</v>
      </c>
    </row>
    <row r="241" spans="1:17" hidden="1" x14ac:dyDescent="0.3">
      <c r="A241">
        <v>3875</v>
      </c>
      <c r="B241">
        <v>24</v>
      </c>
      <c r="C241">
        <v>226</v>
      </c>
      <c r="D241" t="s">
        <v>23</v>
      </c>
      <c r="E241" t="s">
        <v>20</v>
      </c>
      <c r="F241" t="s">
        <v>17</v>
      </c>
      <c r="G241" t="s">
        <v>18</v>
      </c>
      <c r="H241">
        <v>279.10000000000002</v>
      </c>
      <c r="I241">
        <v>257.5</v>
      </c>
      <c r="J241">
        <v>97.9</v>
      </c>
      <c r="K241">
        <v>68</v>
      </c>
      <c r="L241">
        <v>27.6</v>
      </c>
      <c r="M241">
        <v>2.5</v>
      </c>
      <c r="N241">
        <v>0.16204699886617399</v>
      </c>
      <c r="O241">
        <v>0.20095989221270799</v>
      </c>
      <c r="P241" t="str">
        <f t="shared" si="6"/>
        <v>F</v>
      </c>
      <c r="Q241" t="str">
        <f t="shared" si="7"/>
        <v>T</v>
      </c>
    </row>
    <row r="242" spans="1:17" hidden="1" x14ac:dyDescent="0.3">
      <c r="A242">
        <v>3882</v>
      </c>
      <c r="B242">
        <v>2403</v>
      </c>
      <c r="C242">
        <v>453</v>
      </c>
      <c r="D242" t="s">
        <v>23</v>
      </c>
      <c r="E242" t="s">
        <v>20</v>
      </c>
      <c r="F242" t="s">
        <v>17</v>
      </c>
      <c r="G242" t="s">
        <v>26</v>
      </c>
      <c r="H242">
        <v>281.60000000000002</v>
      </c>
      <c r="I242">
        <v>255.5</v>
      </c>
      <c r="J242">
        <v>100.4</v>
      </c>
      <c r="K242">
        <v>70</v>
      </c>
      <c r="L242">
        <v>25.7</v>
      </c>
      <c r="M242">
        <v>10</v>
      </c>
      <c r="N242">
        <v>0.14152127110526699</v>
      </c>
      <c r="O242">
        <v>0.38564032848747398</v>
      </c>
      <c r="P242" t="str">
        <f t="shared" si="6"/>
        <v>F</v>
      </c>
      <c r="Q242" t="str">
        <f t="shared" si="7"/>
        <v>F</v>
      </c>
    </row>
    <row r="243" spans="1:17" hidden="1" x14ac:dyDescent="0.3">
      <c r="A243">
        <v>3883</v>
      </c>
      <c r="B243">
        <v>2403</v>
      </c>
      <c r="C243">
        <v>453</v>
      </c>
      <c r="D243" t="s">
        <v>23</v>
      </c>
      <c r="E243" t="s">
        <v>20</v>
      </c>
      <c r="F243" t="s">
        <v>17</v>
      </c>
      <c r="G243" t="s">
        <v>26</v>
      </c>
      <c r="H243">
        <v>281.60000000000002</v>
      </c>
      <c r="I243">
        <v>255.5</v>
      </c>
      <c r="J243">
        <v>100.4</v>
      </c>
      <c r="K243">
        <v>70</v>
      </c>
      <c r="L243">
        <v>25.7</v>
      </c>
      <c r="M243">
        <v>10</v>
      </c>
      <c r="N243">
        <v>0.15197167688813701</v>
      </c>
      <c r="O243">
        <v>0.38436157212570898</v>
      </c>
      <c r="P243" t="str">
        <f t="shared" si="6"/>
        <v>F</v>
      </c>
      <c r="Q243" t="str">
        <f t="shared" si="7"/>
        <v>F</v>
      </c>
    </row>
    <row r="244" spans="1:17" hidden="1" x14ac:dyDescent="0.3">
      <c r="A244">
        <v>3884</v>
      </c>
      <c r="B244">
        <v>2403</v>
      </c>
      <c r="C244">
        <v>453</v>
      </c>
      <c r="D244" t="s">
        <v>23</v>
      </c>
      <c r="E244" t="s">
        <v>20</v>
      </c>
      <c r="F244" t="s">
        <v>17</v>
      </c>
      <c r="G244" t="s">
        <v>26</v>
      </c>
      <c r="H244">
        <v>281.60000000000002</v>
      </c>
      <c r="I244">
        <v>255.5</v>
      </c>
      <c r="J244">
        <v>100.4</v>
      </c>
      <c r="K244">
        <v>70</v>
      </c>
      <c r="L244">
        <v>25.7</v>
      </c>
      <c r="M244">
        <v>10</v>
      </c>
      <c r="N244">
        <v>0.12151595360491201</v>
      </c>
      <c r="O244">
        <v>0.38592896362982199</v>
      </c>
      <c r="P244" t="str">
        <f t="shared" si="6"/>
        <v>F</v>
      </c>
      <c r="Q244" t="str">
        <f t="shared" si="7"/>
        <v>F</v>
      </c>
    </row>
    <row r="245" spans="1:17" hidden="1" x14ac:dyDescent="0.3">
      <c r="A245">
        <v>3885</v>
      </c>
      <c r="B245">
        <v>2403</v>
      </c>
      <c r="C245">
        <v>453</v>
      </c>
      <c r="D245" t="s">
        <v>23</v>
      </c>
      <c r="E245" t="s">
        <v>20</v>
      </c>
      <c r="F245" t="s">
        <v>17</v>
      </c>
      <c r="G245" t="s">
        <v>26</v>
      </c>
      <c r="H245">
        <v>281.60000000000002</v>
      </c>
      <c r="I245">
        <v>255.5</v>
      </c>
      <c r="J245">
        <v>100.4</v>
      </c>
      <c r="K245">
        <v>70</v>
      </c>
      <c r="L245">
        <v>25.7</v>
      </c>
      <c r="M245">
        <v>10</v>
      </c>
      <c r="N245">
        <v>0.15407150824611601</v>
      </c>
      <c r="O245">
        <v>0.39655646584802701</v>
      </c>
      <c r="P245" t="str">
        <f t="shared" si="6"/>
        <v>F</v>
      </c>
      <c r="Q245" t="str">
        <f t="shared" si="7"/>
        <v>F</v>
      </c>
    </row>
    <row r="246" spans="1:17" hidden="1" x14ac:dyDescent="0.3">
      <c r="A246">
        <v>3889</v>
      </c>
      <c r="B246">
        <v>2405</v>
      </c>
      <c r="C246">
        <v>395</v>
      </c>
      <c r="D246" t="s">
        <v>23</v>
      </c>
      <c r="E246" t="s">
        <v>20</v>
      </c>
      <c r="F246" t="s">
        <v>21</v>
      </c>
      <c r="G246" t="s">
        <v>18</v>
      </c>
      <c r="H246">
        <v>273.60000000000002</v>
      </c>
      <c r="I246">
        <v>247</v>
      </c>
      <c r="J246">
        <v>94</v>
      </c>
      <c r="K246">
        <v>68</v>
      </c>
      <c r="L246">
        <v>26.7</v>
      </c>
      <c r="M246">
        <v>7.5</v>
      </c>
      <c r="N246">
        <v>0.189540738604145</v>
      </c>
      <c r="O246">
        <v>0.36651993722947401</v>
      </c>
      <c r="P246" t="str">
        <f t="shared" si="6"/>
        <v>F</v>
      </c>
      <c r="Q246" t="str">
        <f t="shared" si="7"/>
        <v>F</v>
      </c>
    </row>
    <row r="247" spans="1:17" hidden="1" x14ac:dyDescent="0.3">
      <c r="A247">
        <v>3890</v>
      </c>
      <c r="B247">
        <v>2405</v>
      </c>
      <c r="C247">
        <v>395</v>
      </c>
      <c r="D247" t="s">
        <v>23</v>
      </c>
      <c r="E247" t="s">
        <v>20</v>
      </c>
      <c r="F247" t="s">
        <v>21</v>
      </c>
      <c r="G247" t="s">
        <v>18</v>
      </c>
      <c r="H247">
        <v>273.60000000000002</v>
      </c>
      <c r="I247">
        <v>247</v>
      </c>
      <c r="J247">
        <v>94</v>
      </c>
      <c r="K247">
        <v>68</v>
      </c>
      <c r="L247">
        <v>26.7</v>
      </c>
      <c r="M247">
        <v>7.5</v>
      </c>
      <c r="N247">
        <v>0.17081197310920601</v>
      </c>
      <c r="O247">
        <v>0.34924627157044102</v>
      </c>
      <c r="P247" t="str">
        <f t="shared" si="6"/>
        <v>F</v>
      </c>
      <c r="Q247" t="str">
        <f t="shared" si="7"/>
        <v>F</v>
      </c>
    </row>
    <row r="248" spans="1:17" hidden="1" x14ac:dyDescent="0.3">
      <c r="A248">
        <v>3891</v>
      </c>
      <c r="B248">
        <v>2405</v>
      </c>
      <c r="C248">
        <v>395</v>
      </c>
      <c r="D248" t="s">
        <v>23</v>
      </c>
      <c r="E248" t="s">
        <v>20</v>
      </c>
      <c r="F248" t="s">
        <v>21</v>
      </c>
      <c r="G248" t="s">
        <v>18</v>
      </c>
      <c r="H248">
        <v>273.60000000000002</v>
      </c>
      <c r="I248">
        <v>247</v>
      </c>
      <c r="J248">
        <v>94</v>
      </c>
      <c r="K248">
        <v>68</v>
      </c>
      <c r="L248">
        <v>26.7</v>
      </c>
      <c r="M248">
        <v>7.5</v>
      </c>
      <c r="N248">
        <v>0.16166097991269501</v>
      </c>
      <c r="O248">
        <v>0.33712770065427999</v>
      </c>
      <c r="P248" t="str">
        <f t="shared" si="6"/>
        <v>F</v>
      </c>
      <c r="Q248" t="str">
        <f t="shared" si="7"/>
        <v>F</v>
      </c>
    </row>
    <row r="249" spans="1:17" hidden="1" x14ac:dyDescent="0.3">
      <c r="A249">
        <v>3899</v>
      </c>
      <c r="B249">
        <v>2408</v>
      </c>
      <c r="C249">
        <v>95</v>
      </c>
      <c r="D249" t="s">
        <v>23</v>
      </c>
      <c r="E249" t="s">
        <v>20</v>
      </c>
      <c r="F249" t="s">
        <v>21</v>
      </c>
      <c r="G249" t="s">
        <v>24</v>
      </c>
      <c r="H249">
        <v>276.60000000000002</v>
      </c>
      <c r="I249">
        <v>250.5</v>
      </c>
      <c r="J249">
        <v>100</v>
      </c>
      <c r="K249">
        <v>67</v>
      </c>
      <c r="L249">
        <v>28.2</v>
      </c>
      <c r="M249">
        <v>6.5</v>
      </c>
      <c r="N249">
        <v>0.109595771244483</v>
      </c>
      <c r="O249">
        <v>0.33812882201278699</v>
      </c>
      <c r="P249" t="str">
        <f t="shared" si="6"/>
        <v>F</v>
      </c>
      <c r="Q249" t="str">
        <f t="shared" si="7"/>
        <v>F</v>
      </c>
    </row>
    <row r="250" spans="1:17" hidden="1" x14ac:dyDescent="0.3">
      <c r="A250">
        <v>3900</v>
      </c>
      <c r="B250">
        <v>2408</v>
      </c>
      <c r="C250">
        <v>95</v>
      </c>
      <c r="D250" t="s">
        <v>23</v>
      </c>
      <c r="E250" t="s">
        <v>20</v>
      </c>
      <c r="F250" t="s">
        <v>21</v>
      </c>
      <c r="G250" t="s">
        <v>24</v>
      </c>
      <c r="H250">
        <v>276.60000000000002</v>
      </c>
      <c r="I250">
        <v>250.5</v>
      </c>
      <c r="J250">
        <v>100</v>
      </c>
      <c r="K250">
        <v>67</v>
      </c>
      <c r="L250">
        <v>28.2</v>
      </c>
      <c r="M250">
        <v>6.5</v>
      </c>
      <c r="N250">
        <v>9.8383229896982505E-2</v>
      </c>
      <c r="O250">
        <v>0.335627796686368</v>
      </c>
      <c r="P250" t="str">
        <f t="shared" si="6"/>
        <v>T</v>
      </c>
      <c r="Q250" t="str">
        <f t="shared" si="7"/>
        <v>F</v>
      </c>
    </row>
    <row r="251" spans="1:17" x14ac:dyDescent="0.3">
      <c r="A251">
        <v>3903</v>
      </c>
      <c r="B251">
        <v>241</v>
      </c>
      <c r="C251">
        <v>466</v>
      </c>
      <c r="D251" t="s">
        <v>23</v>
      </c>
      <c r="E251" t="s">
        <v>20</v>
      </c>
      <c r="F251" t="s">
        <v>17</v>
      </c>
      <c r="G251" t="s">
        <v>24</v>
      </c>
      <c r="H251">
        <v>282.10000000000002</v>
      </c>
      <c r="I251">
        <v>257</v>
      </c>
      <c r="J251">
        <v>100.3</v>
      </c>
      <c r="K251">
        <v>68.5</v>
      </c>
      <c r="L251">
        <v>27.5</v>
      </c>
      <c r="M251">
        <v>11</v>
      </c>
      <c r="N251">
        <v>4.1220059591807801E-2</v>
      </c>
      <c r="O251">
        <v>0.26061608363844502</v>
      </c>
      <c r="P251" t="str">
        <f t="shared" si="6"/>
        <v>T</v>
      </c>
      <c r="Q251" t="str">
        <f t="shared" si="7"/>
        <v>T</v>
      </c>
    </row>
    <row r="252" spans="1:17" hidden="1" x14ac:dyDescent="0.3">
      <c r="A252">
        <v>3904</v>
      </c>
      <c r="B252">
        <v>241</v>
      </c>
      <c r="C252">
        <v>466</v>
      </c>
      <c r="D252" t="s">
        <v>23</v>
      </c>
      <c r="E252" t="s">
        <v>20</v>
      </c>
      <c r="F252" t="s">
        <v>17</v>
      </c>
      <c r="G252" t="s">
        <v>24</v>
      </c>
      <c r="H252">
        <v>282.10000000000002</v>
      </c>
      <c r="I252">
        <v>257</v>
      </c>
      <c r="J252">
        <v>100.3</v>
      </c>
      <c r="K252">
        <v>68.5</v>
      </c>
      <c r="L252">
        <v>27.5</v>
      </c>
      <c r="M252">
        <v>11</v>
      </c>
      <c r="N252">
        <v>5.8482316984069201E-2</v>
      </c>
      <c r="O252">
        <v>0.28167884891332501</v>
      </c>
      <c r="P252" t="str">
        <f t="shared" si="6"/>
        <v>T</v>
      </c>
      <c r="Q252" t="str">
        <f t="shared" si="7"/>
        <v>F</v>
      </c>
    </row>
    <row r="253" spans="1:17" hidden="1" x14ac:dyDescent="0.3">
      <c r="A253">
        <v>3905</v>
      </c>
      <c r="B253">
        <v>241</v>
      </c>
      <c r="C253">
        <v>466</v>
      </c>
      <c r="D253" t="s">
        <v>23</v>
      </c>
      <c r="E253" t="s">
        <v>20</v>
      </c>
      <c r="F253" t="s">
        <v>17</v>
      </c>
      <c r="G253" t="s">
        <v>24</v>
      </c>
      <c r="H253">
        <v>282.10000000000002</v>
      </c>
      <c r="I253">
        <v>257</v>
      </c>
      <c r="J253">
        <v>100.3</v>
      </c>
      <c r="K253">
        <v>68.5</v>
      </c>
      <c r="L253">
        <v>27.5</v>
      </c>
      <c r="M253">
        <v>11</v>
      </c>
      <c r="N253">
        <v>7.5705227861773597E-2</v>
      </c>
      <c r="O253">
        <v>0.28097258429390298</v>
      </c>
      <c r="P253" t="str">
        <f t="shared" si="6"/>
        <v>T</v>
      </c>
      <c r="Q253" t="str">
        <f t="shared" si="7"/>
        <v>F</v>
      </c>
    </row>
    <row r="254" spans="1:17" hidden="1" x14ac:dyDescent="0.3">
      <c r="A254">
        <v>3906</v>
      </c>
      <c r="B254">
        <v>241</v>
      </c>
      <c r="C254">
        <v>466</v>
      </c>
      <c r="D254" t="s">
        <v>23</v>
      </c>
      <c r="E254" t="s">
        <v>20</v>
      </c>
      <c r="F254" t="s">
        <v>17</v>
      </c>
      <c r="G254" t="s">
        <v>24</v>
      </c>
      <c r="H254">
        <v>282.10000000000002</v>
      </c>
      <c r="I254">
        <v>257</v>
      </c>
      <c r="J254">
        <v>100.3</v>
      </c>
      <c r="K254">
        <v>68.5</v>
      </c>
      <c r="L254">
        <v>27.5</v>
      </c>
      <c r="M254">
        <v>11</v>
      </c>
      <c r="N254">
        <v>3.9898333328970602E-2</v>
      </c>
      <c r="O254">
        <v>0.27684014934524498</v>
      </c>
      <c r="P254" t="str">
        <f t="shared" si="6"/>
        <v>T</v>
      </c>
      <c r="Q254" t="str">
        <f t="shared" si="7"/>
        <v>F</v>
      </c>
    </row>
    <row r="255" spans="1:17" hidden="1" x14ac:dyDescent="0.3">
      <c r="A255">
        <v>3990</v>
      </c>
      <c r="B255">
        <v>2447</v>
      </c>
      <c r="C255">
        <v>26</v>
      </c>
      <c r="D255" t="s">
        <v>23</v>
      </c>
      <c r="E255" t="s">
        <v>20</v>
      </c>
      <c r="F255" t="s">
        <v>17</v>
      </c>
      <c r="G255" t="s">
        <v>18</v>
      </c>
      <c r="H255">
        <v>270.5</v>
      </c>
      <c r="I255">
        <v>243.5</v>
      </c>
      <c r="J255">
        <v>95.9</v>
      </c>
      <c r="K255">
        <v>66</v>
      </c>
      <c r="L255">
        <v>26.9</v>
      </c>
      <c r="M255">
        <v>6</v>
      </c>
      <c r="N255">
        <v>0.19345277274095099</v>
      </c>
      <c r="O255">
        <v>0.37507519672659101</v>
      </c>
      <c r="P255" t="str">
        <f t="shared" si="6"/>
        <v>F</v>
      </c>
      <c r="Q255" t="str">
        <f t="shared" si="7"/>
        <v>F</v>
      </c>
    </row>
    <row r="256" spans="1:17" hidden="1" x14ac:dyDescent="0.3">
      <c r="A256">
        <v>3991</v>
      </c>
      <c r="B256">
        <v>2447</v>
      </c>
      <c r="C256">
        <v>26</v>
      </c>
      <c r="D256" t="s">
        <v>23</v>
      </c>
      <c r="E256" t="s">
        <v>20</v>
      </c>
      <c r="F256" t="s">
        <v>17</v>
      </c>
      <c r="G256" t="s">
        <v>18</v>
      </c>
      <c r="H256">
        <v>270.5</v>
      </c>
      <c r="I256">
        <v>243.5</v>
      </c>
      <c r="J256">
        <v>95.9</v>
      </c>
      <c r="K256">
        <v>66</v>
      </c>
      <c r="L256">
        <v>26.9</v>
      </c>
      <c r="M256">
        <v>6</v>
      </c>
      <c r="N256">
        <v>0.16750152046937899</v>
      </c>
      <c r="O256">
        <v>0.39539427432736401</v>
      </c>
      <c r="P256" t="str">
        <f t="shared" si="6"/>
        <v>F</v>
      </c>
      <c r="Q256" t="str">
        <f t="shared" si="7"/>
        <v>F</v>
      </c>
    </row>
    <row r="257" spans="1:17" hidden="1" x14ac:dyDescent="0.3">
      <c r="A257">
        <v>3992</v>
      </c>
      <c r="B257">
        <v>2447</v>
      </c>
      <c r="C257">
        <v>26</v>
      </c>
      <c r="D257" t="s">
        <v>23</v>
      </c>
      <c r="E257" t="s">
        <v>20</v>
      </c>
      <c r="F257" t="s">
        <v>17</v>
      </c>
      <c r="G257" t="s">
        <v>18</v>
      </c>
      <c r="H257">
        <v>270.5</v>
      </c>
      <c r="I257">
        <v>243.5</v>
      </c>
      <c r="J257">
        <v>95.9</v>
      </c>
      <c r="K257">
        <v>66</v>
      </c>
      <c r="L257">
        <v>26.9</v>
      </c>
      <c r="M257">
        <v>6</v>
      </c>
      <c r="N257">
        <v>0.194765647167461</v>
      </c>
      <c r="O257">
        <v>0.361614412950308</v>
      </c>
      <c r="P257" t="str">
        <f t="shared" si="6"/>
        <v>F</v>
      </c>
      <c r="Q257" t="str">
        <f t="shared" si="7"/>
        <v>F</v>
      </c>
    </row>
    <row r="258" spans="1:17" hidden="1" x14ac:dyDescent="0.3">
      <c r="A258">
        <v>4186</v>
      </c>
      <c r="B258">
        <v>2522</v>
      </c>
      <c r="C258">
        <v>95</v>
      </c>
      <c r="D258" t="s">
        <v>23</v>
      </c>
      <c r="E258" t="s">
        <v>20</v>
      </c>
      <c r="F258" t="s">
        <v>17</v>
      </c>
      <c r="G258" t="s">
        <v>26</v>
      </c>
      <c r="H258">
        <v>276.60000000000002</v>
      </c>
      <c r="I258">
        <v>250.5</v>
      </c>
      <c r="J258">
        <v>100</v>
      </c>
      <c r="K258">
        <v>67</v>
      </c>
      <c r="L258">
        <v>28.2</v>
      </c>
      <c r="M258">
        <v>6.5</v>
      </c>
      <c r="N258">
        <v>0.108378914808877</v>
      </c>
      <c r="O258">
        <v>0.31820773078685699</v>
      </c>
      <c r="P258" t="str">
        <f t="shared" ref="P258:P321" si="8">IF(N258&lt;0.100978, "T", "F")</f>
        <v>F</v>
      </c>
      <c r="Q258" t="str">
        <f t="shared" ref="Q258:Q321" si="9">IF(O258&lt;0.268491, "T", "F")</f>
        <v>F</v>
      </c>
    </row>
    <row r="259" spans="1:17" hidden="1" x14ac:dyDescent="0.3">
      <c r="A259">
        <v>4187</v>
      </c>
      <c r="B259">
        <v>2522</v>
      </c>
      <c r="C259">
        <v>95</v>
      </c>
      <c r="D259" t="s">
        <v>23</v>
      </c>
      <c r="E259" t="s">
        <v>20</v>
      </c>
      <c r="F259" t="s">
        <v>17</v>
      </c>
      <c r="G259" t="s">
        <v>26</v>
      </c>
      <c r="H259">
        <v>276.60000000000002</v>
      </c>
      <c r="I259">
        <v>250.5</v>
      </c>
      <c r="J259">
        <v>100</v>
      </c>
      <c r="K259">
        <v>67</v>
      </c>
      <c r="L259">
        <v>28.2</v>
      </c>
      <c r="M259">
        <v>6.5</v>
      </c>
      <c r="N259">
        <v>8.6186394537194594E-2</v>
      </c>
      <c r="O259">
        <v>0.318095962654183</v>
      </c>
      <c r="P259" t="str">
        <f t="shared" si="8"/>
        <v>T</v>
      </c>
      <c r="Q259" t="str">
        <f t="shared" si="9"/>
        <v>F</v>
      </c>
    </row>
    <row r="260" spans="1:17" hidden="1" x14ac:dyDescent="0.3">
      <c r="A260">
        <v>4188</v>
      </c>
      <c r="B260">
        <v>2522</v>
      </c>
      <c r="C260">
        <v>95</v>
      </c>
      <c r="D260" t="s">
        <v>23</v>
      </c>
      <c r="E260" t="s">
        <v>20</v>
      </c>
      <c r="F260" t="s">
        <v>17</v>
      </c>
      <c r="G260" t="s">
        <v>26</v>
      </c>
      <c r="H260">
        <v>276.60000000000002</v>
      </c>
      <c r="I260">
        <v>250.5</v>
      </c>
      <c r="J260">
        <v>100</v>
      </c>
      <c r="K260">
        <v>67</v>
      </c>
      <c r="L260">
        <v>28.2</v>
      </c>
      <c r="M260">
        <v>6.5</v>
      </c>
      <c r="N260">
        <v>0.114867896797547</v>
      </c>
      <c r="O260">
        <v>0.34275503065033602</v>
      </c>
      <c r="P260" t="str">
        <f t="shared" si="8"/>
        <v>F</v>
      </c>
      <c r="Q260" t="str">
        <f t="shared" si="9"/>
        <v>F</v>
      </c>
    </row>
    <row r="261" spans="1:17" hidden="1" x14ac:dyDescent="0.3">
      <c r="A261">
        <v>4189</v>
      </c>
      <c r="B261">
        <v>2522</v>
      </c>
      <c r="C261">
        <v>95</v>
      </c>
      <c r="D261" t="s">
        <v>23</v>
      </c>
      <c r="E261" t="s">
        <v>20</v>
      </c>
      <c r="F261" t="s">
        <v>17</v>
      </c>
      <c r="G261" t="s">
        <v>26</v>
      </c>
      <c r="H261">
        <v>276.60000000000002</v>
      </c>
      <c r="I261">
        <v>250.5</v>
      </c>
      <c r="J261">
        <v>100</v>
      </c>
      <c r="K261">
        <v>67</v>
      </c>
      <c r="L261">
        <v>28.2</v>
      </c>
      <c r="M261">
        <v>6.5</v>
      </c>
      <c r="N261">
        <v>0.101841219400214</v>
      </c>
      <c r="O261">
        <v>0.33089709166195103</v>
      </c>
      <c r="P261" t="str">
        <f t="shared" si="8"/>
        <v>F</v>
      </c>
      <c r="Q261" t="str">
        <f t="shared" si="9"/>
        <v>F</v>
      </c>
    </row>
    <row r="262" spans="1:17" hidden="1" x14ac:dyDescent="0.3">
      <c r="A262">
        <v>4190</v>
      </c>
      <c r="B262">
        <v>2522</v>
      </c>
      <c r="C262">
        <v>95</v>
      </c>
      <c r="D262" t="s">
        <v>23</v>
      </c>
      <c r="E262" t="s">
        <v>20</v>
      </c>
      <c r="F262" t="s">
        <v>17</v>
      </c>
      <c r="G262" t="s">
        <v>26</v>
      </c>
      <c r="H262">
        <v>276.60000000000002</v>
      </c>
      <c r="I262">
        <v>250.5</v>
      </c>
      <c r="J262">
        <v>100</v>
      </c>
      <c r="K262">
        <v>67</v>
      </c>
      <c r="L262">
        <v>28.2</v>
      </c>
      <c r="M262">
        <v>6.5</v>
      </c>
      <c r="N262">
        <v>8.4753254126117394E-2</v>
      </c>
      <c r="O262">
        <v>0.32097100563721498</v>
      </c>
      <c r="P262" t="str">
        <f t="shared" si="8"/>
        <v>T</v>
      </c>
      <c r="Q262" t="str">
        <f t="shared" si="9"/>
        <v>F</v>
      </c>
    </row>
    <row r="263" spans="1:17" hidden="1" x14ac:dyDescent="0.3">
      <c r="A263">
        <v>4191</v>
      </c>
      <c r="B263">
        <v>2522</v>
      </c>
      <c r="C263">
        <v>95</v>
      </c>
      <c r="D263" t="s">
        <v>23</v>
      </c>
      <c r="E263" t="s">
        <v>20</v>
      </c>
      <c r="F263" t="s">
        <v>17</v>
      </c>
      <c r="G263" t="s">
        <v>26</v>
      </c>
      <c r="H263">
        <v>276.60000000000002</v>
      </c>
      <c r="I263">
        <v>250.5</v>
      </c>
      <c r="J263">
        <v>100</v>
      </c>
      <c r="K263">
        <v>67</v>
      </c>
      <c r="L263">
        <v>28.2</v>
      </c>
      <c r="M263">
        <v>6.5</v>
      </c>
      <c r="N263">
        <v>0.11318492972124999</v>
      </c>
      <c r="O263">
        <v>0.33463163573118299</v>
      </c>
      <c r="P263" t="str">
        <f t="shared" si="8"/>
        <v>F</v>
      </c>
      <c r="Q263" t="str">
        <f t="shared" si="9"/>
        <v>F</v>
      </c>
    </row>
    <row r="264" spans="1:17" hidden="1" x14ac:dyDescent="0.3">
      <c r="A264">
        <v>4216</v>
      </c>
      <c r="B264">
        <v>2534</v>
      </c>
      <c r="C264">
        <v>337</v>
      </c>
      <c r="D264" t="s">
        <v>23</v>
      </c>
      <c r="E264" t="s">
        <v>20</v>
      </c>
      <c r="F264" t="s">
        <v>17</v>
      </c>
      <c r="G264" t="s">
        <v>22</v>
      </c>
      <c r="H264">
        <v>279.7</v>
      </c>
      <c r="I264">
        <v>255</v>
      </c>
      <c r="J264">
        <v>95.2</v>
      </c>
      <c r="K264">
        <v>68</v>
      </c>
      <c r="L264">
        <v>25.3</v>
      </c>
      <c r="M264">
        <v>5.5</v>
      </c>
      <c r="N264">
        <v>0.22594805351528699</v>
      </c>
      <c r="O264">
        <v>0.36339115059890498</v>
      </c>
      <c r="P264" t="str">
        <f t="shared" si="8"/>
        <v>F</v>
      </c>
      <c r="Q264" t="str">
        <f t="shared" si="9"/>
        <v>F</v>
      </c>
    </row>
    <row r="265" spans="1:17" hidden="1" x14ac:dyDescent="0.3">
      <c r="A265">
        <v>4217</v>
      </c>
      <c r="B265">
        <v>2534</v>
      </c>
      <c r="C265">
        <v>337</v>
      </c>
      <c r="D265" t="s">
        <v>23</v>
      </c>
      <c r="E265" t="s">
        <v>20</v>
      </c>
      <c r="F265" t="s">
        <v>17</v>
      </c>
      <c r="G265" t="s">
        <v>22</v>
      </c>
      <c r="H265">
        <v>279.7</v>
      </c>
      <c r="I265">
        <v>255</v>
      </c>
      <c r="J265">
        <v>95.2</v>
      </c>
      <c r="K265">
        <v>68</v>
      </c>
      <c r="L265">
        <v>25.3</v>
      </c>
      <c r="M265">
        <v>5.5</v>
      </c>
      <c r="N265">
        <v>0.20641862619416501</v>
      </c>
      <c r="O265">
        <v>0.33970975025641498</v>
      </c>
      <c r="P265" t="str">
        <f t="shared" si="8"/>
        <v>F</v>
      </c>
      <c r="Q265" t="str">
        <f t="shared" si="9"/>
        <v>F</v>
      </c>
    </row>
    <row r="266" spans="1:17" hidden="1" x14ac:dyDescent="0.3">
      <c r="A266">
        <v>4218</v>
      </c>
      <c r="B266">
        <v>2534</v>
      </c>
      <c r="C266">
        <v>337</v>
      </c>
      <c r="D266" t="s">
        <v>23</v>
      </c>
      <c r="E266" t="s">
        <v>20</v>
      </c>
      <c r="F266" t="s">
        <v>17</v>
      </c>
      <c r="G266" t="s">
        <v>22</v>
      </c>
      <c r="H266">
        <v>279.7</v>
      </c>
      <c r="I266">
        <v>255</v>
      </c>
      <c r="J266">
        <v>95.2</v>
      </c>
      <c r="K266">
        <v>68</v>
      </c>
      <c r="L266">
        <v>25.3</v>
      </c>
      <c r="M266">
        <v>5.5</v>
      </c>
      <c r="N266">
        <v>0.20330551731503799</v>
      </c>
      <c r="O266">
        <v>0.34322021568571698</v>
      </c>
      <c r="P266" t="str">
        <f t="shared" si="8"/>
        <v>F</v>
      </c>
      <c r="Q266" t="str">
        <f t="shared" si="9"/>
        <v>F</v>
      </c>
    </row>
    <row r="267" spans="1:17" hidden="1" x14ac:dyDescent="0.3">
      <c r="A267">
        <v>4219</v>
      </c>
      <c r="B267">
        <v>2534</v>
      </c>
      <c r="C267">
        <v>337</v>
      </c>
      <c r="D267" t="s">
        <v>23</v>
      </c>
      <c r="E267" t="s">
        <v>20</v>
      </c>
      <c r="F267" t="s">
        <v>17</v>
      </c>
      <c r="G267" t="s">
        <v>22</v>
      </c>
      <c r="H267">
        <v>279.7</v>
      </c>
      <c r="I267">
        <v>255</v>
      </c>
      <c r="J267">
        <v>95.2</v>
      </c>
      <c r="K267">
        <v>68</v>
      </c>
      <c r="L267">
        <v>25.3</v>
      </c>
      <c r="M267">
        <v>5.5</v>
      </c>
      <c r="N267">
        <v>0.21433073389936899</v>
      </c>
      <c r="O267">
        <v>0.37713129358236003</v>
      </c>
      <c r="P267" t="str">
        <f t="shared" si="8"/>
        <v>F</v>
      </c>
      <c r="Q267" t="str">
        <f t="shared" si="9"/>
        <v>F</v>
      </c>
    </row>
    <row r="268" spans="1:17" hidden="1" x14ac:dyDescent="0.3">
      <c r="A268">
        <v>4240</v>
      </c>
      <c r="B268">
        <v>2540</v>
      </c>
      <c r="C268">
        <v>26</v>
      </c>
      <c r="D268" t="s">
        <v>23</v>
      </c>
      <c r="E268" t="s">
        <v>20</v>
      </c>
      <c r="F268" t="s">
        <v>21</v>
      </c>
      <c r="G268" t="s">
        <v>22</v>
      </c>
      <c r="H268">
        <v>270.5</v>
      </c>
      <c r="I268">
        <v>243.5</v>
      </c>
      <c r="J268">
        <v>95.9</v>
      </c>
      <c r="K268">
        <v>66</v>
      </c>
      <c r="L268">
        <v>26.9</v>
      </c>
      <c r="M268">
        <v>6</v>
      </c>
      <c r="N268">
        <v>0.20900123859308101</v>
      </c>
      <c r="O268">
        <v>0.38869352094867599</v>
      </c>
      <c r="P268" t="str">
        <f t="shared" si="8"/>
        <v>F</v>
      </c>
      <c r="Q268" t="str">
        <f t="shared" si="9"/>
        <v>F</v>
      </c>
    </row>
    <row r="269" spans="1:17" hidden="1" x14ac:dyDescent="0.3">
      <c r="A269">
        <v>4241</v>
      </c>
      <c r="B269">
        <v>2540</v>
      </c>
      <c r="C269">
        <v>26</v>
      </c>
      <c r="D269" t="s">
        <v>23</v>
      </c>
      <c r="E269" t="s">
        <v>20</v>
      </c>
      <c r="F269" t="s">
        <v>21</v>
      </c>
      <c r="G269" t="s">
        <v>22</v>
      </c>
      <c r="H269">
        <v>270.5</v>
      </c>
      <c r="I269">
        <v>243.5</v>
      </c>
      <c r="J269">
        <v>95.9</v>
      </c>
      <c r="K269">
        <v>66</v>
      </c>
      <c r="L269">
        <v>26.9</v>
      </c>
      <c r="M269">
        <v>6</v>
      </c>
      <c r="N269">
        <v>0.20724731143619901</v>
      </c>
      <c r="O269">
        <v>0.385104662763954</v>
      </c>
      <c r="P269" t="str">
        <f t="shared" si="8"/>
        <v>F</v>
      </c>
      <c r="Q269" t="str">
        <f t="shared" si="9"/>
        <v>F</v>
      </c>
    </row>
    <row r="270" spans="1:17" hidden="1" x14ac:dyDescent="0.3">
      <c r="A270">
        <v>4279</v>
      </c>
      <c r="B270">
        <v>2558</v>
      </c>
      <c r="C270">
        <v>176</v>
      </c>
      <c r="D270" t="s">
        <v>23</v>
      </c>
      <c r="E270" t="s">
        <v>20</v>
      </c>
      <c r="F270" t="s">
        <v>17</v>
      </c>
      <c r="G270" t="s">
        <v>26</v>
      </c>
      <c r="H270">
        <v>274.5</v>
      </c>
      <c r="I270">
        <v>261.5</v>
      </c>
      <c r="J270">
        <v>100.7</v>
      </c>
      <c r="K270">
        <v>67</v>
      </c>
      <c r="L270">
        <v>26.6</v>
      </c>
      <c r="M270">
        <v>10</v>
      </c>
      <c r="N270">
        <v>0.12690828688315001</v>
      </c>
      <c r="O270">
        <v>0.391478854545871</v>
      </c>
      <c r="P270" t="str">
        <f t="shared" si="8"/>
        <v>F</v>
      </c>
      <c r="Q270" t="str">
        <f t="shared" si="9"/>
        <v>F</v>
      </c>
    </row>
    <row r="271" spans="1:17" hidden="1" x14ac:dyDescent="0.3">
      <c r="A271">
        <v>4280</v>
      </c>
      <c r="B271">
        <v>2559</v>
      </c>
      <c r="C271">
        <v>66</v>
      </c>
      <c r="D271" t="s">
        <v>23</v>
      </c>
      <c r="E271" t="s">
        <v>20</v>
      </c>
      <c r="F271" t="s">
        <v>21</v>
      </c>
      <c r="G271" t="s">
        <v>26</v>
      </c>
      <c r="H271">
        <v>276.2</v>
      </c>
      <c r="I271">
        <v>258</v>
      </c>
      <c r="J271">
        <v>95.8</v>
      </c>
      <c r="K271">
        <v>63.5</v>
      </c>
      <c r="L271">
        <v>26.4</v>
      </c>
      <c r="M271">
        <v>7</v>
      </c>
      <c r="N271">
        <v>0.169235447660774</v>
      </c>
      <c r="O271">
        <v>0.27098524472204899</v>
      </c>
      <c r="P271" t="str">
        <f t="shared" si="8"/>
        <v>F</v>
      </c>
      <c r="Q271" t="str">
        <f t="shared" si="9"/>
        <v>F</v>
      </c>
    </row>
    <row r="272" spans="1:17" hidden="1" x14ac:dyDescent="0.3">
      <c r="A272">
        <v>4281</v>
      </c>
      <c r="B272">
        <v>2559</v>
      </c>
      <c r="C272">
        <v>66</v>
      </c>
      <c r="D272" t="s">
        <v>23</v>
      </c>
      <c r="E272" t="s">
        <v>20</v>
      </c>
      <c r="F272" t="s">
        <v>21</v>
      </c>
      <c r="G272" t="s">
        <v>26</v>
      </c>
      <c r="H272">
        <v>276.2</v>
      </c>
      <c r="I272">
        <v>258</v>
      </c>
      <c r="J272">
        <v>95.8</v>
      </c>
      <c r="K272">
        <v>63.5</v>
      </c>
      <c r="L272">
        <v>26.4</v>
      </c>
      <c r="M272">
        <v>7</v>
      </c>
      <c r="N272">
        <v>0.183576750603688</v>
      </c>
      <c r="O272">
        <v>0.27765237349948502</v>
      </c>
      <c r="P272" t="str">
        <f t="shared" si="8"/>
        <v>F</v>
      </c>
      <c r="Q272" t="str">
        <f t="shared" si="9"/>
        <v>F</v>
      </c>
    </row>
    <row r="273" spans="1:17" hidden="1" x14ac:dyDescent="0.3">
      <c r="A273">
        <v>4282</v>
      </c>
      <c r="B273">
        <v>2559</v>
      </c>
      <c r="C273">
        <v>66</v>
      </c>
      <c r="D273" t="s">
        <v>23</v>
      </c>
      <c r="E273" t="s">
        <v>20</v>
      </c>
      <c r="F273" t="s">
        <v>21</v>
      </c>
      <c r="G273" t="s">
        <v>26</v>
      </c>
      <c r="H273">
        <v>276.2</v>
      </c>
      <c r="I273">
        <v>258</v>
      </c>
      <c r="J273">
        <v>95.8</v>
      </c>
      <c r="K273">
        <v>63.5</v>
      </c>
      <c r="L273">
        <v>26.4</v>
      </c>
      <c r="M273">
        <v>7</v>
      </c>
      <c r="N273">
        <v>0.1556063746038</v>
      </c>
      <c r="O273">
        <v>0.254560383812583</v>
      </c>
      <c r="P273" t="str">
        <f t="shared" si="8"/>
        <v>F</v>
      </c>
      <c r="Q273" t="str">
        <f t="shared" si="9"/>
        <v>T</v>
      </c>
    </row>
    <row r="274" spans="1:17" hidden="1" x14ac:dyDescent="0.3">
      <c r="A274">
        <v>4325</v>
      </c>
      <c r="B274">
        <v>258</v>
      </c>
      <c r="C274">
        <v>79</v>
      </c>
      <c r="D274" t="s">
        <v>23</v>
      </c>
      <c r="E274" t="s">
        <v>20</v>
      </c>
      <c r="F274" t="s">
        <v>21</v>
      </c>
      <c r="G274" t="s">
        <v>24</v>
      </c>
      <c r="H274">
        <v>276.8</v>
      </c>
      <c r="I274">
        <v>258.5</v>
      </c>
      <c r="J274">
        <v>101.8</v>
      </c>
      <c r="K274">
        <v>65</v>
      </c>
      <c r="L274">
        <v>24.9</v>
      </c>
      <c r="M274">
        <v>11.5</v>
      </c>
      <c r="N274">
        <v>0.16489018409140599</v>
      </c>
      <c r="O274">
        <v>0.21412793200522601</v>
      </c>
      <c r="P274" t="str">
        <f t="shared" si="8"/>
        <v>F</v>
      </c>
      <c r="Q274" t="str">
        <f t="shared" si="9"/>
        <v>T</v>
      </c>
    </row>
    <row r="275" spans="1:17" hidden="1" x14ac:dyDescent="0.3">
      <c r="A275">
        <v>4326</v>
      </c>
      <c r="B275">
        <v>258</v>
      </c>
      <c r="C275">
        <v>79</v>
      </c>
      <c r="D275" t="s">
        <v>23</v>
      </c>
      <c r="E275" t="s">
        <v>20</v>
      </c>
      <c r="F275" t="s">
        <v>21</v>
      </c>
      <c r="G275" t="s">
        <v>24</v>
      </c>
      <c r="H275">
        <v>276.8</v>
      </c>
      <c r="I275">
        <v>258.5</v>
      </c>
      <c r="J275">
        <v>101.8</v>
      </c>
      <c r="K275">
        <v>65</v>
      </c>
      <c r="L275">
        <v>24.9</v>
      </c>
      <c r="M275">
        <v>11.5</v>
      </c>
      <c r="N275">
        <v>0.16228979234813001</v>
      </c>
      <c r="O275">
        <v>0.226612993333656</v>
      </c>
      <c r="P275" t="str">
        <f t="shared" si="8"/>
        <v>F</v>
      </c>
      <c r="Q275" t="str">
        <f t="shared" si="9"/>
        <v>T</v>
      </c>
    </row>
    <row r="276" spans="1:17" x14ac:dyDescent="0.3">
      <c r="A276">
        <v>4329</v>
      </c>
      <c r="B276">
        <v>2582</v>
      </c>
      <c r="C276">
        <v>466</v>
      </c>
      <c r="D276" t="s">
        <v>23</v>
      </c>
      <c r="E276" t="s">
        <v>20</v>
      </c>
      <c r="F276" t="s">
        <v>17</v>
      </c>
      <c r="G276" t="s">
        <v>22</v>
      </c>
      <c r="H276">
        <v>282.10000000000002</v>
      </c>
      <c r="I276">
        <v>257</v>
      </c>
      <c r="J276">
        <v>100.3</v>
      </c>
      <c r="K276">
        <v>68.5</v>
      </c>
      <c r="L276">
        <v>27.5</v>
      </c>
      <c r="M276">
        <v>11</v>
      </c>
      <c r="N276">
        <v>4.6506253762363503E-2</v>
      </c>
      <c r="O276">
        <v>0.25622845143496797</v>
      </c>
      <c r="P276" t="str">
        <f t="shared" si="8"/>
        <v>T</v>
      </c>
      <c r="Q276" t="str">
        <f t="shared" si="9"/>
        <v>T</v>
      </c>
    </row>
    <row r="277" spans="1:17" hidden="1" x14ac:dyDescent="0.3">
      <c r="A277">
        <v>4330</v>
      </c>
      <c r="B277">
        <v>2582</v>
      </c>
      <c r="C277">
        <v>466</v>
      </c>
      <c r="D277" t="s">
        <v>23</v>
      </c>
      <c r="E277" t="s">
        <v>20</v>
      </c>
      <c r="F277" t="s">
        <v>17</v>
      </c>
      <c r="G277" t="s">
        <v>22</v>
      </c>
      <c r="H277">
        <v>282.10000000000002</v>
      </c>
      <c r="I277">
        <v>257</v>
      </c>
      <c r="J277">
        <v>100.3</v>
      </c>
      <c r="K277">
        <v>68.5</v>
      </c>
      <c r="L277">
        <v>27.5</v>
      </c>
      <c r="M277">
        <v>11</v>
      </c>
      <c r="N277">
        <v>4.4140819478087602E-2</v>
      </c>
      <c r="O277">
        <v>0.27336302839662602</v>
      </c>
      <c r="P277" t="str">
        <f t="shared" si="8"/>
        <v>T</v>
      </c>
      <c r="Q277" t="str">
        <f t="shared" si="9"/>
        <v>F</v>
      </c>
    </row>
    <row r="278" spans="1:17" hidden="1" x14ac:dyDescent="0.3">
      <c r="A278">
        <v>4334</v>
      </c>
      <c r="B278">
        <v>2585</v>
      </c>
      <c r="C278">
        <v>267</v>
      </c>
      <c r="D278" t="s">
        <v>23</v>
      </c>
      <c r="E278" t="s">
        <v>20</v>
      </c>
      <c r="F278" t="s">
        <v>21</v>
      </c>
      <c r="G278" t="s">
        <v>25</v>
      </c>
      <c r="H278">
        <v>275.39999999999998</v>
      </c>
      <c r="I278">
        <v>244.5</v>
      </c>
      <c r="J278">
        <v>95.4</v>
      </c>
      <c r="K278">
        <v>67</v>
      </c>
      <c r="L278">
        <v>22.2</v>
      </c>
      <c r="M278">
        <v>9.5</v>
      </c>
      <c r="N278">
        <v>0.24016913800561501</v>
      </c>
      <c r="O278">
        <v>0.21266453466718399</v>
      </c>
      <c r="P278" t="str">
        <f t="shared" si="8"/>
        <v>F</v>
      </c>
      <c r="Q278" t="str">
        <f t="shared" si="9"/>
        <v>T</v>
      </c>
    </row>
    <row r="279" spans="1:17" hidden="1" x14ac:dyDescent="0.3">
      <c r="A279">
        <v>4335</v>
      </c>
      <c r="B279">
        <v>2585</v>
      </c>
      <c r="C279">
        <v>267</v>
      </c>
      <c r="D279" t="s">
        <v>23</v>
      </c>
      <c r="E279" t="s">
        <v>20</v>
      </c>
      <c r="F279" t="s">
        <v>21</v>
      </c>
      <c r="G279" t="s">
        <v>25</v>
      </c>
      <c r="H279">
        <v>275.39999999999998</v>
      </c>
      <c r="I279">
        <v>244.5</v>
      </c>
      <c r="J279">
        <v>95.4</v>
      </c>
      <c r="K279">
        <v>67</v>
      </c>
      <c r="L279">
        <v>22.2</v>
      </c>
      <c r="M279">
        <v>9.5</v>
      </c>
      <c r="N279">
        <v>0.27191825614589399</v>
      </c>
      <c r="O279">
        <v>0.21850212452629</v>
      </c>
      <c r="P279" t="str">
        <f t="shared" si="8"/>
        <v>F</v>
      </c>
      <c r="Q279" t="str">
        <f t="shared" si="9"/>
        <v>T</v>
      </c>
    </row>
    <row r="280" spans="1:17" hidden="1" x14ac:dyDescent="0.3">
      <c r="A280">
        <v>4355</v>
      </c>
      <c r="B280">
        <v>2592</v>
      </c>
      <c r="C280">
        <v>110</v>
      </c>
      <c r="D280" t="s">
        <v>23</v>
      </c>
      <c r="E280" t="s">
        <v>20</v>
      </c>
      <c r="F280" t="s">
        <v>21</v>
      </c>
      <c r="G280" t="s">
        <v>26</v>
      </c>
      <c r="H280">
        <v>271.3</v>
      </c>
      <c r="I280">
        <v>247.5</v>
      </c>
      <c r="J280">
        <v>95</v>
      </c>
      <c r="K280">
        <v>65.5</v>
      </c>
      <c r="L280">
        <v>24.5</v>
      </c>
      <c r="M280">
        <v>8</v>
      </c>
      <c r="N280">
        <v>0.22400074853610999</v>
      </c>
      <c r="O280">
        <v>0.34782654694327397</v>
      </c>
      <c r="P280" t="str">
        <f t="shared" si="8"/>
        <v>F</v>
      </c>
      <c r="Q280" t="str">
        <f t="shared" si="9"/>
        <v>F</v>
      </c>
    </row>
    <row r="281" spans="1:17" hidden="1" x14ac:dyDescent="0.3">
      <c r="A281">
        <v>4356</v>
      </c>
      <c r="B281">
        <v>2592</v>
      </c>
      <c r="C281">
        <v>110</v>
      </c>
      <c r="D281" t="s">
        <v>23</v>
      </c>
      <c r="E281" t="s">
        <v>20</v>
      </c>
      <c r="F281" t="s">
        <v>21</v>
      </c>
      <c r="G281" t="s">
        <v>26</v>
      </c>
      <c r="H281">
        <v>271.3</v>
      </c>
      <c r="I281">
        <v>247.5</v>
      </c>
      <c r="J281">
        <v>95</v>
      </c>
      <c r="K281">
        <v>65.5</v>
      </c>
      <c r="L281">
        <v>24.5</v>
      </c>
      <c r="M281">
        <v>8</v>
      </c>
      <c r="N281">
        <v>0.24441966966907899</v>
      </c>
      <c r="O281">
        <v>0.360651133913726</v>
      </c>
      <c r="P281" t="str">
        <f t="shared" si="8"/>
        <v>F</v>
      </c>
      <c r="Q281" t="str">
        <f t="shared" si="9"/>
        <v>F</v>
      </c>
    </row>
    <row r="282" spans="1:17" hidden="1" x14ac:dyDescent="0.3">
      <c r="A282">
        <v>4357</v>
      </c>
      <c r="B282">
        <v>2592</v>
      </c>
      <c r="C282">
        <v>110</v>
      </c>
      <c r="D282" t="s">
        <v>23</v>
      </c>
      <c r="E282" t="s">
        <v>20</v>
      </c>
      <c r="F282" t="s">
        <v>21</v>
      </c>
      <c r="G282" t="s">
        <v>26</v>
      </c>
      <c r="H282">
        <v>271.3</v>
      </c>
      <c r="I282">
        <v>247.5</v>
      </c>
      <c r="J282">
        <v>95</v>
      </c>
      <c r="K282">
        <v>65.5</v>
      </c>
      <c r="L282">
        <v>24.5</v>
      </c>
      <c r="M282">
        <v>8</v>
      </c>
      <c r="N282">
        <v>0.23990713710434</v>
      </c>
      <c r="O282">
        <v>0.37014752073859197</v>
      </c>
      <c r="P282" t="str">
        <f t="shared" si="8"/>
        <v>F</v>
      </c>
      <c r="Q282" t="str">
        <f t="shared" si="9"/>
        <v>F</v>
      </c>
    </row>
    <row r="283" spans="1:17" hidden="1" x14ac:dyDescent="0.3">
      <c r="A283">
        <v>4407</v>
      </c>
      <c r="B283">
        <v>2607</v>
      </c>
      <c r="C283">
        <v>125</v>
      </c>
      <c r="D283" t="s">
        <v>23</v>
      </c>
      <c r="E283" t="s">
        <v>20</v>
      </c>
      <c r="F283" t="s">
        <v>21</v>
      </c>
      <c r="G283" t="s">
        <v>18</v>
      </c>
      <c r="H283">
        <v>274.39999999999998</v>
      </c>
      <c r="I283">
        <v>240</v>
      </c>
      <c r="J283">
        <v>94.3</v>
      </c>
      <c r="K283">
        <v>68</v>
      </c>
      <c r="L283">
        <v>23.6</v>
      </c>
      <c r="M283">
        <v>11.5</v>
      </c>
      <c r="N283">
        <v>0.223765334904512</v>
      </c>
      <c r="O283">
        <v>0.43897321357209201</v>
      </c>
      <c r="P283" t="str">
        <f t="shared" si="8"/>
        <v>F</v>
      </c>
      <c r="Q283" t="str">
        <f t="shared" si="9"/>
        <v>F</v>
      </c>
    </row>
    <row r="284" spans="1:17" hidden="1" x14ac:dyDescent="0.3">
      <c r="A284">
        <v>4408</v>
      </c>
      <c r="B284">
        <v>2607</v>
      </c>
      <c r="C284">
        <v>125</v>
      </c>
      <c r="D284" t="s">
        <v>23</v>
      </c>
      <c r="E284" t="s">
        <v>20</v>
      </c>
      <c r="F284" t="s">
        <v>21</v>
      </c>
      <c r="G284" t="s">
        <v>18</v>
      </c>
      <c r="H284">
        <v>274.39999999999998</v>
      </c>
      <c r="I284">
        <v>240</v>
      </c>
      <c r="J284">
        <v>94.3</v>
      </c>
      <c r="K284">
        <v>68</v>
      </c>
      <c r="L284">
        <v>23.6</v>
      </c>
      <c r="M284">
        <v>11.5</v>
      </c>
      <c r="N284">
        <v>0.20782474700904299</v>
      </c>
      <c r="O284">
        <v>0.42770200900106697</v>
      </c>
      <c r="P284" t="str">
        <f t="shared" si="8"/>
        <v>F</v>
      </c>
      <c r="Q284" t="str">
        <f t="shared" si="9"/>
        <v>F</v>
      </c>
    </row>
    <row r="285" spans="1:17" hidden="1" x14ac:dyDescent="0.3">
      <c r="A285">
        <v>4409</v>
      </c>
      <c r="B285">
        <v>2607</v>
      </c>
      <c r="C285">
        <v>125</v>
      </c>
      <c r="D285" t="s">
        <v>23</v>
      </c>
      <c r="E285" t="s">
        <v>20</v>
      </c>
      <c r="F285" t="s">
        <v>21</v>
      </c>
      <c r="G285" t="s">
        <v>18</v>
      </c>
      <c r="H285">
        <v>274.39999999999998</v>
      </c>
      <c r="I285">
        <v>240</v>
      </c>
      <c r="J285">
        <v>94.3</v>
      </c>
      <c r="K285">
        <v>68</v>
      </c>
      <c r="L285">
        <v>23.6</v>
      </c>
      <c r="M285">
        <v>11.5</v>
      </c>
      <c r="N285">
        <v>0.2253773899714</v>
      </c>
      <c r="O285">
        <v>0.41336122366130501</v>
      </c>
      <c r="P285" t="str">
        <f t="shared" si="8"/>
        <v>F</v>
      </c>
      <c r="Q285" t="str">
        <f t="shared" si="9"/>
        <v>F</v>
      </c>
    </row>
    <row r="286" spans="1:17" hidden="1" x14ac:dyDescent="0.3">
      <c r="A286">
        <v>4410</v>
      </c>
      <c r="B286">
        <v>2607</v>
      </c>
      <c r="C286">
        <v>125</v>
      </c>
      <c r="D286" t="s">
        <v>23</v>
      </c>
      <c r="E286" t="s">
        <v>20</v>
      </c>
      <c r="F286" t="s">
        <v>21</v>
      </c>
      <c r="G286" t="s">
        <v>18</v>
      </c>
      <c r="H286">
        <v>274.39999999999998</v>
      </c>
      <c r="I286">
        <v>240</v>
      </c>
      <c r="J286">
        <v>94.3</v>
      </c>
      <c r="K286">
        <v>68</v>
      </c>
      <c r="L286">
        <v>23.6</v>
      </c>
      <c r="M286">
        <v>11.5</v>
      </c>
      <c r="N286">
        <v>0.19143165022874101</v>
      </c>
      <c r="O286">
        <v>0.440645324546802</v>
      </c>
      <c r="P286" t="str">
        <f t="shared" si="8"/>
        <v>F</v>
      </c>
      <c r="Q286" t="str">
        <f t="shared" si="9"/>
        <v>F</v>
      </c>
    </row>
    <row r="287" spans="1:17" hidden="1" x14ac:dyDescent="0.3">
      <c r="A287">
        <v>4411</v>
      </c>
      <c r="B287">
        <v>2607</v>
      </c>
      <c r="C287">
        <v>125</v>
      </c>
      <c r="D287" t="s">
        <v>23</v>
      </c>
      <c r="E287" t="s">
        <v>20</v>
      </c>
      <c r="F287" t="s">
        <v>21</v>
      </c>
      <c r="G287" t="s">
        <v>18</v>
      </c>
      <c r="H287">
        <v>274.39999999999998</v>
      </c>
      <c r="I287">
        <v>240</v>
      </c>
      <c r="J287">
        <v>94.3</v>
      </c>
      <c r="K287">
        <v>68</v>
      </c>
      <c r="L287">
        <v>23.6</v>
      </c>
      <c r="M287">
        <v>11.5</v>
      </c>
      <c r="N287">
        <v>0.22008355030071799</v>
      </c>
      <c r="O287">
        <v>0.44164021241649298</v>
      </c>
      <c r="P287" t="str">
        <f t="shared" si="8"/>
        <v>F</v>
      </c>
      <c r="Q287" t="str">
        <f t="shared" si="9"/>
        <v>F</v>
      </c>
    </row>
    <row r="288" spans="1:17" hidden="1" x14ac:dyDescent="0.3">
      <c r="A288">
        <v>4428</v>
      </c>
      <c r="B288">
        <v>2615</v>
      </c>
      <c r="C288">
        <v>497</v>
      </c>
      <c r="D288" t="s">
        <v>23</v>
      </c>
      <c r="E288" t="s">
        <v>20</v>
      </c>
      <c r="F288" t="s">
        <v>17</v>
      </c>
      <c r="G288" t="s">
        <v>26</v>
      </c>
      <c r="H288">
        <v>269.7</v>
      </c>
      <c r="I288">
        <v>245</v>
      </c>
      <c r="J288">
        <v>94</v>
      </c>
      <c r="K288">
        <v>67</v>
      </c>
      <c r="L288">
        <v>24.2</v>
      </c>
      <c r="M288">
        <v>9</v>
      </c>
      <c r="N288">
        <v>0.224906896502194</v>
      </c>
      <c r="O288">
        <v>0.37316404351745502</v>
      </c>
      <c r="P288" t="str">
        <f t="shared" si="8"/>
        <v>F</v>
      </c>
      <c r="Q288" t="str">
        <f t="shared" si="9"/>
        <v>F</v>
      </c>
    </row>
    <row r="289" spans="1:17" hidden="1" x14ac:dyDescent="0.3">
      <c r="A289">
        <v>4429</v>
      </c>
      <c r="B289">
        <v>2615</v>
      </c>
      <c r="C289">
        <v>497</v>
      </c>
      <c r="D289" t="s">
        <v>23</v>
      </c>
      <c r="E289" t="s">
        <v>20</v>
      </c>
      <c r="F289" t="s">
        <v>17</v>
      </c>
      <c r="G289" t="s">
        <v>26</v>
      </c>
      <c r="H289">
        <v>269.7</v>
      </c>
      <c r="I289">
        <v>245</v>
      </c>
      <c r="J289">
        <v>94</v>
      </c>
      <c r="K289">
        <v>67</v>
      </c>
      <c r="L289">
        <v>24.2</v>
      </c>
      <c r="M289">
        <v>9</v>
      </c>
      <c r="N289">
        <v>0.20728939917868</v>
      </c>
      <c r="O289">
        <v>0.37685979667118802</v>
      </c>
      <c r="P289" t="str">
        <f t="shared" si="8"/>
        <v>F</v>
      </c>
      <c r="Q289" t="str">
        <f t="shared" si="9"/>
        <v>F</v>
      </c>
    </row>
    <row r="290" spans="1:17" hidden="1" x14ac:dyDescent="0.3">
      <c r="A290">
        <v>4430</v>
      </c>
      <c r="B290">
        <v>2615</v>
      </c>
      <c r="C290">
        <v>497</v>
      </c>
      <c r="D290" t="s">
        <v>23</v>
      </c>
      <c r="E290" t="s">
        <v>20</v>
      </c>
      <c r="F290" t="s">
        <v>17</v>
      </c>
      <c r="G290" t="s">
        <v>26</v>
      </c>
      <c r="H290">
        <v>269.7</v>
      </c>
      <c r="I290">
        <v>245</v>
      </c>
      <c r="J290">
        <v>94</v>
      </c>
      <c r="K290">
        <v>67</v>
      </c>
      <c r="L290">
        <v>24.2</v>
      </c>
      <c r="M290">
        <v>9</v>
      </c>
      <c r="N290">
        <v>0.19760123658261899</v>
      </c>
      <c r="O290">
        <v>0.38453118968546601</v>
      </c>
      <c r="P290" t="str">
        <f t="shared" si="8"/>
        <v>F</v>
      </c>
      <c r="Q290" t="str">
        <f t="shared" si="9"/>
        <v>F</v>
      </c>
    </row>
    <row r="291" spans="1:17" hidden="1" x14ac:dyDescent="0.3">
      <c r="A291">
        <v>4434</v>
      </c>
      <c r="B291">
        <v>2617</v>
      </c>
      <c r="C291">
        <v>79</v>
      </c>
      <c r="D291" t="s">
        <v>23</v>
      </c>
      <c r="E291" t="s">
        <v>20</v>
      </c>
      <c r="F291" t="s">
        <v>17</v>
      </c>
      <c r="G291" t="s">
        <v>25</v>
      </c>
      <c r="H291">
        <v>276.8</v>
      </c>
      <c r="I291">
        <v>258.5</v>
      </c>
      <c r="J291">
        <v>101.8</v>
      </c>
      <c r="K291">
        <v>65</v>
      </c>
      <c r="L291">
        <v>24.9</v>
      </c>
      <c r="M291">
        <v>11.5</v>
      </c>
      <c r="N291">
        <v>0.17824930091082</v>
      </c>
      <c r="O291">
        <v>0.222756507030753</v>
      </c>
      <c r="P291" t="str">
        <f t="shared" si="8"/>
        <v>F</v>
      </c>
      <c r="Q291" t="str">
        <f t="shared" si="9"/>
        <v>T</v>
      </c>
    </row>
    <row r="292" spans="1:17" hidden="1" x14ac:dyDescent="0.3">
      <c r="A292">
        <v>4435</v>
      </c>
      <c r="B292">
        <v>2617</v>
      </c>
      <c r="C292">
        <v>79</v>
      </c>
      <c r="D292" t="s">
        <v>23</v>
      </c>
      <c r="E292" t="s">
        <v>20</v>
      </c>
      <c r="F292" t="s">
        <v>17</v>
      </c>
      <c r="G292" t="s">
        <v>25</v>
      </c>
      <c r="H292">
        <v>276.8</v>
      </c>
      <c r="I292">
        <v>258.5</v>
      </c>
      <c r="J292">
        <v>101.8</v>
      </c>
      <c r="K292">
        <v>65</v>
      </c>
      <c r="L292">
        <v>24.9</v>
      </c>
      <c r="M292">
        <v>11.5</v>
      </c>
      <c r="N292">
        <v>0.160283313805195</v>
      </c>
      <c r="O292">
        <v>0.203609806872312</v>
      </c>
      <c r="P292" t="str">
        <f t="shared" si="8"/>
        <v>F</v>
      </c>
      <c r="Q292" t="str">
        <f t="shared" si="9"/>
        <v>T</v>
      </c>
    </row>
    <row r="293" spans="1:17" hidden="1" x14ac:dyDescent="0.3">
      <c r="A293">
        <v>4436</v>
      </c>
      <c r="B293">
        <v>2617</v>
      </c>
      <c r="C293">
        <v>79</v>
      </c>
      <c r="D293" t="s">
        <v>23</v>
      </c>
      <c r="E293" t="s">
        <v>20</v>
      </c>
      <c r="F293" t="s">
        <v>17</v>
      </c>
      <c r="G293" t="s">
        <v>25</v>
      </c>
      <c r="H293">
        <v>276.8</v>
      </c>
      <c r="I293">
        <v>258.5</v>
      </c>
      <c r="J293">
        <v>101.8</v>
      </c>
      <c r="K293">
        <v>65</v>
      </c>
      <c r="L293">
        <v>24.9</v>
      </c>
      <c r="M293">
        <v>11.5</v>
      </c>
      <c r="N293">
        <v>0.17762900452314001</v>
      </c>
      <c r="O293">
        <v>0.19695639498844</v>
      </c>
      <c r="P293" t="str">
        <f t="shared" si="8"/>
        <v>F</v>
      </c>
      <c r="Q293" t="str">
        <f t="shared" si="9"/>
        <v>T</v>
      </c>
    </row>
    <row r="294" spans="1:17" hidden="1" x14ac:dyDescent="0.3">
      <c r="A294">
        <v>4454</v>
      </c>
      <c r="B294">
        <v>2625</v>
      </c>
      <c r="C294">
        <v>79</v>
      </c>
      <c r="D294" t="s">
        <v>23</v>
      </c>
      <c r="E294" t="s">
        <v>20</v>
      </c>
      <c r="F294" t="s">
        <v>17</v>
      </c>
      <c r="G294" t="s">
        <v>22</v>
      </c>
      <c r="H294">
        <v>276.8</v>
      </c>
      <c r="I294">
        <v>258.5</v>
      </c>
      <c r="J294">
        <v>101.8</v>
      </c>
      <c r="K294">
        <v>65</v>
      </c>
      <c r="L294">
        <v>24.9</v>
      </c>
      <c r="M294">
        <v>11.5</v>
      </c>
      <c r="N294">
        <v>0.17824914560324501</v>
      </c>
      <c r="O294">
        <v>0.21388290791373801</v>
      </c>
      <c r="P294" t="str">
        <f t="shared" si="8"/>
        <v>F</v>
      </c>
      <c r="Q294" t="str">
        <f t="shared" si="9"/>
        <v>T</v>
      </c>
    </row>
    <row r="295" spans="1:17" hidden="1" x14ac:dyDescent="0.3">
      <c r="A295">
        <v>4455</v>
      </c>
      <c r="B295">
        <v>2625</v>
      </c>
      <c r="C295">
        <v>79</v>
      </c>
      <c r="D295" t="s">
        <v>23</v>
      </c>
      <c r="E295" t="s">
        <v>20</v>
      </c>
      <c r="F295" t="s">
        <v>17</v>
      </c>
      <c r="G295" t="s">
        <v>22</v>
      </c>
      <c r="H295">
        <v>276.8</v>
      </c>
      <c r="I295">
        <v>258.5</v>
      </c>
      <c r="J295">
        <v>101.8</v>
      </c>
      <c r="K295">
        <v>65</v>
      </c>
      <c r="L295">
        <v>24.9</v>
      </c>
      <c r="M295">
        <v>11.5</v>
      </c>
      <c r="N295">
        <v>0.17994190705032201</v>
      </c>
      <c r="O295">
        <v>0.21934678177530101</v>
      </c>
      <c r="P295" t="str">
        <f t="shared" si="8"/>
        <v>F</v>
      </c>
      <c r="Q295" t="str">
        <f t="shared" si="9"/>
        <v>T</v>
      </c>
    </row>
    <row r="296" spans="1:17" hidden="1" x14ac:dyDescent="0.3">
      <c r="A296">
        <v>4456</v>
      </c>
      <c r="B296">
        <v>2625</v>
      </c>
      <c r="C296">
        <v>79</v>
      </c>
      <c r="D296" t="s">
        <v>23</v>
      </c>
      <c r="E296" t="s">
        <v>20</v>
      </c>
      <c r="F296" t="s">
        <v>17</v>
      </c>
      <c r="G296" t="s">
        <v>22</v>
      </c>
      <c r="H296">
        <v>276.8</v>
      </c>
      <c r="I296">
        <v>258.5</v>
      </c>
      <c r="J296">
        <v>101.8</v>
      </c>
      <c r="K296">
        <v>65</v>
      </c>
      <c r="L296">
        <v>24.9</v>
      </c>
      <c r="M296">
        <v>11.5</v>
      </c>
      <c r="N296">
        <v>0.165221128678499</v>
      </c>
      <c r="O296">
        <v>0.21972540102181001</v>
      </c>
      <c r="P296" t="str">
        <f t="shared" si="8"/>
        <v>F</v>
      </c>
      <c r="Q296" t="str">
        <f t="shared" si="9"/>
        <v>T</v>
      </c>
    </row>
    <row r="297" spans="1:17" hidden="1" x14ac:dyDescent="0.3">
      <c r="A297">
        <v>4457</v>
      </c>
      <c r="B297">
        <v>2625</v>
      </c>
      <c r="C297">
        <v>79</v>
      </c>
      <c r="D297" t="s">
        <v>23</v>
      </c>
      <c r="E297" t="s">
        <v>20</v>
      </c>
      <c r="F297" t="s">
        <v>17</v>
      </c>
      <c r="G297" t="s">
        <v>22</v>
      </c>
      <c r="H297">
        <v>276.8</v>
      </c>
      <c r="I297">
        <v>258.5</v>
      </c>
      <c r="J297">
        <v>101.8</v>
      </c>
      <c r="K297">
        <v>65</v>
      </c>
      <c r="L297">
        <v>24.9</v>
      </c>
      <c r="M297">
        <v>11.5</v>
      </c>
      <c r="N297">
        <v>0.18078306209225101</v>
      </c>
      <c r="O297">
        <v>0.19654399466484401</v>
      </c>
      <c r="P297" t="str">
        <f t="shared" si="8"/>
        <v>F</v>
      </c>
      <c r="Q297" t="str">
        <f t="shared" si="9"/>
        <v>T</v>
      </c>
    </row>
    <row r="298" spans="1:17" hidden="1" x14ac:dyDescent="0.3">
      <c r="A298">
        <v>4469</v>
      </c>
      <c r="B298">
        <v>2630</v>
      </c>
      <c r="C298">
        <v>122</v>
      </c>
      <c r="D298" t="s">
        <v>23</v>
      </c>
      <c r="E298" t="s">
        <v>20</v>
      </c>
      <c r="F298" t="s">
        <v>17</v>
      </c>
      <c r="G298" t="s">
        <v>22</v>
      </c>
      <c r="H298">
        <v>276.60000000000002</v>
      </c>
      <c r="I298">
        <v>246.5</v>
      </c>
      <c r="J298">
        <v>96.7</v>
      </c>
      <c r="K298">
        <v>65.5</v>
      </c>
      <c r="L298">
        <v>30.9</v>
      </c>
      <c r="M298">
        <v>8.5</v>
      </c>
      <c r="N298">
        <v>4.4480000554986902E-2</v>
      </c>
      <c r="O298">
        <v>0.31677405649948498</v>
      </c>
      <c r="P298" t="str">
        <f t="shared" si="8"/>
        <v>T</v>
      </c>
      <c r="Q298" t="str">
        <f t="shared" si="9"/>
        <v>F</v>
      </c>
    </row>
    <row r="299" spans="1:17" hidden="1" x14ac:dyDescent="0.3">
      <c r="A299">
        <v>4470</v>
      </c>
      <c r="B299">
        <v>2630</v>
      </c>
      <c r="C299">
        <v>122</v>
      </c>
      <c r="D299" t="s">
        <v>23</v>
      </c>
      <c r="E299" t="s">
        <v>20</v>
      </c>
      <c r="F299" t="s">
        <v>17</v>
      </c>
      <c r="G299" t="s">
        <v>22</v>
      </c>
      <c r="H299">
        <v>276.60000000000002</v>
      </c>
      <c r="I299">
        <v>246.5</v>
      </c>
      <c r="J299">
        <v>96.7</v>
      </c>
      <c r="K299">
        <v>65.5</v>
      </c>
      <c r="L299">
        <v>30.9</v>
      </c>
      <c r="M299">
        <v>8.5</v>
      </c>
      <c r="N299">
        <v>7.2431332892092998E-2</v>
      </c>
      <c r="O299">
        <v>0.313674524904477</v>
      </c>
      <c r="P299" t="str">
        <f t="shared" si="8"/>
        <v>T</v>
      </c>
      <c r="Q299" t="str">
        <f t="shared" si="9"/>
        <v>F</v>
      </c>
    </row>
    <row r="300" spans="1:17" hidden="1" x14ac:dyDescent="0.3">
      <c r="A300">
        <v>4471</v>
      </c>
      <c r="B300">
        <v>2630</v>
      </c>
      <c r="C300">
        <v>122</v>
      </c>
      <c r="D300" t="s">
        <v>23</v>
      </c>
      <c r="E300" t="s">
        <v>20</v>
      </c>
      <c r="F300" t="s">
        <v>17</v>
      </c>
      <c r="G300" t="s">
        <v>22</v>
      </c>
      <c r="H300">
        <v>276.60000000000002</v>
      </c>
      <c r="I300">
        <v>246.5</v>
      </c>
      <c r="J300">
        <v>96.7</v>
      </c>
      <c r="K300">
        <v>65.5</v>
      </c>
      <c r="L300">
        <v>30.9</v>
      </c>
      <c r="M300">
        <v>8.5</v>
      </c>
      <c r="N300">
        <v>7.8511624193903701E-2</v>
      </c>
      <c r="O300">
        <v>0.30634536838830501</v>
      </c>
      <c r="P300" t="str">
        <f t="shared" si="8"/>
        <v>T</v>
      </c>
      <c r="Q300" t="str">
        <f t="shared" si="9"/>
        <v>F</v>
      </c>
    </row>
    <row r="301" spans="1:17" hidden="1" x14ac:dyDescent="0.3">
      <c r="A301">
        <v>4472</v>
      </c>
      <c r="B301">
        <v>2630</v>
      </c>
      <c r="C301">
        <v>122</v>
      </c>
      <c r="D301" t="s">
        <v>23</v>
      </c>
      <c r="E301" t="s">
        <v>20</v>
      </c>
      <c r="F301" t="s">
        <v>17</v>
      </c>
      <c r="G301" t="s">
        <v>22</v>
      </c>
      <c r="H301">
        <v>276.60000000000002</v>
      </c>
      <c r="I301">
        <v>246.5</v>
      </c>
      <c r="J301">
        <v>96.7</v>
      </c>
      <c r="K301">
        <v>65.5</v>
      </c>
      <c r="L301">
        <v>30.9</v>
      </c>
      <c r="M301">
        <v>8.5</v>
      </c>
      <c r="N301">
        <v>7.2489101809115095E-2</v>
      </c>
      <c r="O301">
        <v>0.31203548175685902</v>
      </c>
      <c r="P301" t="str">
        <f t="shared" si="8"/>
        <v>T</v>
      </c>
      <c r="Q301" t="str">
        <f t="shared" si="9"/>
        <v>F</v>
      </c>
    </row>
    <row r="302" spans="1:17" hidden="1" x14ac:dyDescent="0.3">
      <c r="A302">
        <v>4549</v>
      </c>
      <c r="B302">
        <v>2654</v>
      </c>
      <c r="C302">
        <v>79</v>
      </c>
      <c r="D302" t="s">
        <v>23</v>
      </c>
      <c r="E302" t="s">
        <v>20</v>
      </c>
      <c r="F302" t="s">
        <v>21</v>
      </c>
      <c r="G302" t="s">
        <v>25</v>
      </c>
      <c r="H302">
        <v>276.8</v>
      </c>
      <c r="I302">
        <v>258.5</v>
      </c>
      <c r="J302">
        <v>101.8</v>
      </c>
      <c r="K302">
        <v>65</v>
      </c>
      <c r="L302">
        <v>24.9</v>
      </c>
      <c r="M302">
        <v>11.5</v>
      </c>
      <c r="N302">
        <v>0.155361742679273</v>
      </c>
      <c r="O302">
        <v>0.200197938385661</v>
      </c>
      <c r="P302" t="str">
        <f t="shared" si="8"/>
        <v>F</v>
      </c>
      <c r="Q302" t="str">
        <f t="shared" si="9"/>
        <v>T</v>
      </c>
    </row>
    <row r="303" spans="1:17" hidden="1" x14ac:dyDescent="0.3">
      <c r="A303">
        <v>4570</v>
      </c>
      <c r="B303">
        <v>2663</v>
      </c>
      <c r="C303">
        <v>196</v>
      </c>
      <c r="D303" t="s">
        <v>23</v>
      </c>
      <c r="E303" t="s">
        <v>20</v>
      </c>
      <c r="F303" t="s">
        <v>17</v>
      </c>
      <c r="G303" t="s">
        <v>24</v>
      </c>
      <c r="H303">
        <v>274.10000000000002</v>
      </c>
      <c r="I303">
        <v>257</v>
      </c>
      <c r="J303">
        <v>95.4</v>
      </c>
      <c r="K303">
        <v>68</v>
      </c>
      <c r="L303">
        <v>30.7</v>
      </c>
      <c r="M303">
        <v>10.5</v>
      </c>
      <c r="N303">
        <v>1.3715793779039099E-2</v>
      </c>
      <c r="O303">
        <v>0.33197748521922799</v>
      </c>
      <c r="P303" t="str">
        <f t="shared" si="8"/>
        <v>T</v>
      </c>
      <c r="Q303" t="str">
        <f t="shared" si="9"/>
        <v>F</v>
      </c>
    </row>
    <row r="304" spans="1:17" hidden="1" x14ac:dyDescent="0.3">
      <c r="A304">
        <v>4580</v>
      </c>
      <c r="B304">
        <v>2667</v>
      </c>
      <c r="C304">
        <v>351</v>
      </c>
      <c r="D304" t="s">
        <v>23</v>
      </c>
      <c r="E304" t="s">
        <v>20</v>
      </c>
      <c r="F304" t="s">
        <v>21</v>
      </c>
      <c r="G304" t="s">
        <v>25</v>
      </c>
      <c r="H304">
        <v>277.60000000000002</v>
      </c>
      <c r="I304">
        <v>246.5</v>
      </c>
      <c r="J304">
        <v>93.9</v>
      </c>
      <c r="K304">
        <v>67.5</v>
      </c>
      <c r="L304">
        <v>27.5</v>
      </c>
      <c r="M304">
        <v>8</v>
      </c>
      <c r="N304">
        <v>0.17931914959991199</v>
      </c>
      <c r="O304">
        <v>0.31153452787375002</v>
      </c>
      <c r="P304" t="str">
        <f t="shared" si="8"/>
        <v>F</v>
      </c>
      <c r="Q304" t="str">
        <f t="shared" si="9"/>
        <v>F</v>
      </c>
    </row>
    <row r="305" spans="1:17" hidden="1" x14ac:dyDescent="0.3">
      <c r="A305">
        <v>4581</v>
      </c>
      <c r="B305">
        <v>2667</v>
      </c>
      <c r="C305">
        <v>351</v>
      </c>
      <c r="D305" t="s">
        <v>23</v>
      </c>
      <c r="E305" t="s">
        <v>20</v>
      </c>
      <c r="F305" t="s">
        <v>21</v>
      </c>
      <c r="G305" t="s">
        <v>25</v>
      </c>
      <c r="H305">
        <v>277.60000000000002</v>
      </c>
      <c r="I305">
        <v>246.5</v>
      </c>
      <c r="J305">
        <v>93.9</v>
      </c>
      <c r="K305">
        <v>67.5</v>
      </c>
      <c r="L305">
        <v>27.5</v>
      </c>
      <c r="M305">
        <v>8</v>
      </c>
      <c r="N305">
        <v>0.14978411603914299</v>
      </c>
      <c r="O305">
        <v>0.306112250190542</v>
      </c>
      <c r="P305" t="str">
        <f t="shared" si="8"/>
        <v>F</v>
      </c>
      <c r="Q305" t="str">
        <f t="shared" si="9"/>
        <v>F</v>
      </c>
    </row>
    <row r="306" spans="1:17" hidden="1" x14ac:dyDescent="0.3">
      <c r="A306">
        <v>4582</v>
      </c>
      <c r="B306">
        <v>2667</v>
      </c>
      <c r="C306">
        <v>351</v>
      </c>
      <c r="D306" t="s">
        <v>23</v>
      </c>
      <c r="E306" t="s">
        <v>20</v>
      </c>
      <c r="F306" t="s">
        <v>21</v>
      </c>
      <c r="G306" t="s">
        <v>25</v>
      </c>
      <c r="H306">
        <v>277.60000000000002</v>
      </c>
      <c r="I306">
        <v>246.5</v>
      </c>
      <c r="J306">
        <v>93.9</v>
      </c>
      <c r="K306">
        <v>67.5</v>
      </c>
      <c r="L306">
        <v>27.5</v>
      </c>
      <c r="M306">
        <v>8</v>
      </c>
      <c r="N306">
        <v>0.18593825541265299</v>
      </c>
      <c r="O306">
        <v>0.306350563195045</v>
      </c>
      <c r="P306" t="str">
        <f t="shared" si="8"/>
        <v>F</v>
      </c>
      <c r="Q306" t="str">
        <f t="shared" si="9"/>
        <v>F</v>
      </c>
    </row>
    <row r="307" spans="1:17" hidden="1" x14ac:dyDescent="0.3">
      <c r="A307">
        <v>4583</v>
      </c>
      <c r="B307">
        <v>2667</v>
      </c>
      <c r="C307">
        <v>351</v>
      </c>
      <c r="D307" t="s">
        <v>23</v>
      </c>
      <c r="E307" t="s">
        <v>20</v>
      </c>
      <c r="F307" t="s">
        <v>21</v>
      </c>
      <c r="G307" t="s">
        <v>25</v>
      </c>
      <c r="H307">
        <v>277.60000000000002</v>
      </c>
      <c r="I307">
        <v>246.5</v>
      </c>
      <c r="J307">
        <v>93.9</v>
      </c>
      <c r="K307">
        <v>67.5</v>
      </c>
      <c r="L307">
        <v>27.5</v>
      </c>
      <c r="M307">
        <v>8</v>
      </c>
      <c r="N307">
        <v>0.175270742728104</v>
      </c>
      <c r="O307">
        <v>0.31172564119604401</v>
      </c>
      <c r="P307" t="str">
        <f t="shared" si="8"/>
        <v>F</v>
      </c>
      <c r="Q307" t="str">
        <f t="shared" si="9"/>
        <v>F</v>
      </c>
    </row>
    <row r="308" spans="1:17" hidden="1" x14ac:dyDescent="0.3">
      <c r="A308">
        <v>4614</v>
      </c>
      <c r="B308">
        <v>2678</v>
      </c>
      <c r="C308">
        <v>66</v>
      </c>
      <c r="D308" t="s">
        <v>23</v>
      </c>
      <c r="E308" t="s">
        <v>20</v>
      </c>
      <c r="F308" t="s">
        <v>21</v>
      </c>
      <c r="G308" t="s">
        <v>18</v>
      </c>
      <c r="H308">
        <v>276.2</v>
      </c>
      <c r="I308">
        <v>258</v>
      </c>
      <c r="J308">
        <v>95.8</v>
      </c>
      <c r="K308">
        <v>63.5</v>
      </c>
      <c r="L308">
        <v>26.4</v>
      </c>
      <c r="M308">
        <v>7</v>
      </c>
      <c r="N308">
        <v>0.18550982422751899</v>
      </c>
      <c r="O308">
        <v>0.27288487843146297</v>
      </c>
      <c r="P308" t="str">
        <f t="shared" si="8"/>
        <v>F</v>
      </c>
      <c r="Q308" t="str">
        <f t="shared" si="9"/>
        <v>F</v>
      </c>
    </row>
    <row r="309" spans="1:17" hidden="1" x14ac:dyDescent="0.3">
      <c r="A309">
        <v>4615</v>
      </c>
      <c r="B309">
        <v>2678</v>
      </c>
      <c r="C309">
        <v>66</v>
      </c>
      <c r="D309" t="s">
        <v>23</v>
      </c>
      <c r="E309" t="s">
        <v>20</v>
      </c>
      <c r="F309" t="s">
        <v>21</v>
      </c>
      <c r="G309" t="s">
        <v>18</v>
      </c>
      <c r="H309">
        <v>276.2</v>
      </c>
      <c r="I309">
        <v>258</v>
      </c>
      <c r="J309">
        <v>95.8</v>
      </c>
      <c r="K309">
        <v>63.5</v>
      </c>
      <c r="L309">
        <v>26.4</v>
      </c>
      <c r="M309">
        <v>7</v>
      </c>
      <c r="N309">
        <v>0.16040378248204501</v>
      </c>
      <c r="O309">
        <v>0.25732535652855798</v>
      </c>
      <c r="P309" t="str">
        <f t="shared" si="8"/>
        <v>F</v>
      </c>
      <c r="Q309" t="str">
        <f t="shared" si="9"/>
        <v>T</v>
      </c>
    </row>
    <row r="310" spans="1:17" hidden="1" x14ac:dyDescent="0.3">
      <c r="A310">
        <v>4616</v>
      </c>
      <c r="B310">
        <v>2679</v>
      </c>
      <c r="C310">
        <v>80</v>
      </c>
      <c r="D310" t="s">
        <v>23</v>
      </c>
      <c r="E310" t="s">
        <v>20</v>
      </c>
      <c r="F310" t="s">
        <v>21</v>
      </c>
      <c r="G310" t="s">
        <v>26</v>
      </c>
      <c r="H310">
        <v>279</v>
      </c>
      <c r="I310">
        <v>254</v>
      </c>
      <c r="J310">
        <v>97.1</v>
      </c>
      <c r="K310">
        <v>67</v>
      </c>
      <c r="L310">
        <v>24.6</v>
      </c>
      <c r="M310">
        <v>7</v>
      </c>
      <c r="N310">
        <v>0.20653209537761399</v>
      </c>
      <c r="O310">
        <v>0.35259390872926</v>
      </c>
      <c r="P310" t="str">
        <f t="shared" si="8"/>
        <v>F</v>
      </c>
      <c r="Q310" t="str">
        <f t="shared" si="9"/>
        <v>F</v>
      </c>
    </row>
    <row r="311" spans="1:17" hidden="1" x14ac:dyDescent="0.3">
      <c r="A311">
        <v>4617</v>
      </c>
      <c r="B311">
        <v>2679</v>
      </c>
      <c r="C311">
        <v>80</v>
      </c>
      <c r="D311" t="s">
        <v>23</v>
      </c>
      <c r="E311" t="s">
        <v>20</v>
      </c>
      <c r="F311" t="s">
        <v>21</v>
      </c>
      <c r="G311" t="s">
        <v>26</v>
      </c>
      <c r="H311">
        <v>279</v>
      </c>
      <c r="I311">
        <v>254</v>
      </c>
      <c r="J311">
        <v>97.1</v>
      </c>
      <c r="K311">
        <v>67</v>
      </c>
      <c r="L311">
        <v>24.6</v>
      </c>
      <c r="M311">
        <v>7</v>
      </c>
      <c r="N311">
        <v>0.20360572945987301</v>
      </c>
      <c r="O311">
        <v>0.34764717049884603</v>
      </c>
      <c r="P311" t="str">
        <f t="shared" si="8"/>
        <v>F</v>
      </c>
      <c r="Q311" t="str">
        <f t="shared" si="9"/>
        <v>F</v>
      </c>
    </row>
    <row r="312" spans="1:17" hidden="1" x14ac:dyDescent="0.3">
      <c r="A312">
        <v>4656</v>
      </c>
      <c r="B312">
        <v>2693</v>
      </c>
      <c r="C312">
        <v>355</v>
      </c>
      <c r="D312" t="s">
        <v>23</v>
      </c>
      <c r="E312" t="s">
        <v>20</v>
      </c>
      <c r="F312" t="s">
        <v>21</v>
      </c>
      <c r="G312" t="s">
        <v>22</v>
      </c>
      <c r="H312">
        <v>277.7</v>
      </c>
      <c r="I312">
        <v>250</v>
      </c>
      <c r="J312">
        <v>99.3</v>
      </c>
      <c r="K312">
        <v>65</v>
      </c>
      <c r="L312">
        <v>25.4</v>
      </c>
      <c r="M312">
        <v>11.5</v>
      </c>
      <c r="N312">
        <v>0.135983450761508</v>
      </c>
      <c r="O312">
        <v>0.31661478923132103</v>
      </c>
      <c r="P312" t="str">
        <f t="shared" si="8"/>
        <v>F</v>
      </c>
      <c r="Q312" t="str">
        <f t="shared" si="9"/>
        <v>F</v>
      </c>
    </row>
    <row r="313" spans="1:17" hidden="1" x14ac:dyDescent="0.3">
      <c r="A313">
        <v>4657</v>
      </c>
      <c r="B313">
        <v>2693</v>
      </c>
      <c r="C313">
        <v>355</v>
      </c>
      <c r="D313" t="s">
        <v>23</v>
      </c>
      <c r="E313" t="s">
        <v>20</v>
      </c>
      <c r="F313" t="s">
        <v>21</v>
      </c>
      <c r="G313" t="s">
        <v>22</v>
      </c>
      <c r="H313">
        <v>277.7</v>
      </c>
      <c r="I313">
        <v>250</v>
      </c>
      <c r="J313">
        <v>99.3</v>
      </c>
      <c r="K313">
        <v>65</v>
      </c>
      <c r="L313">
        <v>25.4</v>
      </c>
      <c r="M313">
        <v>11.5</v>
      </c>
      <c r="N313">
        <v>0.12519005283573501</v>
      </c>
      <c r="O313">
        <v>0.30190561501790297</v>
      </c>
      <c r="P313" t="str">
        <f t="shared" si="8"/>
        <v>F</v>
      </c>
      <c r="Q313" t="str">
        <f t="shared" si="9"/>
        <v>F</v>
      </c>
    </row>
    <row r="314" spans="1:17" hidden="1" x14ac:dyDescent="0.3">
      <c r="A314">
        <v>4658</v>
      </c>
      <c r="B314">
        <v>2693</v>
      </c>
      <c r="C314">
        <v>355</v>
      </c>
      <c r="D314" t="s">
        <v>23</v>
      </c>
      <c r="E314" t="s">
        <v>20</v>
      </c>
      <c r="F314" t="s">
        <v>21</v>
      </c>
      <c r="G314" t="s">
        <v>22</v>
      </c>
      <c r="H314">
        <v>277.7</v>
      </c>
      <c r="I314">
        <v>250</v>
      </c>
      <c r="J314">
        <v>99.3</v>
      </c>
      <c r="K314">
        <v>65</v>
      </c>
      <c r="L314">
        <v>25.4</v>
      </c>
      <c r="M314">
        <v>11.5</v>
      </c>
      <c r="N314">
        <v>0.13727691626241201</v>
      </c>
      <c r="O314">
        <v>0.31795064288314101</v>
      </c>
      <c r="P314" t="str">
        <f t="shared" si="8"/>
        <v>F</v>
      </c>
      <c r="Q314" t="str">
        <f t="shared" si="9"/>
        <v>F</v>
      </c>
    </row>
    <row r="315" spans="1:17" hidden="1" x14ac:dyDescent="0.3">
      <c r="A315">
        <v>4681</v>
      </c>
      <c r="B315">
        <v>2704</v>
      </c>
      <c r="C315">
        <v>176</v>
      </c>
      <c r="D315" t="s">
        <v>23</v>
      </c>
      <c r="E315" t="s">
        <v>20</v>
      </c>
      <c r="F315" t="s">
        <v>21</v>
      </c>
      <c r="G315" t="s">
        <v>26</v>
      </c>
      <c r="H315">
        <v>274.5</v>
      </c>
      <c r="I315">
        <v>261.5</v>
      </c>
      <c r="J315">
        <v>100.7</v>
      </c>
      <c r="K315">
        <v>67</v>
      </c>
      <c r="L315">
        <v>26.6</v>
      </c>
      <c r="M315">
        <v>10</v>
      </c>
      <c r="N315">
        <v>0.142216989834337</v>
      </c>
      <c r="O315">
        <v>0.425121370309959</v>
      </c>
      <c r="P315" t="str">
        <f t="shared" si="8"/>
        <v>F</v>
      </c>
      <c r="Q315" t="str">
        <f t="shared" si="9"/>
        <v>F</v>
      </c>
    </row>
    <row r="316" spans="1:17" hidden="1" x14ac:dyDescent="0.3">
      <c r="A316">
        <v>4682</v>
      </c>
      <c r="B316">
        <v>2704</v>
      </c>
      <c r="C316">
        <v>176</v>
      </c>
      <c r="D316" t="s">
        <v>23</v>
      </c>
      <c r="E316" t="s">
        <v>20</v>
      </c>
      <c r="F316" t="s">
        <v>21</v>
      </c>
      <c r="G316" t="s">
        <v>26</v>
      </c>
      <c r="H316">
        <v>274.5</v>
      </c>
      <c r="I316">
        <v>261.5</v>
      </c>
      <c r="J316">
        <v>100.7</v>
      </c>
      <c r="K316">
        <v>67</v>
      </c>
      <c r="L316">
        <v>26.6</v>
      </c>
      <c r="M316">
        <v>10</v>
      </c>
      <c r="N316">
        <v>0.13018495968871299</v>
      </c>
      <c r="O316">
        <v>0.41332373104131398</v>
      </c>
      <c r="P316" t="str">
        <f t="shared" si="8"/>
        <v>F</v>
      </c>
      <c r="Q316" t="str">
        <f t="shared" si="9"/>
        <v>F</v>
      </c>
    </row>
    <row r="317" spans="1:17" hidden="1" x14ac:dyDescent="0.3">
      <c r="A317">
        <v>4752</v>
      </c>
      <c r="B317">
        <v>2734</v>
      </c>
      <c r="C317">
        <v>497</v>
      </c>
      <c r="D317" t="s">
        <v>23</v>
      </c>
      <c r="E317" t="s">
        <v>20</v>
      </c>
      <c r="F317" t="s">
        <v>17</v>
      </c>
      <c r="G317" t="s">
        <v>24</v>
      </c>
      <c r="H317">
        <v>269.7</v>
      </c>
      <c r="I317">
        <v>245</v>
      </c>
      <c r="J317">
        <v>94</v>
      </c>
      <c r="K317">
        <v>67</v>
      </c>
      <c r="L317">
        <v>24.2</v>
      </c>
      <c r="M317">
        <v>9</v>
      </c>
      <c r="N317">
        <v>0.228932638729551</v>
      </c>
      <c r="O317">
        <v>0.386726446381567</v>
      </c>
      <c r="P317" t="str">
        <f t="shared" si="8"/>
        <v>F</v>
      </c>
      <c r="Q317" t="str">
        <f t="shared" si="9"/>
        <v>F</v>
      </c>
    </row>
    <row r="318" spans="1:17" hidden="1" x14ac:dyDescent="0.3">
      <c r="A318">
        <v>4753</v>
      </c>
      <c r="B318">
        <v>2734</v>
      </c>
      <c r="C318">
        <v>497</v>
      </c>
      <c r="D318" t="s">
        <v>23</v>
      </c>
      <c r="E318" t="s">
        <v>20</v>
      </c>
      <c r="F318" t="s">
        <v>17</v>
      </c>
      <c r="G318" t="s">
        <v>24</v>
      </c>
      <c r="H318">
        <v>269.7</v>
      </c>
      <c r="I318">
        <v>245</v>
      </c>
      <c r="J318">
        <v>94</v>
      </c>
      <c r="K318">
        <v>67</v>
      </c>
      <c r="L318">
        <v>24.2</v>
      </c>
      <c r="M318">
        <v>9</v>
      </c>
      <c r="N318">
        <v>0.21979008397476499</v>
      </c>
      <c r="O318">
        <v>0.36712826152181899</v>
      </c>
      <c r="P318" t="str">
        <f t="shared" si="8"/>
        <v>F</v>
      </c>
      <c r="Q318" t="str">
        <f t="shared" si="9"/>
        <v>F</v>
      </c>
    </row>
    <row r="319" spans="1:17" hidden="1" x14ac:dyDescent="0.3">
      <c r="A319">
        <v>4780</v>
      </c>
      <c r="B319">
        <v>2747</v>
      </c>
      <c r="C319">
        <v>226</v>
      </c>
      <c r="D319" t="s">
        <v>23</v>
      </c>
      <c r="E319" t="s">
        <v>20</v>
      </c>
      <c r="F319" t="s">
        <v>17</v>
      </c>
      <c r="G319" t="s">
        <v>18</v>
      </c>
      <c r="H319">
        <v>279.10000000000002</v>
      </c>
      <c r="I319">
        <v>257.5</v>
      </c>
      <c r="J319">
        <v>97.9</v>
      </c>
      <c r="K319">
        <v>68</v>
      </c>
      <c r="L319">
        <v>27.6</v>
      </c>
      <c r="M319">
        <v>2.5</v>
      </c>
      <c r="N319">
        <v>0.15084362256334199</v>
      </c>
      <c r="O319">
        <v>0.20290197545649599</v>
      </c>
      <c r="P319" t="str">
        <f t="shared" si="8"/>
        <v>F</v>
      </c>
      <c r="Q319" t="str">
        <f t="shared" si="9"/>
        <v>T</v>
      </c>
    </row>
    <row r="320" spans="1:17" hidden="1" x14ac:dyDescent="0.3">
      <c r="A320">
        <v>4781</v>
      </c>
      <c r="B320">
        <v>2747</v>
      </c>
      <c r="C320">
        <v>226</v>
      </c>
      <c r="D320" t="s">
        <v>23</v>
      </c>
      <c r="E320" t="s">
        <v>20</v>
      </c>
      <c r="F320" t="s">
        <v>17</v>
      </c>
      <c r="G320" t="s">
        <v>18</v>
      </c>
      <c r="H320">
        <v>279.10000000000002</v>
      </c>
      <c r="I320">
        <v>257.5</v>
      </c>
      <c r="J320">
        <v>97.9</v>
      </c>
      <c r="K320">
        <v>68</v>
      </c>
      <c r="L320">
        <v>27.6</v>
      </c>
      <c r="M320">
        <v>2.5</v>
      </c>
      <c r="N320">
        <v>0.15266337465747501</v>
      </c>
      <c r="O320">
        <v>0.201402344467351</v>
      </c>
      <c r="P320" t="str">
        <f t="shared" si="8"/>
        <v>F</v>
      </c>
      <c r="Q320" t="str">
        <f t="shared" si="9"/>
        <v>T</v>
      </c>
    </row>
    <row r="321" spans="1:17" hidden="1" x14ac:dyDescent="0.3">
      <c r="A321">
        <v>4782</v>
      </c>
      <c r="B321">
        <v>2747</v>
      </c>
      <c r="C321">
        <v>226</v>
      </c>
      <c r="D321" t="s">
        <v>23</v>
      </c>
      <c r="E321" t="s">
        <v>20</v>
      </c>
      <c r="F321" t="s">
        <v>17</v>
      </c>
      <c r="G321" t="s">
        <v>18</v>
      </c>
      <c r="H321">
        <v>279.10000000000002</v>
      </c>
      <c r="I321">
        <v>257.5</v>
      </c>
      <c r="J321">
        <v>97.9</v>
      </c>
      <c r="K321">
        <v>68</v>
      </c>
      <c r="L321">
        <v>27.6</v>
      </c>
      <c r="M321">
        <v>2.5</v>
      </c>
      <c r="N321">
        <v>0.163093907388906</v>
      </c>
      <c r="O321">
        <v>0.19653171798070099</v>
      </c>
      <c r="P321" t="str">
        <f t="shared" si="8"/>
        <v>F</v>
      </c>
      <c r="Q321" t="str">
        <f t="shared" si="9"/>
        <v>T</v>
      </c>
    </row>
    <row r="322" spans="1:17" hidden="1" x14ac:dyDescent="0.3">
      <c r="A322">
        <v>4783</v>
      </c>
      <c r="B322">
        <v>2747</v>
      </c>
      <c r="C322">
        <v>226</v>
      </c>
      <c r="D322" t="s">
        <v>23</v>
      </c>
      <c r="E322" t="s">
        <v>20</v>
      </c>
      <c r="F322" t="s">
        <v>17</v>
      </c>
      <c r="G322" t="s">
        <v>18</v>
      </c>
      <c r="H322">
        <v>279.10000000000002</v>
      </c>
      <c r="I322">
        <v>257.5</v>
      </c>
      <c r="J322">
        <v>97.9</v>
      </c>
      <c r="K322">
        <v>68</v>
      </c>
      <c r="L322">
        <v>27.6</v>
      </c>
      <c r="M322">
        <v>2.5</v>
      </c>
      <c r="N322">
        <v>0.15003583927967201</v>
      </c>
      <c r="O322">
        <v>0.205148396855236</v>
      </c>
      <c r="P322" t="str">
        <f t="shared" ref="P322:P385" si="10">IF(N322&lt;0.100978, "T", "F")</f>
        <v>F</v>
      </c>
      <c r="Q322" t="str">
        <f t="shared" ref="Q322:Q385" si="11">IF(O322&lt;0.268491, "T", "F")</f>
        <v>T</v>
      </c>
    </row>
    <row r="323" spans="1:17" hidden="1" x14ac:dyDescent="0.3">
      <c r="A323">
        <v>4847</v>
      </c>
      <c r="B323">
        <v>2765</v>
      </c>
      <c r="C323">
        <v>395</v>
      </c>
      <c r="D323" t="s">
        <v>23</v>
      </c>
      <c r="E323" t="s">
        <v>20</v>
      </c>
      <c r="F323" t="s">
        <v>21</v>
      </c>
      <c r="G323" t="s">
        <v>24</v>
      </c>
      <c r="H323">
        <v>273.60000000000002</v>
      </c>
      <c r="I323">
        <v>247</v>
      </c>
      <c r="J323">
        <v>94</v>
      </c>
      <c r="K323">
        <v>68</v>
      </c>
      <c r="L323">
        <v>26.7</v>
      </c>
      <c r="M323">
        <v>7.5</v>
      </c>
      <c r="N323">
        <v>0.178250894449418</v>
      </c>
      <c r="O323">
        <v>0.36596342144473298</v>
      </c>
      <c r="P323" t="str">
        <f t="shared" si="10"/>
        <v>F</v>
      </c>
      <c r="Q323" t="str">
        <f t="shared" si="11"/>
        <v>F</v>
      </c>
    </row>
    <row r="324" spans="1:17" hidden="1" x14ac:dyDescent="0.3">
      <c r="A324">
        <v>4848</v>
      </c>
      <c r="B324">
        <v>2765</v>
      </c>
      <c r="C324">
        <v>395</v>
      </c>
      <c r="D324" t="s">
        <v>23</v>
      </c>
      <c r="E324" t="s">
        <v>20</v>
      </c>
      <c r="F324" t="s">
        <v>21</v>
      </c>
      <c r="G324" t="s">
        <v>24</v>
      </c>
      <c r="H324">
        <v>273.60000000000002</v>
      </c>
      <c r="I324">
        <v>247</v>
      </c>
      <c r="J324">
        <v>94</v>
      </c>
      <c r="K324">
        <v>68</v>
      </c>
      <c r="L324">
        <v>26.7</v>
      </c>
      <c r="M324">
        <v>7.5</v>
      </c>
      <c r="N324">
        <v>0.15706525535572699</v>
      </c>
      <c r="O324">
        <v>0.34883404581621602</v>
      </c>
      <c r="P324" t="str">
        <f t="shared" si="10"/>
        <v>F</v>
      </c>
      <c r="Q324" t="str">
        <f t="shared" si="11"/>
        <v>F</v>
      </c>
    </row>
    <row r="325" spans="1:17" hidden="1" x14ac:dyDescent="0.3">
      <c r="A325">
        <v>4849</v>
      </c>
      <c r="B325">
        <v>2765</v>
      </c>
      <c r="C325">
        <v>395</v>
      </c>
      <c r="D325" t="s">
        <v>23</v>
      </c>
      <c r="E325" t="s">
        <v>20</v>
      </c>
      <c r="F325" t="s">
        <v>21</v>
      </c>
      <c r="G325" t="s">
        <v>24</v>
      </c>
      <c r="H325">
        <v>273.60000000000002</v>
      </c>
      <c r="I325">
        <v>247</v>
      </c>
      <c r="J325">
        <v>94</v>
      </c>
      <c r="K325">
        <v>68</v>
      </c>
      <c r="L325">
        <v>26.7</v>
      </c>
      <c r="M325">
        <v>7.5</v>
      </c>
      <c r="N325">
        <v>0.18717712391334501</v>
      </c>
      <c r="O325">
        <v>0.35732497862437701</v>
      </c>
      <c r="P325" t="str">
        <f t="shared" si="10"/>
        <v>F</v>
      </c>
      <c r="Q325" t="str">
        <f t="shared" si="11"/>
        <v>F</v>
      </c>
    </row>
    <row r="326" spans="1:17" hidden="1" x14ac:dyDescent="0.3">
      <c r="A326">
        <v>4850</v>
      </c>
      <c r="B326">
        <v>2765</v>
      </c>
      <c r="C326">
        <v>395</v>
      </c>
      <c r="D326" t="s">
        <v>23</v>
      </c>
      <c r="E326" t="s">
        <v>20</v>
      </c>
      <c r="F326" t="s">
        <v>21</v>
      </c>
      <c r="G326" t="s">
        <v>24</v>
      </c>
      <c r="H326">
        <v>273.60000000000002</v>
      </c>
      <c r="I326">
        <v>247</v>
      </c>
      <c r="J326">
        <v>94</v>
      </c>
      <c r="K326">
        <v>68</v>
      </c>
      <c r="L326">
        <v>26.7</v>
      </c>
      <c r="M326">
        <v>7.5</v>
      </c>
      <c r="N326">
        <v>0.16867191211152099</v>
      </c>
      <c r="O326">
        <v>0.361788234804997</v>
      </c>
      <c r="P326" t="str">
        <f t="shared" si="10"/>
        <v>F</v>
      </c>
      <c r="Q326" t="str">
        <f t="shared" si="11"/>
        <v>F</v>
      </c>
    </row>
    <row r="327" spans="1:17" hidden="1" x14ac:dyDescent="0.3">
      <c r="A327">
        <v>4927</v>
      </c>
      <c r="B327">
        <v>2797</v>
      </c>
      <c r="C327">
        <v>98</v>
      </c>
      <c r="D327" t="s">
        <v>23</v>
      </c>
      <c r="E327" t="s">
        <v>20</v>
      </c>
      <c r="F327" t="s">
        <v>17</v>
      </c>
      <c r="G327" t="s">
        <v>22</v>
      </c>
      <c r="H327">
        <v>276.60000000000002</v>
      </c>
      <c r="I327">
        <v>257.5</v>
      </c>
      <c r="J327">
        <v>95.2</v>
      </c>
      <c r="K327">
        <v>67.5</v>
      </c>
      <c r="L327">
        <v>24.1</v>
      </c>
      <c r="M327">
        <v>9.5</v>
      </c>
      <c r="N327">
        <v>0.17967746946072599</v>
      </c>
      <c r="O327">
        <v>0.37000544256258999</v>
      </c>
      <c r="P327" t="str">
        <f t="shared" si="10"/>
        <v>F</v>
      </c>
      <c r="Q327" t="str">
        <f t="shared" si="11"/>
        <v>F</v>
      </c>
    </row>
    <row r="328" spans="1:17" hidden="1" x14ac:dyDescent="0.3">
      <c r="A328">
        <v>4928</v>
      </c>
      <c r="B328">
        <v>2797</v>
      </c>
      <c r="C328">
        <v>98</v>
      </c>
      <c r="D328" t="s">
        <v>23</v>
      </c>
      <c r="E328" t="s">
        <v>20</v>
      </c>
      <c r="F328" t="s">
        <v>17</v>
      </c>
      <c r="G328" t="s">
        <v>22</v>
      </c>
      <c r="H328">
        <v>276.60000000000002</v>
      </c>
      <c r="I328">
        <v>257.5</v>
      </c>
      <c r="J328">
        <v>95.2</v>
      </c>
      <c r="K328">
        <v>67.5</v>
      </c>
      <c r="L328">
        <v>24.1</v>
      </c>
      <c r="M328">
        <v>9.5</v>
      </c>
      <c r="N328">
        <v>0.18148566249574899</v>
      </c>
      <c r="O328">
        <v>0.36867369289368501</v>
      </c>
      <c r="P328" t="str">
        <f t="shared" si="10"/>
        <v>F</v>
      </c>
      <c r="Q328" t="str">
        <f t="shared" si="11"/>
        <v>F</v>
      </c>
    </row>
    <row r="329" spans="1:17" hidden="1" x14ac:dyDescent="0.3">
      <c r="A329">
        <v>4929</v>
      </c>
      <c r="B329">
        <v>2798</v>
      </c>
      <c r="C329">
        <v>466</v>
      </c>
      <c r="D329" t="s">
        <v>23</v>
      </c>
      <c r="E329" t="s">
        <v>20</v>
      </c>
      <c r="F329" t="s">
        <v>21</v>
      </c>
      <c r="G329" t="s">
        <v>26</v>
      </c>
      <c r="H329">
        <v>282.10000000000002</v>
      </c>
      <c r="I329">
        <v>257</v>
      </c>
      <c r="J329">
        <v>100.3</v>
      </c>
      <c r="K329">
        <v>68.5</v>
      </c>
      <c r="L329">
        <v>27.5</v>
      </c>
      <c r="M329">
        <v>11</v>
      </c>
      <c r="N329">
        <v>8.3465345877393404E-2</v>
      </c>
      <c r="O329">
        <v>0.26877804357073798</v>
      </c>
      <c r="P329" t="str">
        <f t="shared" si="10"/>
        <v>T</v>
      </c>
      <c r="Q329" t="str">
        <f t="shared" si="11"/>
        <v>F</v>
      </c>
    </row>
    <row r="330" spans="1:17" hidden="1" x14ac:dyDescent="0.3">
      <c r="A330">
        <v>4930</v>
      </c>
      <c r="B330">
        <v>2798</v>
      </c>
      <c r="C330">
        <v>466</v>
      </c>
      <c r="D330" t="s">
        <v>23</v>
      </c>
      <c r="E330" t="s">
        <v>20</v>
      </c>
      <c r="F330" t="s">
        <v>21</v>
      </c>
      <c r="G330" t="s">
        <v>26</v>
      </c>
      <c r="H330">
        <v>282.10000000000002</v>
      </c>
      <c r="I330">
        <v>257</v>
      </c>
      <c r="J330">
        <v>100.3</v>
      </c>
      <c r="K330">
        <v>68.5</v>
      </c>
      <c r="L330">
        <v>27.5</v>
      </c>
      <c r="M330">
        <v>11</v>
      </c>
      <c r="N330">
        <v>5.1035450323383802E-2</v>
      </c>
      <c r="O330">
        <v>0.27185001828491001</v>
      </c>
      <c r="P330" t="str">
        <f t="shared" si="10"/>
        <v>T</v>
      </c>
      <c r="Q330" t="str">
        <f t="shared" si="11"/>
        <v>F</v>
      </c>
    </row>
    <row r="331" spans="1:17" x14ac:dyDescent="0.3">
      <c r="A331">
        <v>4931</v>
      </c>
      <c r="B331">
        <v>2798</v>
      </c>
      <c r="C331">
        <v>466</v>
      </c>
      <c r="D331" t="s">
        <v>23</v>
      </c>
      <c r="E331" t="s">
        <v>20</v>
      </c>
      <c r="F331" t="s">
        <v>21</v>
      </c>
      <c r="G331" t="s">
        <v>26</v>
      </c>
      <c r="H331">
        <v>282.10000000000002</v>
      </c>
      <c r="I331">
        <v>257</v>
      </c>
      <c r="J331">
        <v>100.3</v>
      </c>
      <c r="K331">
        <v>68.5</v>
      </c>
      <c r="L331">
        <v>27.5</v>
      </c>
      <c r="M331">
        <v>11</v>
      </c>
      <c r="N331">
        <v>8.5616016880678505E-2</v>
      </c>
      <c r="O331">
        <v>0.26488767260020601</v>
      </c>
      <c r="P331" t="str">
        <f t="shared" si="10"/>
        <v>T</v>
      </c>
      <c r="Q331" t="str">
        <f t="shared" si="11"/>
        <v>T</v>
      </c>
    </row>
    <row r="332" spans="1:17" hidden="1" x14ac:dyDescent="0.3">
      <c r="A332">
        <v>5077</v>
      </c>
      <c r="B332">
        <v>2854</v>
      </c>
      <c r="C332">
        <v>395</v>
      </c>
      <c r="D332" t="s">
        <v>23</v>
      </c>
      <c r="E332" t="s">
        <v>20</v>
      </c>
      <c r="F332" t="s">
        <v>21</v>
      </c>
      <c r="G332" t="s">
        <v>25</v>
      </c>
      <c r="H332">
        <v>273.60000000000002</v>
      </c>
      <c r="I332">
        <v>247</v>
      </c>
      <c r="J332">
        <v>94</v>
      </c>
      <c r="K332">
        <v>68</v>
      </c>
      <c r="L332">
        <v>26.7</v>
      </c>
      <c r="M332">
        <v>7.5</v>
      </c>
      <c r="N332">
        <v>0.16602370682057199</v>
      </c>
      <c r="O332">
        <v>0.34185341538584202</v>
      </c>
      <c r="P332" t="str">
        <f t="shared" si="10"/>
        <v>F</v>
      </c>
      <c r="Q332" t="str">
        <f t="shared" si="11"/>
        <v>F</v>
      </c>
    </row>
    <row r="333" spans="1:17" hidden="1" x14ac:dyDescent="0.3">
      <c r="A333">
        <v>5078</v>
      </c>
      <c r="B333">
        <v>2854</v>
      </c>
      <c r="C333">
        <v>395</v>
      </c>
      <c r="D333" t="s">
        <v>23</v>
      </c>
      <c r="E333" t="s">
        <v>20</v>
      </c>
      <c r="F333" t="s">
        <v>21</v>
      </c>
      <c r="G333" t="s">
        <v>25</v>
      </c>
      <c r="H333">
        <v>273.60000000000002</v>
      </c>
      <c r="I333">
        <v>247</v>
      </c>
      <c r="J333">
        <v>94</v>
      </c>
      <c r="K333">
        <v>68</v>
      </c>
      <c r="L333">
        <v>26.7</v>
      </c>
      <c r="M333">
        <v>7.5</v>
      </c>
      <c r="N333">
        <v>0.17727767770089101</v>
      </c>
      <c r="O333">
        <v>0.33561504011075499</v>
      </c>
      <c r="P333" t="str">
        <f t="shared" si="10"/>
        <v>F</v>
      </c>
      <c r="Q333" t="str">
        <f t="shared" si="11"/>
        <v>F</v>
      </c>
    </row>
    <row r="334" spans="1:17" hidden="1" x14ac:dyDescent="0.3">
      <c r="A334">
        <v>5079</v>
      </c>
      <c r="B334">
        <v>2854</v>
      </c>
      <c r="C334">
        <v>395</v>
      </c>
      <c r="D334" t="s">
        <v>23</v>
      </c>
      <c r="E334" t="s">
        <v>20</v>
      </c>
      <c r="F334" t="s">
        <v>21</v>
      </c>
      <c r="G334" t="s">
        <v>25</v>
      </c>
      <c r="H334">
        <v>273.60000000000002</v>
      </c>
      <c r="I334">
        <v>247</v>
      </c>
      <c r="J334">
        <v>94</v>
      </c>
      <c r="K334">
        <v>68</v>
      </c>
      <c r="L334">
        <v>26.7</v>
      </c>
      <c r="M334">
        <v>7.5</v>
      </c>
      <c r="N334">
        <v>0.18160463986921499</v>
      </c>
      <c r="O334">
        <v>0.34294088964557301</v>
      </c>
      <c r="P334" t="str">
        <f t="shared" si="10"/>
        <v>F</v>
      </c>
      <c r="Q334" t="str">
        <f t="shared" si="11"/>
        <v>F</v>
      </c>
    </row>
    <row r="335" spans="1:17" hidden="1" x14ac:dyDescent="0.3">
      <c r="A335">
        <v>5080</v>
      </c>
      <c r="B335">
        <v>2854</v>
      </c>
      <c r="C335">
        <v>395</v>
      </c>
      <c r="D335" t="s">
        <v>23</v>
      </c>
      <c r="E335" t="s">
        <v>20</v>
      </c>
      <c r="F335" t="s">
        <v>21</v>
      </c>
      <c r="G335" t="s">
        <v>25</v>
      </c>
      <c r="H335">
        <v>273.60000000000002</v>
      </c>
      <c r="I335">
        <v>247</v>
      </c>
      <c r="J335">
        <v>94</v>
      </c>
      <c r="K335">
        <v>68</v>
      </c>
      <c r="L335">
        <v>26.7</v>
      </c>
      <c r="M335">
        <v>7.5</v>
      </c>
      <c r="N335">
        <v>0.18182441544803901</v>
      </c>
      <c r="O335">
        <v>0.34748998357676197</v>
      </c>
      <c r="P335" t="str">
        <f t="shared" si="10"/>
        <v>F</v>
      </c>
      <c r="Q335" t="str">
        <f t="shared" si="11"/>
        <v>F</v>
      </c>
    </row>
    <row r="336" spans="1:17" hidden="1" x14ac:dyDescent="0.3">
      <c r="A336">
        <v>5081</v>
      </c>
      <c r="B336">
        <v>2854</v>
      </c>
      <c r="C336">
        <v>395</v>
      </c>
      <c r="D336" t="s">
        <v>23</v>
      </c>
      <c r="E336" t="s">
        <v>20</v>
      </c>
      <c r="F336" t="s">
        <v>21</v>
      </c>
      <c r="G336" t="s">
        <v>25</v>
      </c>
      <c r="H336">
        <v>273.60000000000002</v>
      </c>
      <c r="I336">
        <v>247</v>
      </c>
      <c r="J336">
        <v>94</v>
      </c>
      <c r="K336">
        <v>68</v>
      </c>
      <c r="L336">
        <v>26.7</v>
      </c>
      <c r="M336">
        <v>7.5</v>
      </c>
      <c r="N336">
        <v>0.180995935624464</v>
      </c>
      <c r="O336">
        <v>0.33674028781917098</v>
      </c>
      <c r="P336" t="str">
        <f t="shared" si="10"/>
        <v>F</v>
      </c>
      <c r="Q336" t="str">
        <f t="shared" si="11"/>
        <v>F</v>
      </c>
    </row>
    <row r="337" spans="1:17" hidden="1" x14ac:dyDescent="0.3">
      <c r="A337">
        <v>5082</v>
      </c>
      <c r="B337">
        <v>2854</v>
      </c>
      <c r="C337">
        <v>395</v>
      </c>
      <c r="D337" t="s">
        <v>23</v>
      </c>
      <c r="E337" t="s">
        <v>20</v>
      </c>
      <c r="F337" t="s">
        <v>21</v>
      </c>
      <c r="G337" t="s">
        <v>25</v>
      </c>
      <c r="H337">
        <v>273.60000000000002</v>
      </c>
      <c r="I337">
        <v>247</v>
      </c>
      <c r="J337">
        <v>94</v>
      </c>
      <c r="K337">
        <v>68</v>
      </c>
      <c r="L337">
        <v>26.7</v>
      </c>
      <c r="M337">
        <v>7.5</v>
      </c>
      <c r="N337">
        <v>0.188045207139139</v>
      </c>
      <c r="O337">
        <v>0.35696806008524501</v>
      </c>
      <c r="P337" t="str">
        <f t="shared" si="10"/>
        <v>F</v>
      </c>
      <c r="Q337" t="str">
        <f t="shared" si="11"/>
        <v>F</v>
      </c>
    </row>
    <row r="338" spans="1:17" hidden="1" x14ac:dyDescent="0.3">
      <c r="A338">
        <v>5095</v>
      </c>
      <c r="B338">
        <v>2859</v>
      </c>
      <c r="C338">
        <v>26</v>
      </c>
      <c r="D338" t="s">
        <v>23</v>
      </c>
      <c r="E338" t="s">
        <v>20</v>
      </c>
      <c r="F338" t="s">
        <v>17</v>
      </c>
      <c r="G338" t="s">
        <v>18</v>
      </c>
      <c r="H338">
        <v>270.5</v>
      </c>
      <c r="I338">
        <v>243.5</v>
      </c>
      <c r="J338">
        <v>95.9</v>
      </c>
      <c r="K338">
        <v>66</v>
      </c>
      <c r="L338">
        <v>26.9</v>
      </c>
      <c r="M338">
        <v>6</v>
      </c>
      <c r="N338">
        <v>0.18210151134502101</v>
      </c>
      <c r="O338">
        <v>0.384291261219734</v>
      </c>
      <c r="P338" t="str">
        <f t="shared" si="10"/>
        <v>F</v>
      </c>
      <c r="Q338" t="str">
        <f t="shared" si="11"/>
        <v>F</v>
      </c>
    </row>
    <row r="339" spans="1:17" hidden="1" x14ac:dyDescent="0.3">
      <c r="A339">
        <v>5096</v>
      </c>
      <c r="B339">
        <v>2859</v>
      </c>
      <c r="C339">
        <v>26</v>
      </c>
      <c r="D339" t="s">
        <v>23</v>
      </c>
      <c r="E339" t="s">
        <v>20</v>
      </c>
      <c r="F339" t="s">
        <v>17</v>
      </c>
      <c r="G339" t="s">
        <v>18</v>
      </c>
      <c r="H339">
        <v>270.5</v>
      </c>
      <c r="I339">
        <v>243.5</v>
      </c>
      <c r="J339">
        <v>95.9</v>
      </c>
      <c r="K339">
        <v>66</v>
      </c>
      <c r="L339">
        <v>26.9</v>
      </c>
      <c r="M339">
        <v>6</v>
      </c>
      <c r="N339">
        <v>0.19297063718878599</v>
      </c>
      <c r="O339">
        <v>0.37439297225395202</v>
      </c>
      <c r="P339" t="str">
        <f t="shared" si="10"/>
        <v>F</v>
      </c>
      <c r="Q339" t="str">
        <f t="shared" si="11"/>
        <v>F</v>
      </c>
    </row>
    <row r="340" spans="1:17" hidden="1" x14ac:dyDescent="0.3">
      <c r="A340">
        <v>5098</v>
      </c>
      <c r="B340">
        <v>286</v>
      </c>
      <c r="C340">
        <v>71</v>
      </c>
      <c r="D340" t="s">
        <v>23</v>
      </c>
      <c r="E340" t="s">
        <v>20</v>
      </c>
      <c r="F340" t="s">
        <v>17</v>
      </c>
      <c r="G340" t="s">
        <v>26</v>
      </c>
      <c r="H340">
        <v>281</v>
      </c>
      <c r="I340">
        <v>265.5</v>
      </c>
      <c r="J340">
        <v>100.2</v>
      </c>
      <c r="K340">
        <v>66.5</v>
      </c>
      <c r="L340">
        <v>25.2</v>
      </c>
      <c r="M340">
        <v>8</v>
      </c>
      <c r="N340">
        <v>0.173300192634327</v>
      </c>
      <c r="O340">
        <v>0.16406014804888699</v>
      </c>
      <c r="P340" t="str">
        <f t="shared" si="10"/>
        <v>F</v>
      </c>
      <c r="Q340" t="str">
        <f t="shared" si="11"/>
        <v>T</v>
      </c>
    </row>
    <row r="341" spans="1:17" hidden="1" x14ac:dyDescent="0.3">
      <c r="A341">
        <v>5101</v>
      </c>
      <c r="B341">
        <v>2861</v>
      </c>
      <c r="C341">
        <v>340</v>
      </c>
      <c r="D341" t="s">
        <v>23</v>
      </c>
      <c r="E341" t="s">
        <v>20</v>
      </c>
      <c r="F341" t="s">
        <v>17</v>
      </c>
      <c r="G341" t="s">
        <v>25</v>
      </c>
      <c r="H341">
        <v>274.60000000000002</v>
      </c>
      <c r="I341">
        <v>261.5</v>
      </c>
      <c r="J341">
        <v>96.7</v>
      </c>
      <c r="K341">
        <v>62</v>
      </c>
      <c r="L341">
        <v>28.9</v>
      </c>
      <c r="M341">
        <v>10.5</v>
      </c>
      <c r="N341">
        <v>5.5101891540608697E-2</v>
      </c>
      <c r="O341">
        <v>0.38188892357209597</v>
      </c>
      <c r="P341" t="str">
        <f t="shared" si="10"/>
        <v>T</v>
      </c>
      <c r="Q341" t="str">
        <f t="shared" si="11"/>
        <v>F</v>
      </c>
    </row>
    <row r="342" spans="1:17" hidden="1" x14ac:dyDescent="0.3">
      <c r="A342">
        <v>5102</v>
      </c>
      <c r="B342">
        <v>2861</v>
      </c>
      <c r="C342">
        <v>340</v>
      </c>
      <c r="D342" t="s">
        <v>23</v>
      </c>
      <c r="E342" t="s">
        <v>20</v>
      </c>
      <c r="F342" t="s">
        <v>17</v>
      </c>
      <c r="G342" t="s">
        <v>25</v>
      </c>
      <c r="H342">
        <v>274.60000000000002</v>
      </c>
      <c r="I342">
        <v>261.5</v>
      </c>
      <c r="J342">
        <v>96.7</v>
      </c>
      <c r="K342">
        <v>62</v>
      </c>
      <c r="L342">
        <v>28.9</v>
      </c>
      <c r="M342">
        <v>10.5</v>
      </c>
      <c r="N342">
        <v>4.9847689049933398E-2</v>
      </c>
      <c r="O342">
        <v>0.37366587289471198</v>
      </c>
      <c r="P342" t="str">
        <f t="shared" si="10"/>
        <v>T</v>
      </c>
      <c r="Q342" t="str">
        <f t="shared" si="11"/>
        <v>F</v>
      </c>
    </row>
    <row r="343" spans="1:17" hidden="1" x14ac:dyDescent="0.3">
      <c r="A343">
        <v>5104</v>
      </c>
      <c r="B343">
        <v>2861</v>
      </c>
      <c r="C343">
        <v>340</v>
      </c>
      <c r="D343" t="s">
        <v>23</v>
      </c>
      <c r="E343" t="s">
        <v>20</v>
      </c>
      <c r="F343" t="s">
        <v>17</v>
      </c>
      <c r="G343" t="s">
        <v>25</v>
      </c>
      <c r="H343">
        <v>274.60000000000002</v>
      </c>
      <c r="I343">
        <v>261.5</v>
      </c>
      <c r="J343">
        <v>96.7</v>
      </c>
      <c r="K343">
        <v>62</v>
      </c>
      <c r="L343">
        <v>28.9</v>
      </c>
      <c r="M343">
        <v>10.5</v>
      </c>
      <c r="N343">
        <v>6.0055165026233703E-2</v>
      </c>
      <c r="O343">
        <v>0.37699171795068198</v>
      </c>
      <c r="P343" t="str">
        <f t="shared" si="10"/>
        <v>T</v>
      </c>
      <c r="Q343" t="str">
        <f t="shared" si="11"/>
        <v>F</v>
      </c>
    </row>
    <row r="344" spans="1:17" hidden="1" x14ac:dyDescent="0.3">
      <c r="A344">
        <v>5110</v>
      </c>
      <c r="B344">
        <v>2863</v>
      </c>
      <c r="C344">
        <v>385</v>
      </c>
      <c r="D344" t="s">
        <v>23</v>
      </c>
      <c r="E344" t="s">
        <v>20</v>
      </c>
      <c r="F344" t="s">
        <v>17</v>
      </c>
      <c r="G344" t="s">
        <v>22</v>
      </c>
      <c r="H344">
        <v>270</v>
      </c>
      <c r="I344">
        <v>256</v>
      </c>
      <c r="J344">
        <v>97.2</v>
      </c>
      <c r="K344">
        <v>65.5</v>
      </c>
      <c r="L344">
        <v>26</v>
      </c>
      <c r="M344">
        <v>8</v>
      </c>
      <c r="N344">
        <v>0.17329052396495401</v>
      </c>
      <c r="O344">
        <v>0.38834888067817203</v>
      </c>
      <c r="P344" t="str">
        <f t="shared" si="10"/>
        <v>F</v>
      </c>
      <c r="Q344" t="str">
        <f t="shared" si="11"/>
        <v>F</v>
      </c>
    </row>
    <row r="345" spans="1:17" hidden="1" x14ac:dyDescent="0.3">
      <c r="A345">
        <v>5111</v>
      </c>
      <c r="B345">
        <v>2863</v>
      </c>
      <c r="C345">
        <v>385</v>
      </c>
      <c r="D345" t="s">
        <v>23</v>
      </c>
      <c r="E345" t="s">
        <v>20</v>
      </c>
      <c r="F345" t="s">
        <v>17</v>
      </c>
      <c r="G345" t="s">
        <v>22</v>
      </c>
      <c r="H345">
        <v>270</v>
      </c>
      <c r="I345">
        <v>256</v>
      </c>
      <c r="J345">
        <v>97.2</v>
      </c>
      <c r="K345">
        <v>65.5</v>
      </c>
      <c r="L345">
        <v>26</v>
      </c>
      <c r="M345">
        <v>8</v>
      </c>
      <c r="N345">
        <v>0.185252662152115</v>
      </c>
      <c r="O345">
        <v>0.37703655807611602</v>
      </c>
      <c r="P345" t="str">
        <f t="shared" si="10"/>
        <v>F</v>
      </c>
      <c r="Q345" t="str">
        <f t="shared" si="11"/>
        <v>F</v>
      </c>
    </row>
    <row r="346" spans="1:17" hidden="1" x14ac:dyDescent="0.3">
      <c r="A346">
        <v>5112</v>
      </c>
      <c r="B346">
        <v>2863</v>
      </c>
      <c r="C346">
        <v>385</v>
      </c>
      <c r="D346" t="s">
        <v>23</v>
      </c>
      <c r="E346" t="s">
        <v>20</v>
      </c>
      <c r="F346" t="s">
        <v>17</v>
      </c>
      <c r="G346" t="s">
        <v>22</v>
      </c>
      <c r="H346">
        <v>270</v>
      </c>
      <c r="I346">
        <v>256</v>
      </c>
      <c r="J346">
        <v>97.2</v>
      </c>
      <c r="K346">
        <v>65.5</v>
      </c>
      <c r="L346">
        <v>26</v>
      </c>
      <c r="M346">
        <v>8</v>
      </c>
      <c r="N346">
        <v>0.167067085031186</v>
      </c>
      <c r="O346">
        <v>0.37414116265328401</v>
      </c>
      <c r="P346" t="str">
        <f t="shared" si="10"/>
        <v>F</v>
      </c>
      <c r="Q346" t="str">
        <f t="shared" si="11"/>
        <v>F</v>
      </c>
    </row>
    <row r="347" spans="1:17" hidden="1" x14ac:dyDescent="0.3">
      <c r="A347">
        <v>5113</v>
      </c>
      <c r="B347">
        <v>2863</v>
      </c>
      <c r="C347">
        <v>385</v>
      </c>
      <c r="D347" t="s">
        <v>23</v>
      </c>
      <c r="E347" t="s">
        <v>20</v>
      </c>
      <c r="F347" t="s">
        <v>17</v>
      </c>
      <c r="G347" t="s">
        <v>22</v>
      </c>
      <c r="H347">
        <v>270</v>
      </c>
      <c r="I347">
        <v>256</v>
      </c>
      <c r="J347">
        <v>97.2</v>
      </c>
      <c r="K347">
        <v>65.5</v>
      </c>
      <c r="L347">
        <v>26</v>
      </c>
      <c r="M347">
        <v>8</v>
      </c>
      <c r="N347">
        <v>0.20244520941840899</v>
      </c>
      <c r="O347">
        <v>0.35828379117570403</v>
      </c>
      <c r="P347" t="str">
        <f t="shared" si="10"/>
        <v>F</v>
      </c>
      <c r="Q347" t="str">
        <f t="shared" si="11"/>
        <v>F</v>
      </c>
    </row>
    <row r="348" spans="1:17" hidden="1" x14ac:dyDescent="0.3">
      <c r="A348">
        <v>5114</v>
      </c>
      <c r="B348">
        <v>2863</v>
      </c>
      <c r="C348">
        <v>385</v>
      </c>
      <c r="D348" t="s">
        <v>23</v>
      </c>
      <c r="E348" t="s">
        <v>20</v>
      </c>
      <c r="F348" t="s">
        <v>17</v>
      </c>
      <c r="G348" t="s">
        <v>22</v>
      </c>
      <c r="H348">
        <v>270</v>
      </c>
      <c r="I348">
        <v>256</v>
      </c>
      <c r="J348">
        <v>97.2</v>
      </c>
      <c r="K348">
        <v>65.5</v>
      </c>
      <c r="L348">
        <v>26</v>
      </c>
      <c r="M348">
        <v>8</v>
      </c>
      <c r="N348">
        <v>0.16603366874224301</v>
      </c>
      <c r="O348">
        <v>0.395000790533104</v>
      </c>
      <c r="P348" t="str">
        <f t="shared" si="10"/>
        <v>F</v>
      </c>
      <c r="Q348" t="str">
        <f t="shared" si="11"/>
        <v>F</v>
      </c>
    </row>
    <row r="349" spans="1:17" hidden="1" x14ac:dyDescent="0.3">
      <c r="A349">
        <v>5115</v>
      </c>
      <c r="B349">
        <v>2863</v>
      </c>
      <c r="C349">
        <v>385</v>
      </c>
      <c r="D349" t="s">
        <v>23</v>
      </c>
      <c r="E349" t="s">
        <v>20</v>
      </c>
      <c r="F349" t="s">
        <v>17</v>
      </c>
      <c r="G349" t="s">
        <v>22</v>
      </c>
      <c r="H349">
        <v>270</v>
      </c>
      <c r="I349">
        <v>256</v>
      </c>
      <c r="J349">
        <v>97.2</v>
      </c>
      <c r="K349">
        <v>65.5</v>
      </c>
      <c r="L349">
        <v>26</v>
      </c>
      <c r="M349">
        <v>8</v>
      </c>
      <c r="N349">
        <v>0.17483064717722799</v>
      </c>
      <c r="O349">
        <v>0.39278439646910701</v>
      </c>
      <c r="P349" t="str">
        <f t="shared" si="10"/>
        <v>F</v>
      </c>
      <c r="Q349" t="str">
        <f t="shared" si="11"/>
        <v>F</v>
      </c>
    </row>
    <row r="350" spans="1:17" hidden="1" x14ac:dyDescent="0.3">
      <c r="A350">
        <v>5116</v>
      </c>
      <c r="B350">
        <v>2863</v>
      </c>
      <c r="C350">
        <v>385</v>
      </c>
      <c r="D350" t="s">
        <v>23</v>
      </c>
      <c r="E350" t="s">
        <v>20</v>
      </c>
      <c r="F350" t="s">
        <v>17</v>
      </c>
      <c r="G350" t="s">
        <v>22</v>
      </c>
      <c r="H350">
        <v>270</v>
      </c>
      <c r="I350">
        <v>256</v>
      </c>
      <c r="J350">
        <v>97.2</v>
      </c>
      <c r="K350">
        <v>65.5</v>
      </c>
      <c r="L350">
        <v>26</v>
      </c>
      <c r="M350">
        <v>8</v>
      </c>
      <c r="N350">
        <v>0.17988736248790799</v>
      </c>
      <c r="O350">
        <v>0.38011072025801002</v>
      </c>
      <c r="P350" t="str">
        <f t="shared" si="10"/>
        <v>F</v>
      </c>
      <c r="Q350" t="str">
        <f t="shared" si="11"/>
        <v>F</v>
      </c>
    </row>
    <row r="351" spans="1:17" hidden="1" x14ac:dyDescent="0.3">
      <c r="A351">
        <v>5171</v>
      </c>
      <c r="B351">
        <v>2886</v>
      </c>
      <c r="C351">
        <v>453</v>
      </c>
      <c r="D351" t="s">
        <v>23</v>
      </c>
      <c r="E351" t="s">
        <v>20</v>
      </c>
      <c r="F351" t="s">
        <v>21</v>
      </c>
      <c r="G351" t="s">
        <v>22</v>
      </c>
      <c r="H351">
        <v>281.60000000000002</v>
      </c>
      <c r="I351">
        <v>255.5</v>
      </c>
      <c r="J351">
        <v>100.4</v>
      </c>
      <c r="K351">
        <v>70</v>
      </c>
      <c r="L351">
        <v>25.7</v>
      </c>
      <c r="M351">
        <v>10</v>
      </c>
      <c r="N351">
        <v>0.14012291865064</v>
      </c>
      <c r="O351">
        <v>0.40136514337000301</v>
      </c>
      <c r="P351" t="str">
        <f t="shared" si="10"/>
        <v>F</v>
      </c>
      <c r="Q351" t="str">
        <f t="shared" si="11"/>
        <v>F</v>
      </c>
    </row>
    <row r="352" spans="1:17" hidden="1" x14ac:dyDescent="0.3">
      <c r="A352">
        <v>5172</v>
      </c>
      <c r="B352">
        <v>2886</v>
      </c>
      <c r="C352">
        <v>453</v>
      </c>
      <c r="D352" t="s">
        <v>23</v>
      </c>
      <c r="E352" t="s">
        <v>20</v>
      </c>
      <c r="F352" t="s">
        <v>21</v>
      </c>
      <c r="G352" t="s">
        <v>22</v>
      </c>
      <c r="H352">
        <v>281.60000000000002</v>
      </c>
      <c r="I352">
        <v>255.5</v>
      </c>
      <c r="J352">
        <v>100.4</v>
      </c>
      <c r="K352">
        <v>70</v>
      </c>
      <c r="L352">
        <v>25.7</v>
      </c>
      <c r="M352">
        <v>10</v>
      </c>
      <c r="N352">
        <v>0.153054222397631</v>
      </c>
      <c r="O352">
        <v>0.41751869309360401</v>
      </c>
      <c r="P352" t="str">
        <f t="shared" si="10"/>
        <v>F</v>
      </c>
      <c r="Q352" t="str">
        <f t="shared" si="11"/>
        <v>F</v>
      </c>
    </row>
    <row r="353" spans="1:17" hidden="1" x14ac:dyDescent="0.3">
      <c r="A353">
        <v>5173</v>
      </c>
      <c r="B353">
        <v>2886</v>
      </c>
      <c r="C353">
        <v>453</v>
      </c>
      <c r="D353" t="s">
        <v>23</v>
      </c>
      <c r="E353" t="s">
        <v>20</v>
      </c>
      <c r="F353" t="s">
        <v>21</v>
      </c>
      <c r="G353" t="s">
        <v>22</v>
      </c>
      <c r="H353">
        <v>281.60000000000002</v>
      </c>
      <c r="I353">
        <v>255.5</v>
      </c>
      <c r="J353">
        <v>100.4</v>
      </c>
      <c r="K353">
        <v>70</v>
      </c>
      <c r="L353">
        <v>25.7</v>
      </c>
      <c r="M353">
        <v>10</v>
      </c>
      <c r="N353">
        <v>0.14818148485659399</v>
      </c>
      <c r="O353">
        <v>0.397714986406772</v>
      </c>
      <c r="P353" t="str">
        <f t="shared" si="10"/>
        <v>F</v>
      </c>
      <c r="Q353" t="str">
        <f t="shared" si="11"/>
        <v>F</v>
      </c>
    </row>
    <row r="354" spans="1:17" hidden="1" x14ac:dyDescent="0.3">
      <c r="A354">
        <v>5174</v>
      </c>
      <c r="B354">
        <v>2886</v>
      </c>
      <c r="C354">
        <v>453</v>
      </c>
      <c r="D354" t="s">
        <v>23</v>
      </c>
      <c r="E354" t="s">
        <v>20</v>
      </c>
      <c r="F354" t="s">
        <v>21</v>
      </c>
      <c r="G354" t="s">
        <v>22</v>
      </c>
      <c r="H354">
        <v>281.60000000000002</v>
      </c>
      <c r="I354">
        <v>255.5</v>
      </c>
      <c r="J354">
        <v>100.4</v>
      </c>
      <c r="K354">
        <v>70</v>
      </c>
      <c r="L354">
        <v>25.7</v>
      </c>
      <c r="M354">
        <v>10</v>
      </c>
      <c r="N354">
        <v>0.15686464110530801</v>
      </c>
      <c r="O354">
        <v>0.40479809771721198</v>
      </c>
      <c r="P354" t="str">
        <f t="shared" si="10"/>
        <v>F</v>
      </c>
      <c r="Q354" t="str">
        <f t="shared" si="11"/>
        <v>F</v>
      </c>
    </row>
    <row r="355" spans="1:17" hidden="1" x14ac:dyDescent="0.3">
      <c r="A355">
        <v>5175</v>
      </c>
      <c r="B355">
        <v>2886</v>
      </c>
      <c r="C355">
        <v>453</v>
      </c>
      <c r="D355" t="s">
        <v>23</v>
      </c>
      <c r="E355" t="s">
        <v>20</v>
      </c>
      <c r="F355" t="s">
        <v>21</v>
      </c>
      <c r="G355" t="s">
        <v>22</v>
      </c>
      <c r="H355">
        <v>281.60000000000002</v>
      </c>
      <c r="I355">
        <v>255.5</v>
      </c>
      <c r="J355">
        <v>100.4</v>
      </c>
      <c r="K355">
        <v>70</v>
      </c>
      <c r="L355">
        <v>25.7</v>
      </c>
      <c r="M355">
        <v>10</v>
      </c>
      <c r="N355">
        <v>0.13064742370207999</v>
      </c>
      <c r="O355">
        <v>0.41044661256082698</v>
      </c>
      <c r="P355" t="str">
        <f t="shared" si="10"/>
        <v>F</v>
      </c>
      <c r="Q355" t="str">
        <f t="shared" si="11"/>
        <v>F</v>
      </c>
    </row>
    <row r="356" spans="1:17" hidden="1" x14ac:dyDescent="0.3">
      <c r="A356">
        <v>5176</v>
      </c>
      <c r="B356">
        <v>2886</v>
      </c>
      <c r="C356">
        <v>453</v>
      </c>
      <c r="D356" t="s">
        <v>23</v>
      </c>
      <c r="E356" t="s">
        <v>20</v>
      </c>
      <c r="F356" t="s">
        <v>21</v>
      </c>
      <c r="G356" t="s">
        <v>22</v>
      </c>
      <c r="H356">
        <v>281.60000000000002</v>
      </c>
      <c r="I356">
        <v>255.5</v>
      </c>
      <c r="J356">
        <v>100.4</v>
      </c>
      <c r="K356">
        <v>70</v>
      </c>
      <c r="L356">
        <v>25.7</v>
      </c>
      <c r="M356">
        <v>10</v>
      </c>
      <c r="N356">
        <v>0.15245061140411201</v>
      </c>
      <c r="O356">
        <v>0.39671301048681001</v>
      </c>
      <c r="P356" t="str">
        <f t="shared" si="10"/>
        <v>F</v>
      </c>
      <c r="Q356" t="str">
        <f t="shared" si="11"/>
        <v>F</v>
      </c>
    </row>
    <row r="357" spans="1:17" hidden="1" x14ac:dyDescent="0.3">
      <c r="A357">
        <v>5178</v>
      </c>
      <c r="B357">
        <v>2888</v>
      </c>
      <c r="C357">
        <v>98</v>
      </c>
      <c r="D357" t="s">
        <v>23</v>
      </c>
      <c r="E357" t="s">
        <v>20</v>
      </c>
      <c r="F357" t="s">
        <v>17</v>
      </c>
      <c r="G357" t="s">
        <v>24</v>
      </c>
      <c r="H357">
        <v>276.60000000000002</v>
      </c>
      <c r="I357">
        <v>257.5</v>
      </c>
      <c r="J357">
        <v>95.2</v>
      </c>
      <c r="K357">
        <v>67.5</v>
      </c>
      <c r="L357">
        <v>24.1</v>
      </c>
      <c r="M357">
        <v>9.5</v>
      </c>
      <c r="N357">
        <v>0.183338580357994</v>
      </c>
      <c r="O357">
        <v>0.37058893073583399</v>
      </c>
      <c r="P357" t="str">
        <f t="shared" si="10"/>
        <v>F</v>
      </c>
      <c r="Q357" t="str">
        <f t="shared" si="11"/>
        <v>F</v>
      </c>
    </row>
    <row r="358" spans="1:17" hidden="1" x14ac:dyDescent="0.3">
      <c r="A358">
        <v>5179</v>
      </c>
      <c r="B358">
        <v>2888</v>
      </c>
      <c r="C358">
        <v>98</v>
      </c>
      <c r="D358" t="s">
        <v>23</v>
      </c>
      <c r="E358" t="s">
        <v>20</v>
      </c>
      <c r="F358" t="s">
        <v>17</v>
      </c>
      <c r="G358" t="s">
        <v>24</v>
      </c>
      <c r="H358">
        <v>276.60000000000002</v>
      </c>
      <c r="I358">
        <v>257.5</v>
      </c>
      <c r="J358">
        <v>95.2</v>
      </c>
      <c r="K358">
        <v>67.5</v>
      </c>
      <c r="L358">
        <v>24.1</v>
      </c>
      <c r="M358">
        <v>9.5</v>
      </c>
      <c r="N358">
        <v>0.20406767446827401</v>
      </c>
      <c r="O358">
        <v>0.39976285917314303</v>
      </c>
      <c r="P358" t="str">
        <f t="shared" si="10"/>
        <v>F</v>
      </c>
      <c r="Q358" t="str">
        <f t="shared" si="11"/>
        <v>F</v>
      </c>
    </row>
    <row r="359" spans="1:17" hidden="1" x14ac:dyDescent="0.3">
      <c r="A359">
        <v>5180</v>
      </c>
      <c r="B359">
        <v>2888</v>
      </c>
      <c r="C359">
        <v>98</v>
      </c>
      <c r="D359" t="s">
        <v>23</v>
      </c>
      <c r="E359" t="s">
        <v>20</v>
      </c>
      <c r="F359" t="s">
        <v>17</v>
      </c>
      <c r="G359" t="s">
        <v>24</v>
      </c>
      <c r="H359">
        <v>276.60000000000002</v>
      </c>
      <c r="I359">
        <v>257.5</v>
      </c>
      <c r="J359">
        <v>95.2</v>
      </c>
      <c r="K359">
        <v>67.5</v>
      </c>
      <c r="L359">
        <v>24.1</v>
      </c>
      <c r="M359">
        <v>9.5</v>
      </c>
      <c r="N359">
        <v>0.195985683599954</v>
      </c>
      <c r="O359">
        <v>0.385126676494636</v>
      </c>
      <c r="P359" t="str">
        <f t="shared" si="10"/>
        <v>F</v>
      </c>
      <c r="Q359" t="str">
        <f t="shared" si="11"/>
        <v>F</v>
      </c>
    </row>
    <row r="360" spans="1:17" hidden="1" x14ac:dyDescent="0.3">
      <c r="A360">
        <v>5181</v>
      </c>
      <c r="B360">
        <v>2888</v>
      </c>
      <c r="C360">
        <v>98</v>
      </c>
      <c r="D360" t="s">
        <v>23</v>
      </c>
      <c r="E360" t="s">
        <v>20</v>
      </c>
      <c r="F360" t="s">
        <v>17</v>
      </c>
      <c r="G360" t="s">
        <v>24</v>
      </c>
      <c r="H360">
        <v>276.60000000000002</v>
      </c>
      <c r="I360">
        <v>257.5</v>
      </c>
      <c r="J360">
        <v>95.2</v>
      </c>
      <c r="K360">
        <v>67.5</v>
      </c>
      <c r="L360">
        <v>24.1</v>
      </c>
      <c r="M360">
        <v>9.5</v>
      </c>
      <c r="N360">
        <v>0.16717424598587199</v>
      </c>
      <c r="O360">
        <v>0.37571333606362001</v>
      </c>
      <c r="P360" t="str">
        <f t="shared" si="10"/>
        <v>F</v>
      </c>
      <c r="Q360" t="str">
        <f t="shared" si="11"/>
        <v>F</v>
      </c>
    </row>
    <row r="361" spans="1:17" hidden="1" x14ac:dyDescent="0.3">
      <c r="A361">
        <v>5182</v>
      </c>
      <c r="B361">
        <v>2888</v>
      </c>
      <c r="C361">
        <v>98</v>
      </c>
      <c r="D361" t="s">
        <v>23</v>
      </c>
      <c r="E361" t="s">
        <v>20</v>
      </c>
      <c r="F361" t="s">
        <v>17</v>
      </c>
      <c r="G361" t="s">
        <v>24</v>
      </c>
      <c r="H361">
        <v>276.60000000000002</v>
      </c>
      <c r="I361">
        <v>257.5</v>
      </c>
      <c r="J361">
        <v>95.2</v>
      </c>
      <c r="K361">
        <v>67.5</v>
      </c>
      <c r="L361">
        <v>24.1</v>
      </c>
      <c r="M361">
        <v>9.5</v>
      </c>
      <c r="N361">
        <v>0.18948014512620301</v>
      </c>
      <c r="O361">
        <v>0.377224282189349</v>
      </c>
      <c r="P361" t="str">
        <f t="shared" si="10"/>
        <v>F</v>
      </c>
      <c r="Q361" t="str">
        <f t="shared" si="11"/>
        <v>F</v>
      </c>
    </row>
    <row r="362" spans="1:17" hidden="1" x14ac:dyDescent="0.3">
      <c r="A362">
        <v>5250</v>
      </c>
      <c r="B362">
        <v>2910</v>
      </c>
      <c r="C362">
        <v>497</v>
      </c>
      <c r="D362" t="s">
        <v>23</v>
      </c>
      <c r="E362" t="s">
        <v>20</v>
      </c>
      <c r="F362" t="s">
        <v>17</v>
      </c>
      <c r="G362" t="s">
        <v>18</v>
      </c>
      <c r="H362">
        <v>269.7</v>
      </c>
      <c r="I362">
        <v>245</v>
      </c>
      <c r="J362">
        <v>94</v>
      </c>
      <c r="K362">
        <v>67</v>
      </c>
      <c r="L362">
        <v>24.2</v>
      </c>
      <c r="M362">
        <v>9</v>
      </c>
      <c r="N362">
        <v>0.21857299970678601</v>
      </c>
      <c r="O362">
        <v>0.35643584564786601</v>
      </c>
      <c r="P362" t="str">
        <f t="shared" si="10"/>
        <v>F</v>
      </c>
      <c r="Q362" t="str">
        <f t="shared" si="11"/>
        <v>F</v>
      </c>
    </row>
    <row r="363" spans="1:17" hidden="1" x14ac:dyDescent="0.3">
      <c r="A363">
        <v>5251</v>
      </c>
      <c r="B363">
        <v>2910</v>
      </c>
      <c r="C363">
        <v>497</v>
      </c>
      <c r="D363" t="s">
        <v>23</v>
      </c>
      <c r="E363" t="s">
        <v>20</v>
      </c>
      <c r="F363" t="s">
        <v>17</v>
      </c>
      <c r="G363" t="s">
        <v>18</v>
      </c>
      <c r="H363">
        <v>269.7</v>
      </c>
      <c r="I363">
        <v>245</v>
      </c>
      <c r="J363">
        <v>94</v>
      </c>
      <c r="K363">
        <v>67</v>
      </c>
      <c r="L363">
        <v>24.2</v>
      </c>
      <c r="M363">
        <v>9</v>
      </c>
      <c r="N363">
        <v>0.221905130617887</v>
      </c>
      <c r="O363">
        <v>0.377693573958502</v>
      </c>
      <c r="P363" t="str">
        <f t="shared" si="10"/>
        <v>F</v>
      </c>
      <c r="Q363" t="str">
        <f t="shared" si="11"/>
        <v>F</v>
      </c>
    </row>
    <row r="364" spans="1:17" hidden="1" x14ac:dyDescent="0.3">
      <c r="A364">
        <v>5252</v>
      </c>
      <c r="B364">
        <v>2910</v>
      </c>
      <c r="C364">
        <v>497</v>
      </c>
      <c r="D364" t="s">
        <v>23</v>
      </c>
      <c r="E364" t="s">
        <v>20</v>
      </c>
      <c r="F364" t="s">
        <v>17</v>
      </c>
      <c r="G364" t="s">
        <v>18</v>
      </c>
      <c r="H364">
        <v>269.7</v>
      </c>
      <c r="I364">
        <v>245</v>
      </c>
      <c r="J364">
        <v>94</v>
      </c>
      <c r="K364">
        <v>67</v>
      </c>
      <c r="L364">
        <v>24.2</v>
      </c>
      <c r="M364">
        <v>9</v>
      </c>
      <c r="N364">
        <v>0.20267579192641</v>
      </c>
      <c r="O364">
        <v>0.37317803220770301</v>
      </c>
      <c r="P364" t="str">
        <f t="shared" si="10"/>
        <v>F</v>
      </c>
      <c r="Q364" t="str">
        <f t="shared" si="11"/>
        <v>F</v>
      </c>
    </row>
    <row r="365" spans="1:17" hidden="1" x14ac:dyDescent="0.3">
      <c r="A365">
        <v>5253</v>
      </c>
      <c r="B365">
        <v>2910</v>
      </c>
      <c r="C365">
        <v>497</v>
      </c>
      <c r="D365" t="s">
        <v>23</v>
      </c>
      <c r="E365" t="s">
        <v>20</v>
      </c>
      <c r="F365" t="s">
        <v>17</v>
      </c>
      <c r="G365" t="s">
        <v>18</v>
      </c>
      <c r="H365">
        <v>269.7</v>
      </c>
      <c r="I365">
        <v>245</v>
      </c>
      <c r="J365">
        <v>94</v>
      </c>
      <c r="K365">
        <v>67</v>
      </c>
      <c r="L365">
        <v>24.2</v>
      </c>
      <c r="M365">
        <v>9</v>
      </c>
      <c r="N365">
        <v>0.20687729617924799</v>
      </c>
      <c r="O365">
        <v>0.358567232670645</v>
      </c>
      <c r="P365" t="str">
        <f t="shared" si="10"/>
        <v>F</v>
      </c>
      <c r="Q365" t="str">
        <f t="shared" si="11"/>
        <v>F</v>
      </c>
    </row>
    <row r="366" spans="1:17" hidden="1" x14ac:dyDescent="0.3">
      <c r="A366">
        <v>5254</v>
      </c>
      <c r="B366">
        <v>2910</v>
      </c>
      <c r="C366">
        <v>497</v>
      </c>
      <c r="D366" t="s">
        <v>23</v>
      </c>
      <c r="E366" t="s">
        <v>20</v>
      </c>
      <c r="F366" t="s">
        <v>17</v>
      </c>
      <c r="G366" t="s">
        <v>18</v>
      </c>
      <c r="H366">
        <v>269.7</v>
      </c>
      <c r="I366">
        <v>245</v>
      </c>
      <c r="J366">
        <v>94</v>
      </c>
      <c r="K366">
        <v>67</v>
      </c>
      <c r="L366">
        <v>24.2</v>
      </c>
      <c r="M366">
        <v>9</v>
      </c>
      <c r="N366">
        <v>0.218832494492845</v>
      </c>
      <c r="O366">
        <v>0.360800917272318</v>
      </c>
      <c r="P366" t="str">
        <f t="shared" si="10"/>
        <v>F</v>
      </c>
      <c r="Q366" t="str">
        <f t="shared" si="11"/>
        <v>F</v>
      </c>
    </row>
    <row r="367" spans="1:17" hidden="1" x14ac:dyDescent="0.3">
      <c r="A367">
        <v>5313</v>
      </c>
      <c r="B367">
        <v>2931</v>
      </c>
      <c r="C367">
        <v>80</v>
      </c>
      <c r="D367" t="s">
        <v>23</v>
      </c>
      <c r="E367" t="s">
        <v>20</v>
      </c>
      <c r="F367" t="s">
        <v>21</v>
      </c>
      <c r="G367" t="s">
        <v>18</v>
      </c>
      <c r="H367">
        <v>279</v>
      </c>
      <c r="I367">
        <v>254</v>
      </c>
      <c r="J367">
        <v>97.1</v>
      </c>
      <c r="K367">
        <v>67</v>
      </c>
      <c r="L367">
        <v>24.6</v>
      </c>
      <c r="M367">
        <v>7</v>
      </c>
      <c r="N367">
        <v>0.20548321719078999</v>
      </c>
      <c r="O367">
        <v>0.35362750379117402</v>
      </c>
      <c r="P367" t="str">
        <f t="shared" si="10"/>
        <v>F</v>
      </c>
      <c r="Q367" t="str">
        <f t="shared" si="11"/>
        <v>F</v>
      </c>
    </row>
    <row r="368" spans="1:17" hidden="1" x14ac:dyDescent="0.3">
      <c r="A368">
        <v>5314</v>
      </c>
      <c r="B368">
        <v>2931</v>
      </c>
      <c r="C368">
        <v>80</v>
      </c>
      <c r="D368" t="s">
        <v>23</v>
      </c>
      <c r="E368" t="s">
        <v>20</v>
      </c>
      <c r="F368" t="s">
        <v>21</v>
      </c>
      <c r="G368" t="s">
        <v>18</v>
      </c>
      <c r="H368">
        <v>279</v>
      </c>
      <c r="I368">
        <v>254</v>
      </c>
      <c r="J368">
        <v>97.1</v>
      </c>
      <c r="K368">
        <v>67</v>
      </c>
      <c r="L368">
        <v>24.6</v>
      </c>
      <c r="M368">
        <v>7</v>
      </c>
      <c r="N368">
        <v>0.22993557518440899</v>
      </c>
      <c r="O368">
        <v>0.34261961693613702</v>
      </c>
      <c r="P368" t="str">
        <f t="shared" si="10"/>
        <v>F</v>
      </c>
      <c r="Q368" t="str">
        <f t="shared" si="11"/>
        <v>F</v>
      </c>
    </row>
    <row r="369" spans="1:17" hidden="1" x14ac:dyDescent="0.3">
      <c r="A369">
        <v>5315</v>
      </c>
      <c r="B369">
        <v>2931</v>
      </c>
      <c r="C369">
        <v>80</v>
      </c>
      <c r="D369" t="s">
        <v>23</v>
      </c>
      <c r="E369" t="s">
        <v>20</v>
      </c>
      <c r="F369" t="s">
        <v>21</v>
      </c>
      <c r="G369" t="s">
        <v>18</v>
      </c>
      <c r="H369">
        <v>279</v>
      </c>
      <c r="I369">
        <v>254</v>
      </c>
      <c r="J369">
        <v>97.1</v>
      </c>
      <c r="K369">
        <v>67</v>
      </c>
      <c r="L369">
        <v>24.6</v>
      </c>
      <c r="M369">
        <v>7</v>
      </c>
      <c r="N369">
        <v>0.21005771315095401</v>
      </c>
      <c r="O369">
        <v>0.34931261177588702</v>
      </c>
      <c r="P369" t="str">
        <f t="shared" si="10"/>
        <v>F</v>
      </c>
      <c r="Q369" t="str">
        <f t="shared" si="11"/>
        <v>F</v>
      </c>
    </row>
    <row r="370" spans="1:17" hidden="1" x14ac:dyDescent="0.3">
      <c r="A370">
        <v>5334</v>
      </c>
      <c r="B370">
        <v>2938</v>
      </c>
      <c r="C370">
        <v>497</v>
      </c>
      <c r="D370" t="s">
        <v>23</v>
      </c>
      <c r="E370" t="s">
        <v>20</v>
      </c>
      <c r="F370" t="s">
        <v>17</v>
      </c>
      <c r="G370" t="s">
        <v>25</v>
      </c>
      <c r="H370">
        <v>269.7</v>
      </c>
      <c r="I370">
        <v>245</v>
      </c>
      <c r="J370">
        <v>94</v>
      </c>
      <c r="K370">
        <v>67</v>
      </c>
      <c r="L370">
        <v>24.2</v>
      </c>
      <c r="M370">
        <v>9</v>
      </c>
      <c r="N370">
        <v>0.213745033160534</v>
      </c>
      <c r="O370">
        <v>0.35536694099613397</v>
      </c>
      <c r="P370" t="str">
        <f t="shared" si="10"/>
        <v>F</v>
      </c>
      <c r="Q370" t="str">
        <f t="shared" si="11"/>
        <v>F</v>
      </c>
    </row>
    <row r="371" spans="1:17" hidden="1" x14ac:dyDescent="0.3">
      <c r="A371">
        <v>5344</v>
      </c>
      <c r="B371">
        <v>2942</v>
      </c>
      <c r="C371">
        <v>98</v>
      </c>
      <c r="D371" t="s">
        <v>23</v>
      </c>
      <c r="E371" t="s">
        <v>20</v>
      </c>
      <c r="F371" t="s">
        <v>21</v>
      </c>
      <c r="G371" t="s">
        <v>22</v>
      </c>
      <c r="H371">
        <v>276.60000000000002</v>
      </c>
      <c r="I371">
        <v>257.5</v>
      </c>
      <c r="J371">
        <v>95.2</v>
      </c>
      <c r="K371">
        <v>67.5</v>
      </c>
      <c r="L371">
        <v>24.1</v>
      </c>
      <c r="M371">
        <v>9.5</v>
      </c>
      <c r="N371">
        <v>0.199042306775712</v>
      </c>
      <c r="O371">
        <v>0.40201848645897698</v>
      </c>
      <c r="P371" t="str">
        <f t="shared" si="10"/>
        <v>F</v>
      </c>
      <c r="Q371" t="str">
        <f t="shared" si="11"/>
        <v>F</v>
      </c>
    </row>
    <row r="372" spans="1:17" hidden="1" x14ac:dyDescent="0.3">
      <c r="A372">
        <v>5345</v>
      </c>
      <c r="B372">
        <v>2942</v>
      </c>
      <c r="C372">
        <v>98</v>
      </c>
      <c r="D372" t="s">
        <v>23</v>
      </c>
      <c r="E372" t="s">
        <v>20</v>
      </c>
      <c r="F372" t="s">
        <v>21</v>
      </c>
      <c r="G372" t="s">
        <v>22</v>
      </c>
      <c r="H372">
        <v>276.60000000000002</v>
      </c>
      <c r="I372">
        <v>257.5</v>
      </c>
      <c r="J372">
        <v>95.2</v>
      </c>
      <c r="K372">
        <v>67.5</v>
      </c>
      <c r="L372">
        <v>24.1</v>
      </c>
      <c r="M372">
        <v>9.5</v>
      </c>
      <c r="N372">
        <v>0.19876360610332899</v>
      </c>
      <c r="O372">
        <v>0.38262699809054201</v>
      </c>
      <c r="P372" t="str">
        <f t="shared" si="10"/>
        <v>F</v>
      </c>
      <c r="Q372" t="str">
        <f t="shared" si="11"/>
        <v>F</v>
      </c>
    </row>
    <row r="373" spans="1:17" hidden="1" x14ac:dyDescent="0.3">
      <c r="A373">
        <v>5346</v>
      </c>
      <c r="B373">
        <v>2942</v>
      </c>
      <c r="C373">
        <v>98</v>
      </c>
      <c r="D373" t="s">
        <v>23</v>
      </c>
      <c r="E373" t="s">
        <v>20</v>
      </c>
      <c r="F373" t="s">
        <v>21</v>
      </c>
      <c r="G373" t="s">
        <v>22</v>
      </c>
      <c r="H373">
        <v>276.60000000000002</v>
      </c>
      <c r="I373">
        <v>257.5</v>
      </c>
      <c r="J373">
        <v>95.2</v>
      </c>
      <c r="K373">
        <v>67.5</v>
      </c>
      <c r="L373">
        <v>24.1</v>
      </c>
      <c r="M373">
        <v>9.5</v>
      </c>
      <c r="N373">
        <v>0.19783813539505801</v>
      </c>
      <c r="O373">
        <v>0.39229147930360603</v>
      </c>
      <c r="P373" t="str">
        <f t="shared" si="10"/>
        <v>F</v>
      </c>
      <c r="Q373" t="str">
        <f t="shared" si="11"/>
        <v>F</v>
      </c>
    </row>
    <row r="374" spans="1:17" hidden="1" x14ac:dyDescent="0.3">
      <c r="A374">
        <v>5347</v>
      </c>
      <c r="B374">
        <v>2942</v>
      </c>
      <c r="C374">
        <v>98</v>
      </c>
      <c r="D374" t="s">
        <v>23</v>
      </c>
      <c r="E374" t="s">
        <v>20</v>
      </c>
      <c r="F374" t="s">
        <v>21</v>
      </c>
      <c r="G374" t="s">
        <v>22</v>
      </c>
      <c r="H374">
        <v>276.60000000000002</v>
      </c>
      <c r="I374">
        <v>257.5</v>
      </c>
      <c r="J374">
        <v>95.2</v>
      </c>
      <c r="K374">
        <v>67.5</v>
      </c>
      <c r="L374">
        <v>24.1</v>
      </c>
      <c r="M374">
        <v>9.5</v>
      </c>
      <c r="N374">
        <v>0.184339373106128</v>
      </c>
      <c r="O374">
        <v>0.37379546817154202</v>
      </c>
      <c r="P374" t="str">
        <f t="shared" si="10"/>
        <v>F</v>
      </c>
      <c r="Q374" t="str">
        <f t="shared" si="11"/>
        <v>F</v>
      </c>
    </row>
    <row r="375" spans="1:17" hidden="1" x14ac:dyDescent="0.3">
      <c r="A375">
        <v>5385</v>
      </c>
      <c r="B375">
        <v>2958</v>
      </c>
      <c r="C375">
        <v>267</v>
      </c>
      <c r="D375" t="s">
        <v>23</v>
      </c>
      <c r="E375" t="s">
        <v>20</v>
      </c>
      <c r="F375" t="s">
        <v>17</v>
      </c>
      <c r="G375" t="s">
        <v>18</v>
      </c>
      <c r="H375">
        <v>275.39999999999998</v>
      </c>
      <c r="I375">
        <v>244.5</v>
      </c>
      <c r="J375">
        <v>95.4</v>
      </c>
      <c r="K375">
        <v>67</v>
      </c>
      <c r="L375">
        <v>22.2</v>
      </c>
      <c r="M375">
        <v>9.5</v>
      </c>
      <c r="N375">
        <v>0.25627956469900798</v>
      </c>
      <c r="O375">
        <v>0.198653197337371</v>
      </c>
      <c r="P375" t="str">
        <f t="shared" si="10"/>
        <v>F</v>
      </c>
      <c r="Q375" t="str">
        <f t="shared" si="11"/>
        <v>T</v>
      </c>
    </row>
    <row r="376" spans="1:17" hidden="1" x14ac:dyDescent="0.3">
      <c r="A376">
        <v>5386</v>
      </c>
      <c r="B376">
        <v>2958</v>
      </c>
      <c r="C376">
        <v>267</v>
      </c>
      <c r="D376" t="s">
        <v>23</v>
      </c>
      <c r="E376" t="s">
        <v>20</v>
      </c>
      <c r="F376" t="s">
        <v>17</v>
      </c>
      <c r="G376" t="s">
        <v>18</v>
      </c>
      <c r="H376">
        <v>275.39999999999998</v>
      </c>
      <c r="I376">
        <v>244.5</v>
      </c>
      <c r="J376">
        <v>95.4</v>
      </c>
      <c r="K376">
        <v>67</v>
      </c>
      <c r="L376">
        <v>22.2</v>
      </c>
      <c r="M376">
        <v>9.5</v>
      </c>
      <c r="N376">
        <v>0.231051757027947</v>
      </c>
      <c r="O376">
        <v>0.20098073164255301</v>
      </c>
      <c r="P376" t="str">
        <f t="shared" si="10"/>
        <v>F</v>
      </c>
      <c r="Q376" t="str">
        <f t="shared" si="11"/>
        <v>T</v>
      </c>
    </row>
    <row r="377" spans="1:17" hidden="1" x14ac:dyDescent="0.3">
      <c r="A377">
        <v>5387</v>
      </c>
      <c r="B377">
        <v>2958</v>
      </c>
      <c r="C377">
        <v>267</v>
      </c>
      <c r="D377" t="s">
        <v>23</v>
      </c>
      <c r="E377" t="s">
        <v>20</v>
      </c>
      <c r="F377" t="s">
        <v>17</v>
      </c>
      <c r="G377" t="s">
        <v>18</v>
      </c>
      <c r="H377">
        <v>275.39999999999998</v>
      </c>
      <c r="I377">
        <v>244.5</v>
      </c>
      <c r="J377">
        <v>95.4</v>
      </c>
      <c r="K377">
        <v>67</v>
      </c>
      <c r="L377">
        <v>22.2</v>
      </c>
      <c r="M377">
        <v>9.5</v>
      </c>
      <c r="N377">
        <v>0.25146599364459399</v>
      </c>
      <c r="O377">
        <v>0.225324139455711</v>
      </c>
      <c r="P377" t="str">
        <f t="shared" si="10"/>
        <v>F</v>
      </c>
      <c r="Q377" t="str">
        <f t="shared" si="11"/>
        <v>T</v>
      </c>
    </row>
    <row r="378" spans="1:17" hidden="1" x14ac:dyDescent="0.3">
      <c r="A378">
        <v>5388</v>
      </c>
      <c r="B378">
        <v>2958</v>
      </c>
      <c r="C378">
        <v>267</v>
      </c>
      <c r="D378" t="s">
        <v>23</v>
      </c>
      <c r="E378" t="s">
        <v>20</v>
      </c>
      <c r="F378" t="s">
        <v>17</v>
      </c>
      <c r="G378" t="s">
        <v>18</v>
      </c>
      <c r="H378">
        <v>275.39999999999998</v>
      </c>
      <c r="I378">
        <v>244.5</v>
      </c>
      <c r="J378">
        <v>95.4</v>
      </c>
      <c r="K378">
        <v>67</v>
      </c>
      <c r="L378">
        <v>22.2</v>
      </c>
      <c r="M378">
        <v>9.5</v>
      </c>
      <c r="N378">
        <v>0.23326314197991599</v>
      </c>
      <c r="O378">
        <v>0.21017794287695399</v>
      </c>
      <c r="P378" t="str">
        <f t="shared" si="10"/>
        <v>F</v>
      </c>
      <c r="Q378" t="str">
        <f t="shared" si="11"/>
        <v>T</v>
      </c>
    </row>
    <row r="379" spans="1:17" hidden="1" x14ac:dyDescent="0.3">
      <c r="A379">
        <v>5389</v>
      </c>
      <c r="B379">
        <v>2958</v>
      </c>
      <c r="C379">
        <v>267</v>
      </c>
      <c r="D379" t="s">
        <v>23</v>
      </c>
      <c r="E379" t="s">
        <v>20</v>
      </c>
      <c r="F379" t="s">
        <v>17</v>
      </c>
      <c r="G379" t="s">
        <v>18</v>
      </c>
      <c r="H379">
        <v>275.39999999999998</v>
      </c>
      <c r="I379">
        <v>244.5</v>
      </c>
      <c r="J379">
        <v>95.4</v>
      </c>
      <c r="K379">
        <v>67</v>
      </c>
      <c r="L379">
        <v>22.2</v>
      </c>
      <c r="M379">
        <v>9.5</v>
      </c>
      <c r="N379">
        <v>0.260198161811593</v>
      </c>
      <c r="O379">
        <v>0.218113621334144</v>
      </c>
      <c r="P379" t="str">
        <f t="shared" si="10"/>
        <v>F</v>
      </c>
      <c r="Q379" t="str">
        <f t="shared" si="11"/>
        <v>T</v>
      </c>
    </row>
    <row r="380" spans="1:17" hidden="1" x14ac:dyDescent="0.3">
      <c r="A380">
        <v>5390</v>
      </c>
      <c r="B380">
        <v>2958</v>
      </c>
      <c r="C380">
        <v>267</v>
      </c>
      <c r="D380" t="s">
        <v>23</v>
      </c>
      <c r="E380" t="s">
        <v>20</v>
      </c>
      <c r="F380" t="s">
        <v>17</v>
      </c>
      <c r="G380" t="s">
        <v>18</v>
      </c>
      <c r="H380">
        <v>275.39999999999998</v>
      </c>
      <c r="I380">
        <v>244.5</v>
      </c>
      <c r="J380">
        <v>95.4</v>
      </c>
      <c r="K380">
        <v>67</v>
      </c>
      <c r="L380">
        <v>22.2</v>
      </c>
      <c r="M380">
        <v>9.5</v>
      </c>
      <c r="N380">
        <v>0.24654906414323699</v>
      </c>
      <c r="O380">
        <v>0.22215232357300199</v>
      </c>
      <c r="P380" t="str">
        <f t="shared" si="10"/>
        <v>F</v>
      </c>
      <c r="Q380" t="str">
        <f t="shared" si="11"/>
        <v>T</v>
      </c>
    </row>
    <row r="381" spans="1:17" hidden="1" x14ac:dyDescent="0.3">
      <c r="A381">
        <v>5396</v>
      </c>
      <c r="B381">
        <v>2960</v>
      </c>
      <c r="C381">
        <v>226</v>
      </c>
      <c r="D381" t="s">
        <v>23</v>
      </c>
      <c r="E381" t="s">
        <v>20</v>
      </c>
      <c r="F381" t="s">
        <v>17</v>
      </c>
      <c r="G381" t="s">
        <v>25</v>
      </c>
      <c r="H381">
        <v>279.10000000000002</v>
      </c>
      <c r="I381">
        <v>257.5</v>
      </c>
      <c r="J381">
        <v>97.9</v>
      </c>
      <c r="K381">
        <v>68</v>
      </c>
      <c r="L381">
        <v>27.6</v>
      </c>
      <c r="M381">
        <v>2.5</v>
      </c>
      <c r="N381">
        <v>0.13788959722836</v>
      </c>
      <c r="O381">
        <v>0.210155445221475</v>
      </c>
      <c r="P381" t="str">
        <f t="shared" si="10"/>
        <v>F</v>
      </c>
      <c r="Q381" t="str">
        <f t="shared" si="11"/>
        <v>T</v>
      </c>
    </row>
    <row r="382" spans="1:17" hidden="1" x14ac:dyDescent="0.3">
      <c r="A382">
        <v>5397</v>
      </c>
      <c r="B382">
        <v>2960</v>
      </c>
      <c r="C382">
        <v>226</v>
      </c>
      <c r="D382" t="s">
        <v>23</v>
      </c>
      <c r="E382" t="s">
        <v>20</v>
      </c>
      <c r="F382" t="s">
        <v>17</v>
      </c>
      <c r="G382" t="s">
        <v>25</v>
      </c>
      <c r="H382">
        <v>279.10000000000002</v>
      </c>
      <c r="I382">
        <v>257.5</v>
      </c>
      <c r="J382">
        <v>97.9</v>
      </c>
      <c r="K382">
        <v>68</v>
      </c>
      <c r="L382">
        <v>27.6</v>
      </c>
      <c r="M382">
        <v>2.5</v>
      </c>
      <c r="N382">
        <v>0.15325911163229</v>
      </c>
      <c r="O382">
        <v>0.20083174534217901</v>
      </c>
      <c r="P382" t="str">
        <f t="shared" si="10"/>
        <v>F</v>
      </c>
      <c r="Q382" t="str">
        <f t="shared" si="11"/>
        <v>T</v>
      </c>
    </row>
    <row r="383" spans="1:17" hidden="1" x14ac:dyDescent="0.3">
      <c r="A383">
        <v>5398</v>
      </c>
      <c r="B383">
        <v>2960</v>
      </c>
      <c r="C383">
        <v>226</v>
      </c>
      <c r="D383" t="s">
        <v>23</v>
      </c>
      <c r="E383" t="s">
        <v>20</v>
      </c>
      <c r="F383" t="s">
        <v>17</v>
      </c>
      <c r="G383" t="s">
        <v>25</v>
      </c>
      <c r="H383">
        <v>279.10000000000002</v>
      </c>
      <c r="I383">
        <v>257.5</v>
      </c>
      <c r="J383">
        <v>97.9</v>
      </c>
      <c r="K383">
        <v>68</v>
      </c>
      <c r="L383">
        <v>27.6</v>
      </c>
      <c r="M383">
        <v>2.5</v>
      </c>
      <c r="N383">
        <v>0.15153616872033801</v>
      </c>
      <c r="O383">
        <v>0.21164698992661099</v>
      </c>
      <c r="P383" t="str">
        <f t="shared" si="10"/>
        <v>F</v>
      </c>
      <c r="Q383" t="str">
        <f t="shared" si="11"/>
        <v>T</v>
      </c>
    </row>
    <row r="384" spans="1:17" hidden="1" x14ac:dyDescent="0.3">
      <c r="A384">
        <v>5399</v>
      </c>
      <c r="B384">
        <v>2960</v>
      </c>
      <c r="C384">
        <v>226</v>
      </c>
      <c r="D384" t="s">
        <v>23</v>
      </c>
      <c r="E384" t="s">
        <v>20</v>
      </c>
      <c r="F384" t="s">
        <v>17</v>
      </c>
      <c r="G384" t="s">
        <v>25</v>
      </c>
      <c r="H384">
        <v>279.10000000000002</v>
      </c>
      <c r="I384">
        <v>257.5</v>
      </c>
      <c r="J384">
        <v>97.9</v>
      </c>
      <c r="K384">
        <v>68</v>
      </c>
      <c r="L384">
        <v>27.6</v>
      </c>
      <c r="M384">
        <v>2.5</v>
      </c>
      <c r="N384">
        <v>0.12470709296033899</v>
      </c>
      <c r="O384">
        <v>0.21393448794830799</v>
      </c>
      <c r="P384" t="str">
        <f t="shared" si="10"/>
        <v>F</v>
      </c>
      <c r="Q384" t="str">
        <f t="shared" si="11"/>
        <v>T</v>
      </c>
    </row>
    <row r="385" spans="1:17" hidden="1" x14ac:dyDescent="0.3">
      <c r="A385">
        <v>5514</v>
      </c>
      <c r="B385">
        <v>3007</v>
      </c>
      <c r="C385">
        <v>466</v>
      </c>
      <c r="D385" t="s">
        <v>23</v>
      </c>
      <c r="E385" t="s">
        <v>20</v>
      </c>
      <c r="F385" t="s">
        <v>17</v>
      </c>
      <c r="G385" t="s">
        <v>25</v>
      </c>
      <c r="H385">
        <v>282.10000000000002</v>
      </c>
      <c r="I385">
        <v>257</v>
      </c>
      <c r="J385">
        <v>100.3</v>
      </c>
      <c r="K385">
        <v>68.5</v>
      </c>
      <c r="L385">
        <v>27.5</v>
      </c>
      <c r="M385">
        <v>11</v>
      </c>
      <c r="N385">
        <v>4.8432754416890197E-2</v>
      </c>
      <c r="O385">
        <v>0.29533637338616903</v>
      </c>
      <c r="P385" t="str">
        <f t="shared" si="10"/>
        <v>T</v>
      </c>
      <c r="Q385" t="str">
        <f t="shared" si="11"/>
        <v>F</v>
      </c>
    </row>
    <row r="386" spans="1:17" hidden="1" x14ac:dyDescent="0.3">
      <c r="A386">
        <v>5515</v>
      </c>
      <c r="B386">
        <v>3007</v>
      </c>
      <c r="C386">
        <v>466</v>
      </c>
      <c r="D386" t="s">
        <v>23</v>
      </c>
      <c r="E386" t="s">
        <v>20</v>
      </c>
      <c r="F386" t="s">
        <v>17</v>
      </c>
      <c r="G386" t="s">
        <v>25</v>
      </c>
      <c r="H386">
        <v>282.10000000000002</v>
      </c>
      <c r="I386">
        <v>257</v>
      </c>
      <c r="J386">
        <v>100.3</v>
      </c>
      <c r="K386">
        <v>68.5</v>
      </c>
      <c r="L386">
        <v>27.5</v>
      </c>
      <c r="M386">
        <v>11</v>
      </c>
      <c r="N386">
        <v>4.4416132552156803E-2</v>
      </c>
      <c r="O386">
        <v>0.27680516006272798</v>
      </c>
      <c r="P386" t="str">
        <f t="shared" ref="P386:P449" si="12">IF(N386&lt;0.100978, "T", "F")</f>
        <v>T</v>
      </c>
      <c r="Q386" t="str">
        <f t="shared" ref="Q386:Q449" si="13">IF(O386&lt;0.268491, "T", "F")</f>
        <v>F</v>
      </c>
    </row>
    <row r="387" spans="1:17" hidden="1" x14ac:dyDescent="0.3">
      <c r="A387">
        <v>5516</v>
      </c>
      <c r="B387">
        <v>3007</v>
      </c>
      <c r="C387">
        <v>466</v>
      </c>
      <c r="D387" t="s">
        <v>23</v>
      </c>
      <c r="E387" t="s">
        <v>20</v>
      </c>
      <c r="F387" t="s">
        <v>17</v>
      </c>
      <c r="G387" t="s">
        <v>25</v>
      </c>
      <c r="H387">
        <v>282.10000000000002</v>
      </c>
      <c r="I387">
        <v>257</v>
      </c>
      <c r="J387">
        <v>100.3</v>
      </c>
      <c r="K387">
        <v>68.5</v>
      </c>
      <c r="L387">
        <v>27.5</v>
      </c>
      <c r="M387">
        <v>11</v>
      </c>
      <c r="N387">
        <v>4.5975668041283703E-2</v>
      </c>
      <c r="O387">
        <v>0.27224490621555802</v>
      </c>
      <c r="P387" t="str">
        <f t="shared" si="12"/>
        <v>T</v>
      </c>
      <c r="Q387" t="str">
        <f t="shared" si="13"/>
        <v>F</v>
      </c>
    </row>
    <row r="388" spans="1:17" hidden="1" x14ac:dyDescent="0.3">
      <c r="A388">
        <v>5517</v>
      </c>
      <c r="B388">
        <v>3007</v>
      </c>
      <c r="C388">
        <v>466</v>
      </c>
      <c r="D388" t="s">
        <v>23</v>
      </c>
      <c r="E388" t="s">
        <v>20</v>
      </c>
      <c r="F388" t="s">
        <v>17</v>
      </c>
      <c r="G388" t="s">
        <v>25</v>
      </c>
      <c r="H388">
        <v>282.10000000000002</v>
      </c>
      <c r="I388">
        <v>257</v>
      </c>
      <c r="J388">
        <v>100.3</v>
      </c>
      <c r="K388">
        <v>68.5</v>
      </c>
      <c r="L388">
        <v>27.5</v>
      </c>
      <c r="M388">
        <v>11</v>
      </c>
      <c r="N388">
        <v>5.9107213100724199E-2</v>
      </c>
      <c r="O388">
        <v>0.28223775674846602</v>
      </c>
      <c r="P388" t="str">
        <f t="shared" si="12"/>
        <v>T</v>
      </c>
      <c r="Q388" t="str">
        <f t="shared" si="13"/>
        <v>F</v>
      </c>
    </row>
    <row r="389" spans="1:17" hidden="1" x14ac:dyDescent="0.3">
      <c r="A389">
        <v>5519</v>
      </c>
      <c r="B389">
        <v>3009</v>
      </c>
      <c r="C389">
        <v>267</v>
      </c>
      <c r="D389" t="s">
        <v>23</v>
      </c>
      <c r="E389" t="s">
        <v>20</v>
      </c>
      <c r="F389" t="s">
        <v>21</v>
      </c>
      <c r="G389" t="s">
        <v>25</v>
      </c>
      <c r="H389">
        <v>275.39999999999998</v>
      </c>
      <c r="I389">
        <v>244.5</v>
      </c>
      <c r="J389">
        <v>95.4</v>
      </c>
      <c r="K389">
        <v>67</v>
      </c>
      <c r="L389">
        <v>22.2</v>
      </c>
      <c r="M389">
        <v>9.5</v>
      </c>
      <c r="N389">
        <v>0.25047464463549701</v>
      </c>
      <c r="O389">
        <v>0.21819181510553101</v>
      </c>
      <c r="P389" t="str">
        <f t="shared" si="12"/>
        <v>F</v>
      </c>
      <c r="Q389" t="str">
        <f t="shared" si="13"/>
        <v>T</v>
      </c>
    </row>
    <row r="390" spans="1:17" hidden="1" x14ac:dyDescent="0.3">
      <c r="A390">
        <v>5520</v>
      </c>
      <c r="B390">
        <v>3009</v>
      </c>
      <c r="C390">
        <v>267</v>
      </c>
      <c r="D390" t="s">
        <v>23</v>
      </c>
      <c r="E390" t="s">
        <v>20</v>
      </c>
      <c r="F390" t="s">
        <v>21</v>
      </c>
      <c r="G390" t="s">
        <v>25</v>
      </c>
      <c r="H390">
        <v>275.39999999999998</v>
      </c>
      <c r="I390">
        <v>244.5</v>
      </c>
      <c r="J390">
        <v>95.4</v>
      </c>
      <c r="K390">
        <v>67</v>
      </c>
      <c r="L390">
        <v>22.2</v>
      </c>
      <c r="M390">
        <v>9.5</v>
      </c>
      <c r="N390">
        <v>0.264323771964525</v>
      </c>
      <c r="O390">
        <v>0.232913507088258</v>
      </c>
      <c r="P390" t="str">
        <f t="shared" si="12"/>
        <v>F</v>
      </c>
      <c r="Q390" t="str">
        <f t="shared" si="13"/>
        <v>T</v>
      </c>
    </row>
    <row r="391" spans="1:17" hidden="1" x14ac:dyDescent="0.3">
      <c r="A391">
        <v>5636</v>
      </c>
      <c r="B391">
        <v>3047</v>
      </c>
      <c r="C391">
        <v>267</v>
      </c>
      <c r="D391" t="s">
        <v>23</v>
      </c>
      <c r="E391" t="s">
        <v>20</v>
      </c>
      <c r="F391" t="s">
        <v>17</v>
      </c>
      <c r="G391" t="s">
        <v>24</v>
      </c>
      <c r="H391">
        <v>275.39999999999998</v>
      </c>
      <c r="I391">
        <v>244.5</v>
      </c>
      <c r="J391">
        <v>95.4</v>
      </c>
      <c r="K391">
        <v>67</v>
      </c>
      <c r="L391">
        <v>22.2</v>
      </c>
      <c r="M391">
        <v>9.5</v>
      </c>
      <c r="N391">
        <v>0.22856942082780601</v>
      </c>
      <c r="O391">
        <v>0.21715309457662399</v>
      </c>
      <c r="P391" t="str">
        <f t="shared" si="12"/>
        <v>F</v>
      </c>
      <c r="Q391" t="str">
        <f t="shared" si="13"/>
        <v>T</v>
      </c>
    </row>
    <row r="392" spans="1:17" hidden="1" x14ac:dyDescent="0.3">
      <c r="A392">
        <v>5637</v>
      </c>
      <c r="B392">
        <v>3047</v>
      </c>
      <c r="C392">
        <v>267</v>
      </c>
      <c r="D392" t="s">
        <v>23</v>
      </c>
      <c r="E392" t="s">
        <v>20</v>
      </c>
      <c r="F392" t="s">
        <v>17</v>
      </c>
      <c r="G392" t="s">
        <v>24</v>
      </c>
      <c r="H392">
        <v>275.39999999999998</v>
      </c>
      <c r="I392">
        <v>244.5</v>
      </c>
      <c r="J392">
        <v>95.4</v>
      </c>
      <c r="K392">
        <v>67</v>
      </c>
      <c r="L392">
        <v>22.2</v>
      </c>
      <c r="M392">
        <v>9.5</v>
      </c>
      <c r="N392">
        <v>0.23290667571197901</v>
      </c>
      <c r="O392">
        <v>0.22940246604153799</v>
      </c>
      <c r="P392" t="str">
        <f t="shared" si="12"/>
        <v>F</v>
      </c>
      <c r="Q392" t="str">
        <f t="shared" si="13"/>
        <v>T</v>
      </c>
    </row>
    <row r="393" spans="1:17" hidden="1" x14ac:dyDescent="0.3">
      <c r="A393">
        <v>5638</v>
      </c>
      <c r="B393">
        <v>3049</v>
      </c>
      <c r="C393">
        <v>453</v>
      </c>
      <c r="D393" t="s">
        <v>23</v>
      </c>
      <c r="E393" t="s">
        <v>20</v>
      </c>
      <c r="F393" t="s">
        <v>21</v>
      </c>
      <c r="G393" t="s">
        <v>24</v>
      </c>
      <c r="H393">
        <v>281.60000000000002</v>
      </c>
      <c r="I393">
        <v>255.5</v>
      </c>
      <c r="J393">
        <v>100.4</v>
      </c>
      <c r="K393">
        <v>70</v>
      </c>
      <c r="L393">
        <v>25.7</v>
      </c>
      <c r="M393">
        <v>10</v>
      </c>
      <c r="N393">
        <v>0.14169115110228001</v>
      </c>
      <c r="O393">
        <v>0.40811079996217597</v>
      </c>
      <c r="P393" t="str">
        <f t="shared" si="12"/>
        <v>F</v>
      </c>
      <c r="Q393" t="str">
        <f t="shared" si="13"/>
        <v>F</v>
      </c>
    </row>
    <row r="394" spans="1:17" hidden="1" x14ac:dyDescent="0.3">
      <c r="A394">
        <v>5650</v>
      </c>
      <c r="B394">
        <v>3054</v>
      </c>
      <c r="C394">
        <v>497</v>
      </c>
      <c r="D394" t="s">
        <v>23</v>
      </c>
      <c r="E394" t="s">
        <v>20</v>
      </c>
      <c r="F394" t="s">
        <v>17</v>
      </c>
      <c r="G394" t="s">
        <v>18</v>
      </c>
      <c r="H394">
        <v>269.7</v>
      </c>
      <c r="I394">
        <v>245</v>
      </c>
      <c r="J394">
        <v>94</v>
      </c>
      <c r="K394">
        <v>67</v>
      </c>
      <c r="L394">
        <v>24.2</v>
      </c>
      <c r="M394">
        <v>9</v>
      </c>
      <c r="N394">
        <v>0.228717659946476</v>
      </c>
      <c r="O394">
        <v>0.37289471946319902</v>
      </c>
      <c r="P394" t="str">
        <f t="shared" si="12"/>
        <v>F</v>
      </c>
      <c r="Q394" t="str">
        <f t="shared" si="13"/>
        <v>F</v>
      </c>
    </row>
    <row r="395" spans="1:17" hidden="1" x14ac:dyDescent="0.3">
      <c r="A395">
        <v>5651</v>
      </c>
      <c r="B395">
        <v>3054</v>
      </c>
      <c r="C395">
        <v>497</v>
      </c>
      <c r="D395" t="s">
        <v>23</v>
      </c>
      <c r="E395" t="s">
        <v>20</v>
      </c>
      <c r="F395" t="s">
        <v>17</v>
      </c>
      <c r="G395" t="s">
        <v>18</v>
      </c>
      <c r="H395">
        <v>269.7</v>
      </c>
      <c r="I395">
        <v>245</v>
      </c>
      <c r="J395">
        <v>94</v>
      </c>
      <c r="K395">
        <v>67</v>
      </c>
      <c r="L395">
        <v>24.2</v>
      </c>
      <c r="M395">
        <v>9</v>
      </c>
      <c r="N395">
        <v>0.213793597649689</v>
      </c>
      <c r="O395">
        <v>0.38941663018691602</v>
      </c>
      <c r="P395" t="str">
        <f t="shared" si="12"/>
        <v>F</v>
      </c>
      <c r="Q395" t="str">
        <f t="shared" si="13"/>
        <v>F</v>
      </c>
    </row>
    <row r="396" spans="1:17" hidden="1" x14ac:dyDescent="0.3">
      <c r="A396">
        <v>5652</v>
      </c>
      <c r="B396">
        <v>3054</v>
      </c>
      <c r="C396">
        <v>497</v>
      </c>
      <c r="D396" t="s">
        <v>23</v>
      </c>
      <c r="E396" t="s">
        <v>20</v>
      </c>
      <c r="F396" t="s">
        <v>17</v>
      </c>
      <c r="G396" t="s">
        <v>18</v>
      </c>
      <c r="H396">
        <v>269.7</v>
      </c>
      <c r="I396">
        <v>245</v>
      </c>
      <c r="J396">
        <v>94</v>
      </c>
      <c r="K396">
        <v>67</v>
      </c>
      <c r="L396">
        <v>24.2</v>
      </c>
      <c r="M396">
        <v>9</v>
      </c>
      <c r="N396">
        <v>0.230670122111785</v>
      </c>
      <c r="O396">
        <v>0.35332004447615201</v>
      </c>
      <c r="P396" t="str">
        <f t="shared" si="12"/>
        <v>F</v>
      </c>
      <c r="Q396" t="str">
        <f t="shared" si="13"/>
        <v>F</v>
      </c>
    </row>
    <row r="397" spans="1:17" hidden="1" x14ac:dyDescent="0.3">
      <c r="A397">
        <v>5653</v>
      </c>
      <c r="B397">
        <v>3054</v>
      </c>
      <c r="C397">
        <v>497</v>
      </c>
      <c r="D397" t="s">
        <v>23</v>
      </c>
      <c r="E397" t="s">
        <v>20</v>
      </c>
      <c r="F397" t="s">
        <v>17</v>
      </c>
      <c r="G397" t="s">
        <v>18</v>
      </c>
      <c r="H397">
        <v>269.7</v>
      </c>
      <c r="I397">
        <v>245</v>
      </c>
      <c r="J397">
        <v>94</v>
      </c>
      <c r="K397">
        <v>67</v>
      </c>
      <c r="L397">
        <v>24.2</v>
      </c>
      <c r="M397">
        <v>9</v>
      </c>
      <c r="N397">
        <v>0.193084842257738</v>
      </c>
      <c r="O397">
        <v>0.36823000855995802</v>
      </c>
      <c r="P397" t="str">
        <f t="shared" si="12"/>
        <v>F</v>
      </c>
      <c r="Q397" t="str">
        <f t="shared" si="13"/>
        <v>F</v>
      </c>
    </row>
    <row r="398" spans="1:17" hidden="1" x14ac:dyDescent="0.3">
      <c r="A398">
        <v>5705</v>
      </c>
      <c r="B398">
        <v>308</v>
      </c>
      <c r="C398">
        <v>289</v>
      </c>
      <c r="D398" t="s">
        <v>23</v>
      </c>
      <c r="E398" t="s">
        <v>20</v>
      </c>
      <c r="F398" t="s">
        <v>21</v>
      </c>
      <c r="G398" t="s">
        <v>22</v>
      </c>
      <c r="H398">
        <v>279.39999999999998</v>
      </c>
      <c r="I398">
        <v>256</v>
      </c>
      <c r="J398">
        <v>95.5</v>
      </c>
      <c r="K398">
        <v>69.5</v>
      </c>
      <c r="L398">
        <v>26.8</v>
      </c>
      <c r="M398">
        <v>13</v>
      </c>
      <c r="N398">
        <v>0.13265449885167099</v>
      </c>
      <c r="O398">
        <v>0.451718491500883</v>
      </c>
      <c r="P398" t="str">
        <f t="shared" si="12"/>
        <v>F</v>
      </c>
      <c r="Q398" t="str">
        <f t="shared" si="13"/>
        <v>F</v>
      </c>
    </row>
    <row r="399" spans="1:17" hidden="1" x14ac:dyDescent="0.3">
      <c r="A399">
        <v>5719</v>
      </c>
      <c r="B399">
        <v>3084</v>
      </c>
      <c r="C399">
        <v>497</v>
      </c>
      <c r="D399" t="s">
        <v>23</v>
      </c>
      <c r="E399" t="s">
        <v>20</v>
      </c>
      <c r="F399" t="s">
        <v>17</v>
      </c>
      <c r="G399" t="s">
        <v>26</v>
      </c>
      <c r="H399">
        <v>269.7</v>
      </c>
      <c r="I399">
        <v>245</v>
      </c>
      <c r="J399">
        <v>94</v>
      </c>
      <c r="K399">
        <v>67</v>
      </c>
      <c r="L399">
        <v>24.2</v>
      </c>
      <c r="M399">
        <v>9</v>
      </c>
      <c r="N399">
        <v>0.205177009321064</v>
      </c>
      <c r="O399">
        <v>0.39158918955871702</v>
      </c>
      <c r="P399" t="str">
        <f t="shared" si="12"/>
        <v>F</v>
      </c>
      <c r="Q399" t="str">
        <f t="shared" si="13"/>
        <v>F</v>
      </c>
    </row>
    <row r="400" spans="1:17" hidden="1" x14ac:dyDescent="0.3">
      <c r="A400">
        <v>5720</v>
      </c>
      <c r="B400">
        <v>3084</v>
      </c>
      <c r="C400">
        <v>497</v>
      </c>
      <c r="D400" t="s">
        <v>23</v>
      </c>
      <c r="E400" t="s">
        <v>20</v>
      </c>
      <c r="F400" t="s">
        <v>17</v>
      </c>
      <c r="G400" t="s">
        <v>26</v>
      </c>
      <c r="H400">
        <v>269.7</v>
      </c>
      <c r="I400">
        <v>245</v>
      </c>
      <c r="J400">
        <v>94</v>
      </c>
      <c r="K400">
        <v>67</v>
      </c>
      <c r="L400">
        <v>24.2</v>
      </c>
      <c r="M400">
        <v>9</v>
      </c>
      <c r="N400">
        <v>0.22875882512289999</v>
      </c>
      <c r="O400">
        <v>0.36821739078391702</v>
      </c>
      <c r="P400" t="str">
        <f t="shared" si="12"/>
        <v>F</v>
      </c>
      <c r="Q400" t="str">
        <f t="shared" si="13"/>
        <v>F</v>
      </c>
    </row>
    <row r="401" spans="1:17" hidden="1" x14ac:dyDescent="0.3">
      <c r="A401">
        <v>5721</v>
      </c>
      <c r="B401">
        <v>3084</v>
      </c>
      <c r="C401">
        <v>497</v>
      </c>
      <c r="D401" t="s">
        <v>23</v>
      </c>
      <c r="E401" t="s">
        <v>20</v>
      </c>
      <c r="F401" t="s">
        <v>17</v>
      </c>
      <c r="G401" t="s">
        <v>26</v>
      </c>
      <c r="H401">
        <v>269.7</v>
      </c>
      <c r="I401">
        <v>245</v>
      </c>
      <c r="J401">
        <v>94</v>
      </c>
      <c r="K401">
        <v>67</v>
      </c>
      <c r="L401">
        <v>24.2</v>
      </c>
      <c r="M401">
        <v>9</v>
      </c>
      <c r="N401">
        <v>0.21830642756795199</v>
      </c>
      <c r="O401">
        <v>0.35423857260427699</v>
      </c>
      <c r="P401" t="str">
        <f t="shared" si="12"/>
        <v>F</v>
      </c>
      <c r="Q401" t="str">
        <f t="shared" si="13"/>
        <v>F</v>
      </c>
    </row>
    <row r="402" spans="1:17" hidden="1" x14ac:dyDescent="0.3">
      <c r="A402">
        <v>5722</v>
      </c>
      <c r="B402">
        <v>3084</v>
      </c>
      <c r="C402">
        <v>497</v>
      </c>
      <c r="D402" t="s">
        <v>23</v>
      </c>
      <c r="E402" t="s">
        <v>20</v>
      </c>
      <c r="F402" t="s">
        <v>17</v>
      </c>
      <c r="G402" t="s">
        <v>26</v>
      </c>
      <c r="H402">
        <v>269.7</v>
      </c>
      <c r="I402">
        <v>245</v>
      </c>
      <c r="J402">
        <v>94</v>
      </c>
      <c r="K402">
        <v>67</v>
      </c>
      <c r="L402">
        <v>24.2</v>
      </c>
      <c r="M402">
        <v>9</v>
      </c>
      <c r="N402">
        <v>0.19619091108134601</v>
      </c>
      <c r="O402">
        <v>0.38121950549364603</v>
      </c>
      <c r="P402" t="str">
        <f t="shared" si="12"/>
        <v>F</v>
      </c>
      <c r="Q402" t="str">
        <f t="shared" si="13"/>
        <v>F</v>
      </c>
    </row>
    <row r="403" spans="1:17" hidden="1" x14ac:dyDescent="0.3">
      <c r="A403">
        <v>5745</v>
      </c>
      <c r="B403">
        <v>3091</v>
      </c>
      <c r="C403">
        <v>26</v>
      </c>
      <c r="D403" t="s">
        <v>23</v>
      </c>
      <c r="E403" t="s">
        <v>20</v>
      </c>
      <c r="F403" t="s">
        <v>17</v>
      </c>
      <c r="G403" t="s">
        <v>22</v>
      </c>
      <c r="H403">
        <v>270.5</v>
      </c>
      <c r="I403">
        <v>243.5</v>
      </c>
      <c r="J403">
        <v>95.9</v>
      </c>
      <c r="K403">
        <v>66</v>
      </c>
      <c r="L403">
        <v>26.9</v>
      </c>
      <c r="M403">
        <v>6</v>
      </c>
      <c r="N403">
        <v>0.195424493153352</v>
      </c>
      <c r="O403">
        <v>0.39243524979699601</v>
      </c>
      <c r="P403" t="str">
        <f t="shared" si="12"/>
        <v>F</v>
      </c>
      <c r="Q403" t="str">
        <f t="shared" si="13"/>
        <v>F</v>
      </c>
    </row>
    <row r="404" spans="1:17" hidden="1" x14ac:dyDescent="0.3">
      <c r="A404">
        <v>5746</v>
      </c>
      <c r="B404">
        <v>3091</v>
      </c>
      <c r="C404">
        <v>26</v>
      </c>
      <c r="D404" t="s">
        <v>23</v>
      </c>
      <c r="E404" t="s">
        <v>20</v>
      </c>
      <c r="F404" t="s">
        <v>17</v>
      </c>
      <c r="G404" t="s">
        <v>22</v>
      </c>
      <c r="H404">
        <v>270.5</v>
      </c>
      <c r="I404">
        <v>243.5</v>
      </c>
      <c r="J404">
        <v>95.9</v>
      </c>
      <c r="K404">
        <v>66</v>
      </c>
      <c r="L404">
        <v>26.9</v>
      </c>
      <c r="M404">
        <v>6</v>
      </c>
      <c r="N404">
        <v>0.174975027821755</v>
      </c>
      <c r="O404">
        <v>0.366255983847453</v>
      </c>
      <c r="P404" t="str">
        <f t="shared" si="12"/>
        <v>F</v>
      </c>
      <c r="Q404" t="str">
        <f t="shared" si="13"/>
        <v>F</v>
      </c>
    </row>
    <row r="405" spans="1:17" hidden="1" x14ac:dyDescent="0.3">
      <c r="A405">
        <v>5812</v>
      </c>
      <c r="B405">
        <v>3114</v>
      </c>
      <c r="C405">
        <v>337</v>
      </c>
      <c r="D405" t="s">
        <v>23</v>
      </c>
      <c r="E405" t="s">
        <v>20</v>
      </c>
      <c r="F405" t="s">
        <v>17</v>
      </c>
      <c r="G405" t="s">
        <v>18</v>
      </c>
      <c r="H405">
        <v>279.7</v>
      </c>
      <c r="I405">
        <v>255</v>
      </c>
      <c r="J405">
        <v>95.2</v>
      </c>
      <c r="K405">
        <v>68</v>
      </c>
      <c r="L405">
        <v>25.3</v>
      </c>
      <c r="M405">
        <v>5.5</v>
      </c>
      <c r="N405">
        <v>0.194344539170342</v>
      </c>
      <c r="O405">
        <v>0.36575855246040401</v>
      </c>
      <c r="P405" t="str">
        <f t="shared" si="12"/>
        <v>F</v>
      </c>
      <c r="Q405" t="str">
        <f t="shared" si="13"/>
        <v>F</v>
      </c>
    </row>
    <row r="406" spans="1:17" hidden="1" x14ac:dyDescent="0.3">
      <c r="A406">
        <v>5813</v>
      </c>
      <c r="B406">
        <v>3114</v>
      </c>
      <c r="C406">
        <v>337</v>
      </c>
      <c r="D406" t="s">
        <v>23</v>
      </c>
      <c r="E406" t="s">
        <v>20</v>
      </c>
      <c r="F406" t="s">
        <v>17</v>
      </c>
      <c r="G406" t="s">
        <v>18</v>
      </c>
      <c r="H406">
        <v>279.7</v>
      </c>
      <c r="I406">
        <v>255</v>
      </c>
      <c r="J406">
        <v>95.2</v>
      </c>
      <c r="K406">
        <v>68</v>
      </c>
      <c r="L406">
        <v>25.3</v>
      </c>
      <c r="M406">
        <v>5.5</v>
      </c>
      <c r="N406">
        <v>0.20147911851353301</v>
      </c>
      <c r="O406">
        <v>0.36013122583940599</v>
      </c>
      <c r="P406" t="str">
        <f t="shared" si="12"/>
        <v>F</v>
      </c>
      <c r="Q406" t="str">
        <f t="shared" si="13"/>
        <v>F</v>
      </c>
    </row>
    <row r="407" spans="1:17" hidden="1" x14ac:dyDescent="0.3">
      <c r="A407">
        <v>5814</v>
      </c>
      <c r="B407">
        <v>3114</v>
      </c>
      <c r="C407">
        <v>337</v>
      </c>
      <c r="D407" t="s">
        <v>23</v>
      </c>
      <c r="E407" t="s">
        <v>20</v>
      </c>
      <c r="F407" t="s">
        <v>17</v>
      </c>
      <c r="G407" t="s">
        <v>18</v>
      </c>
      <c r="H407">
        <v>279.7</v>
      </c>
      <c r="I407">
        <v>255</v>
      </c>
      <c r="J407">
        <v>95.2</v>
      </c>
      <c r="K407">
        <v>68</v>
      </c>
      <c r="L407">
        <v>25.3</v>
      </c>
      <c r="M407">
        <v>5.5</v>
      </c>
      <c r="N407">
        <v>0.21098551428065501</v>
      </c>
      <c r="O407">
        <v>0.34486909292293599</v>
      </c>
      <c r="P407" t="str">
        <f t="shared" si="12"/>
        <v>F</v>
      </c>
      <c r="Q407" t="str">
        <f t="shared" si="13"/>
        <v>F</v>
      </c>
    </row>
    <row r="408" spans="1:17" hidden="1" x14ac:dyDescent="0.3">
      <c r="A408">
        <v>5815</v>
      </c>
      <c r="B408">
        <v>3114</v>
      </c>
      <c r="C408">
        <v>337</v>
      </c>
      <c r="D408" t="s">
        <v>23</v>
      </c>
      <c r="E408" t="s">
        <v>20</v>
      </c>
      <c r="F408" t="s">
        <v>17</v>
      </c>
      <c r="G408" t="s">
        <v>18</v>
      </c>
      <c r="H408">
        <v>279.7</v>
      </c>
      <c r="I408">
        <v>255</v>
      </c>
      <c r="J408">
        <v>95.2</v>
      </c>
      <c r="K408">
        <v>68</v>
      </c>
      <c r="L408">
        <v>25.3</v>
      </c>
      <c r="M408">
        <v>5.5</v>
      </c>
      <c r="N408">
        <v>0.218434285523979</v>
      </c>
      <c r="O408">
        <v>0.36592579158998001</v>
      </c>
      <c r="P408" t="str">
        <f t="shared" si="12"/>
        <v>F</v>
      </c>
      <c r="Q408" t="str">
        <f t="shared" si="13"/>
        <v>F</v>
      </c>
    </row>
    <row r="409" spans="1:17" hidden="1" x14ac:dyDescent="0.3">
      <c r="A409">
        <v>5816</v>
      </c>
      <c r="B409">
        <v>3114</v>
      </c>
      <c r="C409">
        <v>337</v>
      </c>
      <c r="D409" t="s">
        <v>23</v>
      </c>
      <c r="E409" t="s">
        <v>20</v>
      </c>
      <c r="F409" t="s">
        <v>17</v>
      </c>
      <c r="G409" t="s">
        <v>18</v>
      </c>
      <c r="H409">
        <v>279.7</v>
      </c>
      <c r="I409">
        <v>255</v>
      </c>
      <c r="J409">
        <v>95.2</v>
      </c>
      <c r="K409">
        <v>68</v>
      </c>
      <c r="L409">
        <v>25.3</v>
      </c>
      <c r="M409">
        <v>5.5</v>
      </c>
      <c r="N409">
        <v>0.216389991899955</v>
      </c>
      <c r="O409">
        <v>0.34280957376491999</v>
      </c>
      <c r="P409" t="str">
        <f t="shared" si="12"/>
        <v>F</v>
      </c>
      <c r="Q409" t="str">
        <f t="shared" si="13"/>
        <v>F</v>
      </c>
    </row>
    <row r="410" spans="1:17" hidden="1" x14ac:dyDescent="0.3">
      <c r="A410">
        <v>5839</v>
      </c>
      <c r="B410">
        <v>3121</v>
      </c>
      <c r="C410">
        <v>26</v>
      </c>
      <c r="D410" t="s">
        <v>23</v>
      </c>
      <c r="E410" t="s">
        <v>20</v>
      </c>
      <c r="F410" t="s">
        <v>21</v>
      </c>
      <c r="G410" t="s">
        <v>22</v>
      </c>
      <c r="H410">
        <v>270.5</v>
      </c>
      <c r="I410">
        <v>243.5</v>
      </c>
      <c r="J410">
        <v>95.9</v>
      </c>
      <c r="K410">
        <v>66</v>
      </c>
      <c r="L410">
        <v>26.9</v>
      </c>
      <c r="M410">
        <v>6</v>
      </c>
      <c r="N410">
        <v>0.20577866016621901</v>
      </c>
      <c r="O410">
        <v>0.376193883320736</v>
      </c>
      <c r="P410" t="str">
        <f t="shared" si="12"/>
        <v>F</v>
      </c>
      <c r="Q410" t="str">
        <f t="shared" si="13"/>
        <v>F</v>
      </c>
    </row>
    <row r="411" spans="1:17" hidden="1" x14ac:dyDescent="0.3">
      <c r="A411">
        <v>5840</v>
      </c>
      <c r="B411">
        <v>3121</v>
      </c>
      <c r="C411">
        <v>26</v>
      </c>
      <c r="D411" t="s">
        <v>23</v>
      </c>
      <c r="E411" t="s">
        <v>20</v>
      </c>
      <c r="F411" t="s">
        <v>21</v>
      </c>
      <c r="G411" t="s">
        <v>22</v>
      </c>
      <c r="H411">
        <v>270.5</v>
      </c>
      <c r="I411">
        <v>243.5</v>
      </c>
      <c r="J411">
        <v>95.9</v>
      </c>
      <c r="K411">
        <v>66</v>
      </c>
      <c r="L411">
        <v>26.9</v>
      </c>
      <c r="M411">
        <v>6</v>
      </c>
      <c r="N411">
        <v>0.20602511548187</v>
      </c>
      <c r="O411">
        <v>0.37774055380254701</v>
      </c>
      <c r="P411" t="str">
        <f t="shared" si="12"/>
        <v>F</v>
      </c>
      <c r="Q411" t="str">
        <f t="shared" si="13"/>
        <v>F</v>
      </c>
    </row>
    <row r="412" spans="1:17" hidden="1" x14ac:dyDescent="0.3">
      <c r="A412">
        <v>5841</v>
      </c>
      <c r="B412">
        <v>3121</v>
      </c>
      <c r="C412">
        <v>26</v>
      </c>
      <c r="D412" t="s">
        <v>23</v>
      </c>
      <c r="E412" t="s">
        <v>20</v>
      </c>
      <c r="F412" t="s">
        <v>21</v>
      </c>
      <c r="G412" t="s">
        <v>22</v>
      </c>
      <c r="H412">
        <v>270.5</v>
      </c>
      <c r="I412">
        <v>243.5</v>
      </c>
      <c r="J412">
        <v>95.9</v>
      </c>
      <c r="K412">
        <v>66</v>
      </c>
      <c r="L412">
        <v>26.9</v>
      </c>
      <c r="M412">
        <v>6</v>
      </c>
      <c r="N412">
        <v>0.187036471513359</v>
      </c>
      <c r="O412">
        <v>0.40408945434874299</v>
      </c>
      <c r="P412" t="str">
        <f t="shared" si="12"/>
        <v>F</v>
      </c>
      <c r="Q412" t="str">
        <f t="shared" si="13"/>
        <v>F</v>
      </c>
    </row>
    <row r="413" spans="1:17" hidden="1" x14ac:dyDescent="0.3">
      <c r="A413">
        <v>5848</v>
      </c>
      <c r="B413">
        <v>3124</v>
      </c>
      <c r="C413">
        <v>351</v>
      </c>
      <c r="D413" t="s">
        <v>23</v>
      </c>
      <c r="E413" t="s">
        <v>20</v>
      </c>
      <c r="F413" t="s">
        <v>17</v>
      </c>
      <c r="G413" t="s">
        <v>18</v>
      </c>
      <c r="H413">
        <v>277.60000000000002</v>
      </c>
      <c r="I413">
        <v>246.5</v>
      </c>
      <c r="J413">
        <v>93.9</v>
      </c>
      <c r="K413">
        <v>67.5</v>
      </c>
      <c r="L413">
        <v>27.5</v>
      </c>
      <c r="M413">
        <v>8</v>
      </c>
      <c r="N413">
        <v>0.158266894967896</v>
      </c>
      <c r="O413">
        <v>0.300905560448605</v>
      </c>
      <c r="P413" t="str">
        <f t="shared" si="12"/>
        <v>F</v>
      </c>
      <c r="Q413" t="str">
        <f t="shared" si="13"/>
        <v>F</v>
      </c>
    </row>
    <row r="414" spans="1:17" hidden="1" x14ac:dyDescent="0.3">
      <c r="A414">
        <v>5849</v>
      </c>
      <c r="B414">
        <v>3124</v>
      </c>
      <c r="C414">
        <v>351</v>
      </c>
      <c r="D414" t="s">
        <v>23</v>
      </c>
      <c r="E414" t="s">
        <v>20</v>
      </c>
      <c r="F414" t="s">
        <v>17</v>
      </c>
      <c r="G414" t="s">
        <v>18</v>
      </c>
      <c r="H414">
        <v>277.60000000000002</v>
      </c>
      <c r="I414">
        <v>246.5</v>
      </c>
      <c r="J414">
        <v>93.9</v>
      </c>
      <c r="K414">
        <v>67.5</v>
      </c>
      <c r="L414">
        <v>27.5</v>
      </c>
      <c r="M414">
        <v>8</v>
      </c>
      <c r="N414">
        <v>0.141731802383644</v>
      </c>
      <c r="O414">
        <v>0.29987765232858199</v>
      </c>
      <c r="P414" t="str">
        <f t="shared" si="12"/>
        <v>F</v>
      </c>
      <c r="Q414" t="str">
        <f t="shared" si="13"/>
        <v>F</v>
      </c>
    </row>
    <row r="415" spans="1:17" hidden="1" x14ac:dyDescent="0.3">
      <c r="A415">
        <v>5850</v>
      </c>
      <c r="B415">
        <v>3124</v>
      </c>
      <c r="C415">
        <v>351</v>
      </c>
      <c r="D415" t="s">
        <v>23</v>
      </c>
      <c r="E415" t="s">
        <v>20</v>
      </c>
      <c r="F415" t="s">
        <v>17</v>
      </c>
      <c r="G415" t="s">
        <v>18</v>
      </c>
      <c r="H415">
        <v>277.60000000000002</v>
      </c>
      <c r="I415">
        <v>246.5</v>
      </c>
      <c r="J415">
        <v>93.9</v>
      </c>
      <c r="K415">
        <v>67.5</v>
      </c>
      <c r="L415">
        <v>27.5</v>
      </c>
      <c r="M415">
        <v>8</v>
      </c>
      <c r="N415">
        <v>0.17623003253410299</v>
      </c>
      <c r="O415">
        <v>0.31549620482938501</v>
      </c>
      <c r="P415" t="str">
        <f t="shared" si="12"/>
        <v>F</v>
      </c>
      <c r="Q415" t="str">
        <f t="shared" si="13"/>
        <v>F</v>
      </c>
    </row>
    <row r="416" spans="1:17" hidden="1" x14ac:dyDescent="0.3">
      <c r="A416">
        <v>5871</v>
      </c>
      <c r="B416">
        <v>313</v>
      </c>
      <c r="C416">
        <v>42</v>
      </c>
      <c r="D416" t="s">
        <v>23</v>
      </c>
      <c r="E416" t="s">
        <v>20</v>
      </c>
      <c r="F416" t="s">
        <v>21</v>
      </c>
      <c r="G416" t="s">
        <v>26</v>
      </c>
      <c r="H416">
        <v>280.10000000000002</v>
      </c>
      <c r="I416">
        <v>241.5</v>
      </c>
      <c r="J416">
        <v>94.5</v>
      </c>
      <c r="K416">
        <v>66</v>
      </c>
      <c r="L416">
        <v>29.4</v>
      </c>
      <c r="M416">
        <v>8.5</v>
      </c>
      <c r="N416">
        <v>5.9116675383167401E-2</v>
      </c>
      <c r="O416">
        <v>0.39019385895972603</v>
      </c>
      <c r="P416" t="str">
        <f t="shared" si="12"/>
        <v>T</v>
      </c>
      <c r="Q416" t="str">
        <f t="shared" si="13"/>
        <v>F</v>
      </c>
    </row>
    <row r="417" spans="1:17" hidden="1" x14ac:dyDescent="0.3">
      <c r="A417">
        <v>5873</v>
      </c>
      <c r="B417">
        <v>3130</v>
      </c>
      <c r="C417">
        <v>42</v>
      </c>
      <c r="D417" t="s">
        <v>23</v>
      </c>
      <c r="E417" t="s">
        <v>20</v>
      </c>
      <c r="F417" t="s">
        <v>21</v>
      </c>
      <c r="G417" t="s">
        <v>25</v>
      </c>
      <c r="H417">
        <v>280.10000000000002</v>
      </c>
      <c r="I417">
        <v>241.5</v>
      </c>
      <c r="J417">
        <v>94.5</v>
      </c>
      <c r="K417">
        <v>66</v>
      </c>
      <c r="L417">
        <v>29.4</v>
      </c>
      <c r="M417">
        <v>8.5</v>
      </c>
      <c r="N417">
        <v>5.4373215089465403E-2</v>
      </c>
      <c r="O417">
        <v>0.37932586759091502</v>
      </c>
      <c r="P417" t="str">
        <f t="shared" si="12"/>
        <v>T</v>
      </c>
      <c r="Q417" t="str">
        <f t="shared" si="13"/>
        <v>F</v>
      </c>
    </row>
    <row r="418" spans="1:17" hidden="1" x14ac:dyDescent="0.3">
      <c r="A418">
        <v>5975</v>
      </c>
      <c r="B418">
        <v>3171</v>
      </c>
      <c r="C418">
        <v>289</v>
      </c>
      <c r="D418" t="s">
        <v>23</v>
      </c>
      <c r="E418" t="s">
        <v>20</v>
      </c>
      <c r="F418" t="s">
        <v>21</v>
      </c>
      <c r="G418" t="s">
        <v>25</v>
      </c>
      <c r="H418">
        <v>279.39999999999998</v>
      </c>
      <c r="I418">
        <v>256</v>
      </c>
      <c r="J418">
        <v>95.5</v>
      </c>
      <c r="K418">
        <v>69.5</v>
      </c>
      <c r="L418">
        <v>26.8</v>
      </c>
      <c r="M418">
        <v>13</v>
      </c>
      <c r="N418">
        <v>0.12553890760325701</v>
      </c>
      <c r="O418">
        <v>0.45096917304543499</v>
      </c>
      <c r="P418" t="str">
        <f t="shared" si="12"/>
        <v>F</v>
      </c>
      <c r="Q418" t="str">
        <f t="shared" si="13"/>
        <v>F</v>
      </c>
    </row>
    <row r="419" spans="1:17" hidden="1" x14ac:dyDescent="0.3">
      <c r="A419">
        <v>5976</v>
      </c>
      <c r="B419">
        <v>3172</v>
      </c>
      <c r="C419">
        <v>154</v>
      </c>
      <c r="D419" t="s">
        <v>23</v>
      </c>
      <c r="E419" t="s">
        <v>20</v>
      </c>
      <c r="F419" t="s">
        <v>21</v>
      </c>
      <c r="G419" t="s">
        <v>22</v>
      </c>
      <c r="H419">
        <v>278.39999999999998</v>
      </c>
      <c r="I419">
        <v>245</v>
      </c>
      <c r="J419">
        <v>94.5</v>
      </c>
      <c r="K419">
        <v>64</v>
      </c>
      <c r="L419">
        <v>25.4</v>
      </c>
      <c r="M419">
        <v>10.5</v>
      </c>
      <c r="N419">
        <v>0.159721480577942</v>
      </c>
      <c r="O419">
        <v>0.33762312183839399</v>
      </c>
      <c r="P419" t="str">
        <f t="shared" si="12"/>
        <v>F</v>
      </c>
      <c r="Q419" t="str">
        <f t="shared" si="13"/>
        <v>F</v>
      </c>
    </row>
    <row r="420" spans="1:17" hidden="1" x14ac:dyDescent="0.3">
      <c r="A420">
        <v>5977</v>
      </c>
      <c r="B420">
        <v>3172</v>
      </c>
      <c r="C420">
        <v>154</v>
      </c>
      <c r="D420" t="s">
        <v>23</v>
      </c>
      <c r="E420" t="s">
        <v>20</v>
      </c>
      <c r="F420" t="s">
        <v>21</v>
      </c>
      <c r="G420" t="s">
        <v>22</v>
      </c>
      <c r="H420">
        <v>278.39999999999998</v>
      </c>
      <c r="I420">
        <v>245</v>
      </c>
      <c r="J420">
        <v>94.5</v>
      </c>
      <c r="K420">
        <v>64</v>
      </c>
      <c r="L420">
        <v>25.4</v>
      </c>
      <c r="M420">
        <v>10.5</v>
      </c>
      <c r="N420">
        <v>0.14698816095030601</v>
      </c>
      <c r="O420">
        <v>0.335232357153192</v>
      </c>
      <c r="P420" t="str">
        <f t="shared" si="12"/>
        <v>F</v>
      </c>
      <c r="Q420" t="str">
        <f t="shared" si="13"/>
        <v>F</v>
      </c>
    </row>
    <row r="421" spans="1:17" hidden="1" x14ac:dyDescent="0.3">
      <c r="A421">
        <v>5978</v>
      </c>
      <c r="B421">
        <v>3172</v>
      </c>
      <c r="C421">
        <v>154</v>
      </c>
      <c r="D421" t="s">
        <v>23</v>
      </c>
      <c r="E421" t="s">
        <v>20</v>
      </c>
      <c r="F421" t="s">
        <v>21</v>
      </c>
      <c r="G421" t="s">
        <v>22</v>
      </c>
      <c r="H421">
        <v>278.39999999999998</v>
      </c>
      <c r="I421">
        <v>245</v>
      </c>
      <c r="J421">
        <v>94.5</v>
      </c>
      <c r="K421">
        <v>64</v>
      </c>
      <c r="L421">
        <v>25.4</v>
      </c>
      <c r="M421">
        <v>10.5</v>
      </c>
      <c r="N421">
        <v>0.151928633347689</v>
      </c>
      <c r="O421">
        <v>0.345635206647537</v>
      </c>
      <c r="P421" t="str">
        <f t="shared" si="12"/>
        <v>F</v>
      </c>
      <c r="Q421" t="str">
        <f t="shared" si="13"/>
        <v>F</v>
      </c>
    </row>
    <row r="422" spans="1:17" hidden="1" x14ac:dyDescent="0.3">
      <c r="A422">
        <v>5991</v>
      </c>
      <c r="B422">
        <v>3178</v>
      </c>
      <c r="C422">
        <v>226</v>
      </c>
      <c r="D422" t="s">
        <v>23</v>
      </c>
      <c r="E422" t="s">
        <v>20</v>
      </c>
      <c r="F422" t="s">
        <v>17</v>
      </c>
      <c r="G422" t="s">
        <v>25</v>
      </c>
      <c r="H422">
        <v>279.10000000000002</v>
      </c>
      <c r="I422">
        <v>257.5</v>
      </c>
      <c r="J422">
        <v>97.9</v>
      </c>
      <c r="K422">
        <v>68</v>
      </c>
      <c r="L422">
        <v>27.6</v>
      </c>
      <c r="M422">
        <v>2.5</v>
      </c>
      <c r="N422">
        <v>0.162435837871725</v>
      </c>
      <c r="O422">
        <v>0.21177597750034199</v>
      </c>
      <c r="P422" t="str">
        <f t="shared" si="12"/>
        <v>F</v>
      </c>
      <c r="Q422" t="str">
        <f t="shared" si="13"/>
        <v>T</v>
      </c>
    </row>
    <row r="423" spans="1:17" hidden="1" x14ac:dyDescent="0.3">
      <c r="A423">
        <v>5999</v>
      </c>
      <c r="B423">
        <v>3182</v>
      </c>
      <c r="C423">
        <v>95</v>
      </c>
      <c r="D423" t="s">
        <v>23</v>
      </c>
      <c r="E423" t="s">
        <v>20</v>
      </c>
      <c r="F423" t="s">
        <v>17</v>
      </c>
      <c r="G423" t="s">
        <v>22</v>
      </c>
      <c r="H423">
        <v>276.60000000000002</v>
      </c>
      <c r="I423">
        <v>250.5</v>
      </c>
      <c r="J423">
        <v>100</v>
      </c>
      <c r="K423">
        <v>67</v>
      </c>
      <c r="L423">
        <v>28.2</v>
      </c>
      <c r="M423">
        <v>6.5</v>
      </c>
      <c r="N423">
        <v>9.3114000342078299E-2</v>
      </c>
      <c r="O423">
        <v>0.33094991758750503</v>
      </c>
      <c r="P423" t="str">
        <f t="shared" si="12"/>
        <v>T</v>
      </c>
      <c r="Q423" t="str">
        <f t="shared" si="13"/>
        <v>F</v>
      </c>
    </row>
    <row r="424" spans="1:17" hidden="1" x14ac:dyDescent="0.3">
      <c r="A424">
        <v>6049</v>
      </c>
      <c r="B424">
        <v>3198</v>
      </c>
      <c r="C424">
        <v>395</v>
      </c>
      <c r="D424" t="s">
        <v>23</v>
      </c>
      <c r="E424" t="s">
        <v>20</v>
      </c>
      <c r="F424" t="s">
        <v>21</v>
      </c>
      <c r="G424" t="s">
        <v>18</v>
      </c>
      <c r="H424">
        <v>273.60000000000002</v>
      </c>
      <c r="I424">
        <v>247</v>
      </c>
      <c r="J424">
        <v>94</v>
      </c>
      <c r="K424">
        <v>68</v>
      </c>
      <c r="L424">
        <v>26.7</v>
      </c>
      <c r="M424">
        <v>7.5</v>
      </c>
      <c r="N424">
        <v>0.172573274110743</v>
      </c>
      <c r="O424">
        <v>0.34881408579404899</v>
      </c>
      <c r="P424" t="str">
        <f t="shared" si="12"/>
        <v>F</v>
      </c>
      <c r="Q424" t="str">
        <f t="shared" si="13"/>
        <v>F</v>
      </c>
    </row>
    <row r="425" spans="1:17" hidden="1" x14ac:dyDescent="0.3">
      <c r="A425">
        <v>6080</v>
      </c>
      <c r="B425">
        <v>3210</v>
      </c>
      <c r="C425">
        <v>98</v>
      </c>
      <c r="D425" t="s">
        <v>23</v>
      </c>
      <c r="E425" t="s">
        <v>20</v>
      </c>
      <c r="F425" t="s">
        <v>21</v>
      </c>
      <c r="G425" t="s">
        <v>18</v>
      </c>
      <c r="H425">
        <v>276.60000000000002</v>
      </c>
      <c r="I425">
        <v>257.5</v>
      </c>
      <c r="J425">
        <v>95.2</v>
      </c>
      <c r="K425">
        <v>67.5</v>
      </c>
      <c r="L425">
        <v>24.1</v>
      </c>
      <c r="M425">
        <v>9.5</v>
      </c>
      <c r="N425">
        <v>0.197682503083005</v>
      </c>
      <c r="O425">
        <v>0.37774464160947402</v>
      </c>
      <c r="P425" t="str">
        <f t="shared" si="12"/>
        <v>F</v>
      </c>
      <c r="Q425" t="str">
        <f t="shared" si="13"/>
        <v>F</v>
      </c>
    </row>
    <row r="426" spans="1:17" hidden="1" x14ac:dyDescent="0.3">
      <c r="A426">
        <v>6081</v>
      </c>
      <c r="B426">
        <v>3210</v>
      </c>
      <c r="C426">
        <v>98</v>
      </c>
      <c r="D426" t="s">
        <v>23</v>
      </c>
      <c r="E426" t="s">
        <v>20</v>
      </c>
      <c r="F426" t="s">
        <v>21</v>
      </c>
      <c r="G426" t="s">
        <v>18</v>
      </c>
      <c r="H426">
        <v>276.60000000000002</v>
      </c>
      <c r="I426">
        <v>257.5</v>
      </c>
      <c r="J426">
        <v>95.2</v>
      </c>
      <c r="K426">
        <v>67.5</v>
      </c>
      <c r="L426">
        <v>24.1</v>
      </c>
      <c r="M426">
        <v>9.5</v>
      </c>
      <c r="N426">
        <v>0.203802061333268</v>
      </c>
      <c r="O426">
        <v>0.38827313339774999</v>
      </c>
      <c r="P426" t="str">
        <f t="shared" si="12"/>
        <v>F</v>
      </c>
      <c r="Q426" t="str">
        <f t="shared" si="13"/>
        <v>F</v>
      </c>
    </row>
    <row r="427" spans="1:17" hidden="1" x14ac:dyDescent="0.3">
      <c r="A427">
        <v>6091</v>
      </c>
      <c r="B427">
        <v>3216</v>
      </c>
      <c r="C427">
        <v>340</v>
      </c>
      <c r="D427" t="s">
        <v>23</v>
      </c>
      <c r="E427" t="s">
        <v>20</v>
      </c>
      <c r="F427" t="s">
        <v>17</v>
      </c>
      <c r="G427" t="s">
        <v>18</v>
      </c>
      <c r="H427">
        <v>274.60000000000002</v>
      </c>
      <c r="I427">
        <v>261.5</v>
      </c>
      <c r="J427">
        <v>96.7</v>
      </c>
      <c r="K427">
        <v>62</v>
      </c>
      <c r="L427">
        <v>28.9</v>
      </c>
      <c r="M427">
        <v>10.5</v>
      </c>
      <c r="N427">
        <v>2.5706175573421901E-2</v>
      </c>
      <c r="O427">
        <v>0.35964122125937598</v>
      </c>
      <c r="P427" t="str">
        <f t="shared" si="12"/>
        <v>T</v>
      </c>
      <c r="Q427" t="str">
        <f t="shared" si="13"/>
        <v>F</v>
      </c>
    </row>
    <row r="428" spans="1:17" hidden="1" x14ac:dyDescent="0.3">
      <c r="A428">
        <v>6123</v>
      </c>
      <c r="B428">
        <v>3225</v>
      </c>
      <c r="C428">
        <v>355</v>
      </c>
      <c r="D428" t="s">
        <v>23</v>
      </c>
      <c r="E428" t="s">
        <v>20</v>
      </c>
      <c r="F428" t="s">
        <v>17</v>
      </c>
      <c r="G428" t="s">
        <v>18</v>
      </c>
      <c r="H428">
        <v>277.7</v>
      </c>
      <c r="I428">
        <v>250</v>
      </c>
      <c r="J428">
        <v>99.3</v>
      </c>
      <c r="K428">
        <v>65</v>
      </c>
      <c r="L428">
        <v>25.4</v>
      </c>
      <c r="M428">
        <v>11.5</v>
      </c>
      <c r="N428">
        <v>0.123562353608183</v>
      </c>
      <c r="O428">
        <v>0.30377513418206398</v>
      </c>
      <c r="P428" t="str">
        <f t="shared" si="12"/>
        <v>F</v>
      </c>
      <c r="Q428" t="str">
        <f t="shared" si="13"/>
        <v>F</v>
      </c>
    </row>
    <row r="429" spans="1:17" hidden="1" x14ac:dyDescent="0.3">
      <c r="A429">
        <v>6124</v>
      </c>
      <c r="B429">
        <v>3225</v>
      </c>
      <c r="C429">
        <v>355</v>
      </c>
      <c r="D429" t="s">
        <v>23</v>
      </c>
      <c r="E429" t="s">
        <v>20</v>
      </c>
      <c r="F429" t="s">
        <v>17</v>
      </c>
      <c r="G429" t="s">
        <v>18</v>
      </c>
      <c r="H429">
        <v>277.7</v>
      </c>
      <c r="I429">
        <v>250</v>
      </c>
      <c r="J429">
        <v>99.3</v>
      </c>
      <c r="K429">
        <v>65</v>
      </c>
      <c r="L429">
        <v>25.4</v>
      </c>
      <c r="M429">
        <v>11.5</v>
      </c>
      <c r="N429">
        <v>0.14440461411030001</v>
      </c>
      <c r="O429">
        <v>0.30870650139196398</v>
      </c>
      <c r="P429" t="str">
        <f t="shared" si="12"/>
        <v>F</v>
      </c>
      <c r="Q429" t="str">
        <f t="shared" si="13"/>
        <v>F</v>
      </c>
    </row>
    <row r="430" spans="1:17" hidden="1" x14ac:dyDescent="0.3">
      <c r="A430">
        <v>6125</v>
      </c>
      <c r="B430">
        <v>3225</v>
      </c>
      <c r="C430">
        <v>355</v>
      </c>
      <c r="D430" t="s">
        <v>23</v>
      </c>
      <c r="E430" t="s">
        <v>20</v>
      </c>
      <c r="F430" t="s">
        <v>17</v>
      </c>
      <c r="G430" t="s">
        <v>18</v>
      </c>
      <c r="H430">
        <v>277.7</v>
      </c>
      <c r="I430">
        <v>250</v>
      </c>
      <c r="J430">
        <v>99.3</v>
      </c>
      <c r="K430">
        <v>65</v>
      </c>
      <c r="L430">
        <v>25.4</v>
      </c>
      <c r="M430">
        <v>11.5</v>
      </c>
      <c r="N430">
        <v>0.125494918814407</v>
      </c>
      <c r="O430">
        <v>0.31204417506695797</v>
      </c>
      <c r="P430" t="str">
        <f t="shared" si="12"/>
        <v>F</v>
      </c>
      <c r="Q430" t="str">
        <f t="shared" si="13"/>
        <v>F</v>
      </c>
    </row>
    <row r="431" spans="1:17" hidden="1" x14ac:dyDescent="0.3">
      <c r="A431">
        <v>6126</v>
      </c>
      <c r="B431">
        <v>3225</v>
      </c>
      <c r="C431">
        <v>355</v>
      </c>
      <c r="D431" t="s">
        <v>23</v>
      </c>
      <c r="E431" t="s">
        <v>20</v>
      </c>
      <c r="F431" t="s">
        <v>17</v>
      </c>
      <c r="G431" t="s">
        <v>18</v>
      </c>
      <c r="H431">
        <v>277.7</v>
      </c>
      <c r="I431">
        <v>250</v>
      </c>
      <c r="J431">
        <v>99.3</v>
      </c>
      <c r="K431">
        <v>65</v>
      </c>
      <c r="L431">
        <v>25.4</v>
      </c>
      <c r="M431">
        <v>11.5</v>
      </c>
      <c r="N431">
        <v>0.14265698556190201</v>
      </c>
      <c r="O431">
        <v>0.32495223359950898</v>
      </c>
      <c r="P431" t="str">
        <f t="shared" si="12"/>
        <v>F</v>
      </c>
      <c r="Q431" t="str">
        <f t="shared" si="13"/>
        <v>F</v>
      </c>
    </row>
    <row r="432" spans="1:17" x14ac:dyDescent="0.3">
      <c r="A432">
        <v>6158</v>
      </c>
      <c r="B432">
        <v>3238</v>
      </c>
      <c r="C432">
        <v>466</v>
      </c>
      <c r="D432" t="s">
        <v>23</v>
      </c>
      <c r="E432" t="s">
        <v>20</v>
      </c>
      <c r="F432" t="s">
        <v>17</v>
      </c>
      <c r="G432" t="s">
        <v>24</v>
      </c>
      <c r="H432">
        <v>282.10000000000002</v>
      </c>
      <c r="I432">
        <v>257</v>
      </c>
      <c r="J432">
        <v>100.3</v>
      </c>
      <c r="K432">
        <v>68.5</v>
      </c>
      <c r="L432">
        <v>27.5</v>
      </c>
      <c r="M432">
        <v>11</v>
      </c>
      <c r="N432">
        <v>6.3311285858834804E-2</v>
      </c>
      <c r="O432">
        <v>0.25903349785714502</v>
      </c>
      <c r="P432" t="str">
        <f t="shared" si="12"/>
        <v>T</v>
      </c>
      <c r="Q432" t="str">
        <f t="shared" si="13"/>
        <v>T</v>
      </c>
    </row>
    <row r="433" spans="1:17" hidden="1" x14ac:dyDescent="0.3">
      <c r="A433">
        <v>6233</v>
      </c>
      <c r="B433">
        <v>3264</v>
      </c>
      <c r="C433">
        <v>26</v>
      </c>
      <c r="D433" t="s">
        <v>23</v>
      </c>
      <c r="E433" t="s">
        <v>20</v>
      </c>
      <c r="F433" t="s">
        <v>17</v>
      </c>
      <c r="G433" t="s">
        <v>24</v>
      </c>
      <c r="H433">
        <v>270.5</v>
      </c>
      <c r="I433">
        <v>243.5</v>
      </c>
      <c r="J433">
        <v>95.9</v>
      </c>
      <c r="K433">
        <v>66</v>
      </c>
      <c r="L433">
        <v>26.9</v>
      </c>
      <c r="M433">
        <v>6</v>
      </c>
      <c r="N433">
        <v>0.20258093601730601</v>
      </c>
      <c r="O433">
        <v>0.38920887891505102</v>
      </c>
      <c r="P433" t="str">
        <f t="shared" si="12"/>
        <v>F</v>
      </c>
      <c r="Q433" t="str">
        <f t="shared" si="13"/>
        <v>F</v>
      </c>
    </row>
    <row r="434" spans="1:17" hidden="1" x14ac:dyDescent="0.3">
      <c r="A434">
        <v>6234</v>
      </c>
      <c r="B434">
        <v>3264</v>
      </c>
      <c r="C434">
        <v>26</v>
      </c>
      <c r="D434" t="s">
        <v>23</v>
      </c>
      <c r="E434" t="s">
        <v>20</v>
      </c>
      <c r="F434" t="s">
        <v>17</v>
      </c>
      <c r="G434" t="s">
        <v>24</v>
      </c>
      <c r="H434">
        <v>270.5</v>
      </c>
      <c r="I434">
        <v>243.5</v>
      </c>
      <c r="J434">
        <v>95.9</v>
      </c>
      <c r="K434">
        <v>66</v>
      </c>
      <c r="L434">
        <v>26.9</v>
      </c>
      <c r="M434">
        <v>6</v>
      </c>
      <c r="N434">
        <v>0.20589984824536101</v>
      </c>
      <c r="O434">
        <v>0.36228036632090599</v>
      </c>
      <c r="P434" t="str">
        <f t="shared" si="12"/>
        <v>F</v>
      </c>
      <c r="Q434" t="str">
        <f t="shared" si="13"/>
        <v>F</v>
      </c>
    </row>
    <row r="435" spans="1:17" hidden="1" x14ac:dyDescent="0.3">
      <c r="A435">
        <v>6235</v>
      </c>
      <c r="B435">
        <v>3265</v>
      </c>
      <c r="C435">
        <v>289</v>
      </c>
      <c r="D435" t="s">
        <v>23</v>
      </c>
      <c r="E435" t="s">
        <v>20</v>
      </c>
      <c r="F435" t="s">
        <v>21</v>
      </c>
      <c r="G435" t="s">
        <v>24</v>
      </c>
      <c r="H435">
        <v>279.39999999999998</v>
      </c>
      <c r="I435">
        <v>256</v>
      </c>
      <c r="J435">
        <v>95.5</v>
      </c>
      <c r="K435">
        <v>69.5</v>
      </c>
      <c r="L435">
        <v>26.8</v>
      </c>
      <c r="M435">
        <v>13</v>
      </c>
      <c r="N435">
        <v>0.140493794919543</v>
      </c>
      <c r="O435">
        <v>0.462417277854269</v>
      </c>
      <c r="P435" t="str">
        <f t="shared" si="12"/>
        <v>F</v>
      </c>
      <c r="Q435" t="str">
        <f t="shared" si="13"/>
        <v>F</v>
      </c>
    </row>
    <row r="436" spans="1:17" hidden="1" x14ac:dyDescent="0.3">
      <c r="A436">
        <v>6236</v>
      </c>
      <c r="B436">
        <v>3265</v>
      </c>
      <c r="C436">
        <v>289</v>
      </c>
      <c r="D436" t="s">
        <v>23</v>
      </c>
      <c r="E436" t="s">
        <v>20</v>
      </c>
      <c r="F436" t="s">
        <v>21</v>
      </c>
      <c r="G436" t="s">
        <v>24</v>
      </c>
      <c r="H436">
        <v>279.39999999999998</v>
      </c>
      <c r="I436">
        <v>256</v>
      </c>
      <c r="J436">
        <v>95.5</v>
      </c>
      <c r="K436">
        <v>69.5</v>
      </c>
      <c r="L436">
        <v>26.8</v>
      </c>
      <c r="M436">
        <v>13</v>
      </c>
      <c r="N436">
        <v>0.13706410929563001</v>
      </c>
      <c r="O436">
        <v>0.46341431720847798</v>
      </c>
      <c r="P436" t="str">
        <f t="shared" si="12"/>
        <v>F</v>
      </c>
      <c r="Q436" t="str">
        <f t="shared" si="13"/>
        <v>F</v>
      </c>
    </row>
    <row r="437" spans="1:17" hidden="1" x14ac:dyDescent="0.3">
      <c r="A437">
        <v>6252</v>
      </c>
      <c r="B437">
        <v>3270</v>
      </c>
      <c r="C437">
        <v>497</v>
      </c>
      <c r="D437" t="s">
        <v>23</v>
      </c>
      <c r="E437" t="s">
        <v>20</v>
      </c>
      <c r="F437" t="s">
        <v>17</v>
      </c>
      <c r="G437" t="s">
        <v>18</v>
      </c>
      <c r="H437">
        <v>269.7</v>
      </c>
      <c r="I437">
        <v>245</v>
      </c>
      <c r="J437">
        <v>94</v>
      </c>
      <c r="K437">
        <v>67</v>
      </c>
      <c r="L437">
        <v>24.2</v>
      </c>
      <c r="M437">
        <v>9</v>
      </c>
      <c r="N437">
        <v>0.213063167985798</v>
      </c>
      <c r="O437">
        <v>0.38963074673298098</v>
      </c>
      <c r="P437" t="str">
        <f t="shared" si="12"/>
        <v>F</v>
      </c>
      <c r="Q437" t="str">
        <f t="shared" si="13"/>
        <v>F</v>
      </c>
    </row>
    <row r="438" spans="1:17" hidden="1" x14ac:dyDescent="0.3">
      <c r="A438">
        <v>6253</v>
      </c>
      <c r="B438">
        <v>3270</v>
      </c>
      <c r="C438">
        <v>497</v>
      </c>
      <c r="D438" t="s">
        <v>23</v>
      </c>
      <c r="E438" t="s">
        <v>20</v>
      </c>
      <c r="F438" t="s">
        <v>17</v>
      </c>
      <c r="G438" t="s">
        <v>18</v>
      </c>
      <c r="H438">
        <v>269.7</v>
      </c>
      <c r="I438">
        <v>245</v>
      </c>
      <c r="J438">
        <v>94</v>
      </c>
      <c r="K438">
        <v>67</v>
      </c>
      <c r="L438">
        <v>24.2</v>
      </c>
      <c r="M438">
        <v>9</v>
      </c>
      <c r="N438">
        <v>0.20414572229726299</v>
      </c>
      <c r="O438">
        <v>0.37645158306464899</v>
      </c>
      <c r="P438" t="str">
        <f t="shared" si="12"/>
        <v>F</v>
      </c>
      <c r="Q438" t="str">
        <f t="shared" si="13"/>
        <v>F</v>
      </c>
    </row>
    <row r="439" spans="1:17" hidden="1" x14ac:dyDescent="0.3">
      <c r="A439">
        <v>6254</v>
      </c>
      <c r="B439">
        <v>3270</v>
      </c>
      <c r="C439">
        <v>497</v>
      </c>
      <c r="D439" t="s">
        <v>23</v>
      </c>
      <c r="E439" t="s">
        <v>20</v>
      </c>
      <c r="F439" t="s">
        <v>17</v>
      </c>
      <c r="G439" t="s">
        <v>18</v>
      </c>
      <c r="H439">
        <v>269.7</v>
      </c>
      <c r="I439">
        <v>245</v>
      </c>
      <c r="J439">
        <v>94</v>
      </c>
      <c r="K439">
        <v>67</v>
      </c>
      <c r="L439">
        <v>24.2</v>
      </c>
      <c r="M439">
        <v>9</v>
      </c>
      <c r="N439">
        <v>0.22599577770595</v>
      </c>
      <c r="O439">
        <v>0.38466905736396201</v>
      </c>
      <c r="P439" t="str">
        <f t="shared" si="12"/>
        <v>F</v>
      </c>
      <c r="Q439" t="str">
        <f t="shared" si="13"/>
        <v>F</v>
      </c>
    </row>
    <row r="440" spans="1:17" hidden="1" x14ac:dyDescent="0.3">
      <c r="A440">
        <v>6255</v>
      </c>
      <c r="B440">
        <v>3271</v>
      </c>
      <c r="C440">
        <v>267</v>
      </c>
      <c r="D440" t="s">
        <v>23</v>
      </c>
      <c r="E440" t="s">
        <v>20</v>
      </c>
      <c r="F440" t="s">
        <v>21</v>
      </c>
      <c r="G440" t="s">
        <v>24</v>
      </c>
      <c r="H440">
        <v>275.39999999999998</v>
      </c>
      <c r="I440">
        <v>244.5</v>
      </c>
      <c r="J440">
        <v>95.4</v>
      </c>
      <c r="K440">
        <v>67</v>
      </c>
      <c r="L440">
        <v>22.2</v>
      </c>
      <c r="M440">
        <v>9.5</v>
      </c>
      <c r="N440">
        <v>0.27507243665579101</v>
      </c>
      <c r="O440">
        <v>0.22938401423233501</v>
      </c>
      <c r="P440" t="str">
        <f t="shared" si="12"/>
        <v>F</v>
      </c>
      <c r="Q440" t="str">
        <f t="shared" si="13"/>
        <v>T</v>
      </c>
    </row>
    <row r="441" spans="1:17" hidden="1" x14ac:dyDescent="0.3">
      <c r="A441">
        <v>6256</v>
      </c>
      <c r="B441">
        <v>3271</v>
      </c>
      <c r="C441">
        <v>267</v>
      </c>
      <c r="D441" t="s">
        <v>23</v>
      </c>
      <c r="E441" t="s">
        <v>20</v>
      </c>
      <c r="F441" t="s">
        <v>21</v>
      </c>
      <c r="G441" t="s">
        <v>24</v>
      </c>
      <c r="H441">
        <v>275.39999999999998</v>
      </c>
      <c r="I441">
        <v>244.5</v>
      </c>
      <c r="J441">
        <v>95.4</v>
      </c>
      <c r="K441">
        <v>67</v>
      </c>
      <c r="L441">
        <v>22.2</v>
      </c>
      <c r="M441">
        <v>9.5</v>
      </c>
      <c r="N441">
        <v>0.249525314039584</v>
      </c>
      <c r="O441">
        <v>0.23722800416487899</v>
      </c>
      <c r="P441" t="str">
        <f t="shared" si="12"/>
        <v>F</v>
      </c>
      <c r="Q441" t="str">
        <f t="shared" si="13"/>
        <v>T</v>
      </c>
    </row>
    <row r="442" spans="1:17" hidden="1" x14ac:dyDescent="0.3">
      <c r="A442">
        <v>6275</v>
      </c>
      <c r="B442">
        <v>3277</v>
      </c>
      <c r="C442">
        <v>71</v>
      </c>
      <c r="D442" t="s">
        <v>23</v>
      </c>
      <c r="E442" t="s">
        <v>20</v>
      </c>
      <c r="F442" t="s">
        <v>17</v>
      </c>
      <c r="G442" t="s">
        <v>24</v>
      </c>
      <c r="H442">
        <v>281</v>
      </c>
      <c r="I442">
        <v>265.5</v>
      </c>
      <c r="J442">
        <v>100.2</v>
      </c>
      <c r="K442">
        <v>66.5</v>
      </c>
      <c r="L442">
        <v>25.2</v>
      </c>
      <c r="M442">
        <v>8</v>
      </c>
      <c r="N442">
        <v>0.17252158198453801</v>
      </c>
      <c r="O442">
        <v>0.154814075351033</v>
      </c>
      <c r="P442" t="str">
        <f t="shared" si="12"/>
        <v>F</v>
      </c>
      <c r="Q442" t="str">
        <f t="shared" si="13"/>
        <v>T</v>
      </c>
    </row>
    <row r="443" spans="1:17" hidden="1" x14ac:dyDescent="0.3">
      <c r="A443">
        <v>6276</v>
      </c>
      <c r="B443">
        <v>3277</v>
      </c>
      <c r="C443">
        <v>71</v>
      </c>
      <c r="D443" t="s">
        <v>23</v>
      </c>
      <c r="E443" t="s">
        <v>20</v>
      </c>
      <c r="F443" t="s">
        <v>17</v>
      </c>
      <c r="G443" t="s">
        <v>24</v>
      </c>
      <c r="H443">
        <v>281</v>
      </c>
      <c r="I443">
        <v>265.5</v>
      </c>
      <c r="J443">
        <v>100.2</v>
      </c>
      <c r="K443">
        <v>66.5</v>
      </c>
      <c r="L443">
        <v>25.2</v>
      </c>
      <c r="M443">
        <v>8</v>
      </c>
      <c r="N443">
        <v>0.17588337482532501</v>
      </c>
      <c r="O443">
        <v>0.14370039591625999</v>
      </c>
      <c r="P443" t="str">
        <f t="shared" si="12"/>
        <v>F</v>
      </c>
      <c r="Q443" t="str">
        <f t="shared" si="13"/>
        <v>T</v>
      </c>
    </row>
    <row r="444" spans="1:17" hidden="1" x14ac:dyDescent="0.3">
      <c r="A444">
        <v>6277</v>
      </c>
      <c r="B444">
        <v>3277</v>
      </c>
      <c r="C444">
        <v>71</v>
      </c>
      <c r="D444" t="s">
        <v>23</v>
      </c>
      <c r="E444" t="s">
        <v>20</v>
      </c>
      <c r="F444" t="s">
        <v>17</v>
      </c>
      <c r="G444" t="s">
        <v>24</v>
      </c>
      <c r="H444">
        <v>281</v>
      </c>
      <c r="I444">
        <v>265.5</v>
      </c>
      <c r="J444">
        <v>100.2</v>
      </c>
      <c r="K444">
        <v>66.5</v>
      </c>
      <c r="L444">
        <v>25.2</v>
      </c>
      <c r="M444">
        <v>8</v>
      </c>
      <c r="N444">
        <v>0.17672662338109901</v>
      </c>
      <c r="O444">
        <v>0.14404665125212801</v>
      </c>
      <c r="P444" t="str">
        <f t="shared" si="12"/>
        <v>F</v>
      </c>
      <c r="Q444" t="str">
        <f t="shared" si="13"/>
        <v>T</v>
      </c>
    </row>
    <row r="445" spans="1:17" hidden="1" x14ac:dyDescent="0.3">
      <c r="A445">
        <v>6278</v>
      </c>
      <c r="B445">
        <v>3277</v>
      </c>
      <c r="C445">
        <v>71</v>
      </c>
      <c r="D445" t="s">
        <v>23</v>
      </c>
      <c r="E445" t="s">
        <v>20</v>
      </c>
      <c r="F445" t="s">
        <v>17</v>
      </c>
      <c r="G445" t="s">
        <v>24</v>
      </c>
      <c r="H445">
        <v>281</v>
      </c>
      <c r="I445">
        <v>265.5</v>
      </c>
      <c r="J445">
        <v>100.2</v>
      </c>
      <c r="K445">
        <v>66.5</v>
      </c>
      <c r="L445">
        <v>25.2</v>
      </c>
      <c r="M445">
        <v>8</v>
      </c>
      <c r="N445">
        <v>0.171365486447426</v>
      </c>
      <c r="O445">
        <v>0.16377841688613301</v>
      </c>
      <c r="P445" t="str">
        <f t="shared" si="12"/>
        <v>F</v>
      </c>
      <c r="Q445" t="str">
        <f t="shared" si="13"/>
        <v>T</v>
      </c>
    </row>
    <row r="446" spans="1:17" hidden="1" x14ac:dyDescent="0.3">
      <c r="A446">
        <v>6280</v>
      </c>
      <c r="B446">
        <v>3277</v>
      </c>
      <c r="C446">
        <v>71</v>
      </c>
      <c r="D446" t="s">
        <v>23</v>
      </c>
      <c r="E446" t="s">
        <v>20</v>
      </c>
      <c r="F446" t="s">
        <v>17</v>
      </c>
      <c r="G446" t="s">
        <v>24</v>
      </c>
      <c r="H446">
        <v>281</v>
      </c>
      <c r="I446">
        <v>265.5</v>
      </c>
      <c r="J446">
        <v>100.2</v>
      </c>
      <c r="K446">
        <v>66.5</v>
      </c>
      <c r="L446">
        <v>25.2</v>
      </c>
      <c r="M446">
        <v>8</v>
      </c>
      <c r="N446">
        <v>0.15730906289086699</v>
      </c>
      <c r="O446">
        <v>0.15392455301469299</v>
      </c>
      <c r="P446" t="str">
        <f t="shared" si="12"/>
        <v>F</v>
      </c>
      <c r="Q446" t="str">
        <f t="shared" si="13"/>
        <v>T</v>
      </c>
    </row>
    <row r="447" spans="1:17" hidden="1" x14ac:dyDescent="0.3">
      <c r="A447">
        <v>6314</v>
      </c>
      <c r="B447">
        <v>3293</v>
      </c>
      <c r="C447">
        <v>322</v>
      </c>
      <c r="D447" t="s">
        <v>23</v>
      </c>
      <c r="E447" t="s">
        <v>20</v>
      </c>
      <c r="F447" t="s">
        <v>17</v>
      </c>
      <c r="G447" t="s">
        <v>22</v>
      </c>
      <c r="H447">
        <v>276.7</v>
      </c>
      <c r="I447">
        <v>250</v>
      </c>
      <c r="J447">
        <v>99.1</v>
      </c>
      <c r="K447">
        <v>67.5</v>
      </c>
      <c r="L447">
        <v>26</v>
      </c>
      <c r="M447">
        <v>5.5</v>
      </c>
      <c r="N447">
        <v>0.188837872275609</v>
      </c>
      <c r="O447">
        <v>0.32185571715536798</v>
      </c>
      <c r="P447" t="str">
        <f t="shared" si="12"/>
        <v>F</v>
      </c>
      <c r="Q447" t="str">
        <f t="shared" si="13"/>
        <v>F</v>
      </c>
    </row>
    <row r="448" spans="1:17" hidden="1" x14ac:dyDescent="0.3">
      <c r="A448">
        <v>6315</v>
      </c>
      <c r="B448">
        <v>3293</v>
      </c>
      <c r="C448">
        <v>322</v>
      </c>
      <c r="D448" t="s">
        <v>23</v>
      </c>
      <c r="E448" t="s">
        <v>20</v>
      </c>
      <c r="F448" t="s">
        <v>17</v>
      </c>
      <c r="G448" t="s">
        <v>22</v>
      </c>
      <c r="H448">
        <v>276.7</v>
      </c>
      <c r="I448">
        <v>250</v>
      </c>
      <c r="J448">
        <v>99.1</v>
      </c>
      <c r="K448">
        <v>67.5</v>
      </c>
      <c r="L448">
        <v>26</v>
      </c>
      <c r="M448">
        <v>5.5</v>
      </c>
      <c r="N448">
        <v>0.17829773849434699</v>
      </c>
      <c r="O448">
        <v>0.330848601029544</v>
      </c>
      <c r="P448" t="str">
        <f t="shared" si="12"/>
        <v>F</v>
      </c>
      <c r="Q448" t="str">
        <f t="shared" si="13"/>
        <v>F</v>
      </c>
    </row>
    <row r="449" spans="1:17" hidden="1" x14ac:dyDescent="0.3">
      <c r="A449">
        <v>6316</v>
      </c>
      <c r="B449">
        <v>3293</v>
      </c>
      <c r="C449">
        <v>322</v>
      </c>
      <c r="D449" t="s">
        <v>23</v>
      </c>
      <c r="E449" t="s">
        <v>20</v>
      </c>
      <c r="F449" t="s">
        <v>17</v>
      </c>
      <c r="G449" t="s">
        <v>22</v>
      </c>
      <c r="H449">
        <v>276.7</v>
      </c>
      <c r="I449">
        <v>250</v>
      </c>
      <c r="J449">
        <v>99.1</v>
      </c>
      <c r="K449">
        <v>67.5</v>
      </c>
      <c r="L449">
        <v>26</v>
      </c>
      <c r="M449">
        <v>5.5</v>
      </c>
      <c r="N449">
        <v>0.16133935304765201</v>
      </c>
      <c r="O449">
        <v>0.32900048405786497</v>
      </c>
      <c r="P449" t="str">
        <f t="shared" si="12"/>
        <v>F</v>
      </c>
      <c r="Q449" t="str">
        <f t="shared" si="13"/>
        <v>F</v>
      </c>
    </row>
    <row r="450" spans="1:17" hidden="1" x14ac:dyDescent="0.3">
      <c r="A450">
        <v>6317</v>
      </c>
      <c r="B450">
        <v>3293</v>
      </c>
      <c r="C450">
        <v>322</v>
      </c>
      <c r="D450" t="s">
        <v>23</v>
      </c>
      <c r="E450" t="s">
        <v>20</v>
      </c>
      <c r="F450" t="s">
        <v>17</v>
      </c>
      <c r="G450" t="s">
        <v>22</v>
      </c>
      <c r="H450">
        <v>276.7</v>
      </c>
      <c r="I450">
        <v>250</v>
      </c>
      <c r="J450">
        <v>99.1</v>
      </c>
      <c r="K450">
        <v>67.5</v>
      </c>
      <c r="L450">
        <v>26</v>
      </c>
      <c r="M450">
        <v>5.5</v>
      </c>
      <c r="N450">
        <v>0.17615821771065501</v>
      </c>
      <c r="O450">
        <v>0.32889054719765498</v>
      </c>
      <c r="P450" t="str">
        <f t="shared" ref="P450:P513" si="14">IF(N450&lt;0.100978, "T", "F")</f>
        <v>F</v>
      </c>
      <c r="Q450" t="str">
        <f t="shared" ref="Q450:Q513" si="15">IF(O450&lt;0.268491, "T", "F")</f>
        <v>F</v>
      </c>
    </row>
    <row r="451" spans="1:17" hidden="1" x14ac:dyDescent="0.3">
      <c r="A451">
        <v>6340</v>
      </c>
      <c r="B451">
        <v>330</v>
      </c>
      <c r="C451">
        <v>95</v>
      </c>
      <c r="D451" t="s">
        <v>23</v>
      </c>
      <c r="E451" t="s">
        <v>20</v>
      </c>
      <c r="F451" t="s">
        <v>17</v>
      </c>
      <c r="G451" t="s">
        <v>25</v>
      </c>
      <c r="H451">
        <v>276.60000000000002</v>
      </c>
      <c r="I451">
        <v>250.5</v>
      </c>
      <c r="J451">
        <v>100</v>
      </c>
      <c r="K451">
        <v>67</v>
      </c>
      <c r="L451">
        <v>28.2</v>
      </c>
      <c r="M451">
        <v>6.5</v>
      </c>
      <c r="N451">
        <v>0.107945077866381</v>
      </c>
      <c r="O451">
        <v>0.31837312162292197</v>
      </c>
      <c r="P451" t="str">
        <f t="shared" si="14"/>
        <v>F</v>
      </c>
      <c r="Q451" t="str">
        <f t="shared" si="15"/>
        <v>F</v>
      </c>
    </row>
    <row r="452" spans="1:17" hidden="1" x14ac:dyDescent="0.3">
      <c r="A452">
        <v>6352</v>
      </c>
      <c r="B452">
        <v>3307</v>
      </c>
      <c r="C452">
        <v>351</v>
      </c>
      <c r="D452" t="s">
        <v>23</v>
      </c>
      <c r="E452" t="s">
        <v>20</v>
      </c>
      <c r="F452" t="s">
        <v>17</v>
      </c>
      <c r="G452" t="s">
        <v>18</v>
      </c>
      <c r="H452">
        <v>277.60000000000002</v>
      </c>
      <c r="I452">
        <v>246.5</v>
      </c>
      <c r="J452">
        <v>93.9</v>
      </c>
      <c r="K452">
        <v>67.5</v>
      </c>
      <c r="L452">
        <v>27.5</v>
      </c>
      <c r="M452">
        <v>8</v>
      </c>
      <c r="N452">
        <v>0.14763897776226401</v>
      </c>
      <c r="O452">
        <v>0.28584193673074898</v>
      </c>
      <c r="P452" t="str">
        <f t="shared" si="14"/>
        <v>F</v>
      </c>
      <c r="Q452" t="str">
        <f t="shared" si="15"/>
        <v>F</v>
      </c>
    </row>
    <row r="453" spans="1:17" hidden="1" x14ac:dyDescent="0.3">
      <c r="A453">
        <v>6353</v>
      </c>
      <c r="B453">
        <v>3307</v>
      </c>
      <c r="C453">
        <v>351</v>
      </c>
      <c r="D453" t="s">
        <v>23</v>
      </c>
      <c r="E453" t="s">
        <v>20</v>
      </c>
      <c r="F453" t="s">
        <v>17</v>
      </c>
      <c r="G453" t="s">
        <v>18</v>
      </c>
      <c r="H453">
        <v>277.60000000000002</v>
      </c>
      <c r="I453">
        <v>246.5</v>
      </c>
      <c r="J453">
        <v>93.9</v>
      </c>
      <c r="K453">
        <v>67.5</v>
      </c>
      <c r="L453">
        <v>27.5</v>
      </c>
      <c r="M453">
        <v>8</v>
      </c>
      <c r="N453">
        <v>0.17924837015992701</v>
      </c>
      <c r="O453">
        <v>0.31231126232794698</v>
      </c>
      <c r="P453" t="str">
        <f t="shared" si="14"/>
        <v>F</v>
      </c>
      <c r="Q453" t="str">
        <f t="shared" si="15"/>
        <v>F</v>
      </c>
    </row>
    <row r="454" spans="1:17" hidden="1" x14ac:dyDescent="0.3">
      <c r="A454">
        <v>6354</v>
      </c>
      <c r="B454">
        <v>3307</v>
      </c>
      <c r="C454">
        <v>351</v>
      </c>
      <c r="D454" t="s">
        <v>23</v>
      </c>
      <c r="E454" t="s">
        <v>20</v>
      </c>
      <c r="F454" t="s">
        <v>17</v>
      </c>
      <c r="G454" t="s">
        <v>18</v>
      </c>
      <c r="H454">
        <v>277.60000000000002</v>
      </c>
      <c r="I454">
        <v>246.5</v>
      </c>
      <c r="J454">
        <v>93.9</v>
      </c>
      <c r="K454">
        <v>67.5</v>
      </c>
      <c r="L454">
        <v>27.5</v>
      </c>
      <c r="M454">
        <v>8</v>
      </c>
      <c r="N454">
        <v>0.152648389928423</v>
      </c>
      <c r="O454">
        <v>0.29200337873934801</v>
      </c>
      <c r="P454" t="str">
        <f t="shared" si="14"/>
        <v>F</v>
      </c>
      <c r="Q454" t="str">
        <f t="shared" si="15"/>
        <v>F</v>
      </c>
    </row>
    <row r="455" spans="1:17" hidden="1" x14ac:dyDescent="0.3">
      <c r="A455">
        <v>6355</v>
      </c>
      <c r="B455">
        <v>3307</v>
      </c>
      <c r="C455">
        <v>351</v>
      </c>
      <c r="D455" t="s">
        <v>23</v>
      </c>
      <c r="E455" t="s">
        <v>20</v>
      </c>
      <c r="F455" t="s">
        <v>17</v>
      </c>
      <c r="G455" t="s">
        <v>18</v>
      </c>
      <c r="H455">
        <v>277.60000000000002</v>
      </c>
      <c r="I455">
        <v>246.5</v>
      </c>
      <c r="J455">
        <v>93.9</v>
      </c>
      <c r="K455">
        <v>67.5</v>
      </c>
      <c r="L455">
        <v>27.5</v>
      </c>
      <c r="M455">
        <v>8</v>
      </c>
      <c r="N455">
        <v>0.15819705330311901</v>
      </c>
      <c r="O455">
        <v>0.30514356072579801</v>
      </c>
      <c r="P455" t="str">
        <f t="shared" si="14"/>
        <v>F</v>
      </c>
      <c r="Q455" t="str">
        <f t="shared" si="15"/>
        <v>F</v>
      </c>
    </row>
    <row r="456" spans="1:17" hidden="1" x14ac:dyDescent="0.3">
      <c r="A456">
        <v>6356</v>
      </c>
      <c r="B456">
        <v>3307</v>
      </c>
      <c r="C456">
        <v>351</v>
      </c>
      <c r="D456" t="s">
        <v>23</v>
      </c>
      <c r="E456" t="s">
        <v>20</v>
      </c>
      <c r="F456" t="s">
        <v>17</v>
      </c>
      <c r="G456" t="s">
        <v>18</v>
      </c>
      <c r="H456">
        <v>277.60000000000002</v>
      </c>
      <c r="I456">
        <v>246.5</v>
      </c>
      <c r="J456">
        <v>93.9</v>
      </c>
      <c r="K456">
        <v>67.5</v>
      </c>
      <c r="L456">
        <v>27.5</v>
      </c>
      <c r="M456">
        <v>8</v>
      </c>
      <c r="N456">
        <v>0.16955249442984999</v>
      </c>
      <c r="O456">
        <v>0.29321765536831901</v>
      </c>
      <c r="P456" t="str">
        <f t="shared" si="14"/>
        <v>F</v>
      </c>
      <c r="Q456" t="str">
        <f t="shared" si="15"/>
        <v>F</v>
      </c>
    </row>
    <row r="457" spans="1:17" hidden="1" x14ac:dyDescent="0.3">
      <c r="A457">
        <v>6385</v>
      </c>
      <c r="B457">
        <v>3318</v>
      </c>
      <c r="C457">
        <v>466</v>
      </c>
      <c r="D457" t="s">
        <v>23</v>
      </c>
      <c r="E457" t="s">
        <v>20</v>
      </c>
      <c r="F457" t="s">
        <v>21</v>
      </c>
      <c r="G457" t="s">
        <v>24</v>
      </c>
      <c r="H457">
        <v>282.10000000000002</v>
      </c>
      <c r="I457">
        <v>257</v>
      </c>
      <c r="J457">
        <v>100.3</v>
      </c>
      <c r="K457">
        <v>68.5</v>
      </c>
      <c r="L457">
        <v>27.5</v>
      </c>
      <c r="M457">
        <v>11</v>
      </c>
      <c r="N457">
        <v>7.5623560696716899E-2</v>
      </c>
      <c r="O457">
        <v>0.29339194155862103</v>
      </c>
      <c r="P457" t="str">
        <f t="shared" si="14"/>
        <v>T</v>
      </c>
      <c r="Q457" t="str">
        <f t="shared" si="15"/>
        <v>F</v>
      </c>
    </row>
    <row r="458" spans="1:17" hidden="1" x14ac:dyDescent="0.3">
      <c r="A458">
        <v>6386</v>
      </c>
      <c r="B458">
        <v>3318</v>
      </c>
      <c r="C458">
        <v>466</v>
      </c>
      <c r="D458" t="s">
        <v>23</v>
      </c>
      <c r="E458" t="s">
        <v>20</v>
      </c>
      <c r="F458" t="s">
        <v>21</v>
      </c>
      <c r="G458" t="s">
        <v>24</v>
      </c>
      <c r="H458">
        <v>282.10000000000002</v>
      </c>
      <c r="I458">
        <v>257</v>
      </c>
      <c r="J458">
        <v>100.3</v>
      </c>
      <c r="K458">
        <v>68.5</v>
      </c>
      <c r="L458">
        <v>27.5</v>
      </c>
      <c r="M458">
        <v>11</v>
      </c>
      <c r="N458">
        <v>7.0457464316615898E-2</v>
      </c>
      <c r="O458">
        <v>0.27025435446436602</v>
      </c>
      <c r="P458" t="str">
        <f t="shared" si="14"/>
        <v>T</v>
      </c>
      <c r="Q458" t="str">
        <f t="shared" si="15"/>
        <v>F</v>
      </c>
    </row>
    <row r="459" spans="1:17" hidden="1" x14ac:dyDescent="0.3">
      <c r="A459">
        <v>6401</v>
      </c>
      <c r="B459">
        <v>3324</v>
      </c>
      <c r="C459">
        <v>190</v>
      </c>
      <c r="D459" t="s">
        <v>23</v>
      </c>
      <c r="E459" t="s">
        <v>20</v>
      </c>
      <c r="F459" t="s">
        <v>17</v>
      </c>
      <c r="G459" t="s">
        <v>24</v>
      </c>
      <c r="H459">
        <v>276.60000000000002</v>
      </c>
      <c r="I459">
        <v>243.5</v>
      </c>
      <c r="J459">
        <v>94.8</v>
      </c>
      <c r="K459">
        <v>67</v>
      </c>
      <c r="L459">
        <v>27</v>
      </c>
      <c r="M459">
        <v>9.5</v>
      </c>
      <c r="N459">
        <v>9.4496385057691604E-2</v>
      </c>
      <c r="O459">
        <v>0.28184983475629499</v>
      </c>
      <c r="P459" t="str">
        <f t="shared" si="14"/>
        <v>T</v>
      </c>
      <c r="Q459" t="str">
        <f t="shared" si="15"/>
        <v>F</v>
      </c>
    </row>
    <row r="460" spans="1:17" hidden="1" x14ac:dyDescent="0.3">
      <c r="A460">
        <v>6480</v>
      </c>
      <c r="B460">
        <v>3351</v>
      </c>
      <c r="C460">
        <v>453</v>
      </c>
      <c r="D460" t="s">
        <v>23</v>
      </c>
      <c r="E460" t="s">
        <v>20</v>
      </c>
      <c r="F460" t="s">
        <v>17</v>
      </c>
      <c r="G460" t="s">
        <v>26</v>
      </c>
      <c r="H460">
        <v>281.60000000000002</v>
      </c>
      <c r="I460">
        <v>255.5</v>
      </c>
      <c r="J460">
        <v>100.4</v>
      </c>
      <c r="K460">
        <v>70</v>
      </c>
      <c r="L460">
        <v>25.7</v>
      </c>
      <c r="M460">
        <v>10</v>
      </c>
      <c r="N460">
        <v>0.14046883125031601</v>
      </c>
      <c r="O460">
        <v>0.41892318968159398</v>
      </c>
      <c r="P460" t="str">
        <f t="shared" si="14"/>
        <v>F</v>
      </c>
      <c r="Q460" t="str">
        <f t="shared" si="15"/>
        <v>F</v>
      </c>
    </row>
    <row r="461" spans="1:17" hidden="1" x14ac:dyDescent="0.3">
      <c r="A461">
        <v>6481</v>
      </c>
      <c r="B461">
        <v>3351</v>
      </c>
      <c r="C461">
        <v>453</v>
      </c>
      <c r="D461" t="s">
        <v>23</v>
      </c>
      <c r="E461" t="s">
        <v>20</v>
      </c>
      <c r="F461" t="s">
        <v>17</v>
      </c>
      <c r="G461" t="s">
        <v>26</v>
      </c>
      <c r="H461">
        <v>281.60000000000002</v>
      </c>
      <c r="I461">
        <v>255.5</v>
      </c>
      <c r="J461">
        <v>100.4</v>
      </c>
      <c r="K461">
        <v>70</v>
      </c>
      <c r="L461">
        <v>25.7</v>
      </c>
      <c r="M461">
        <v>10</v>
      </c>
      <c r="N461">
        <v>0.15636382542344601</v>
      </c>
      <c r="O461">
        <v>0.38800951044450499</v>
      </c>
      <c r="P461" t="str">
        <f t="shared" si="14"/>
        <v>F</v>
      </c>
      <c r="Q461" t="str">
        <f t="shared" si="15"/>
        <v>F</v>
      </c>
    </row>
    <row r="462" spans="1:17" hidden="1" x14ac:dyDescent="0.3">
      <c r="A462">
        <v>6483</v>
      </c>
      <c r="B462">
        <v>3353</v>
      </c>
      <c r="C462">
        <v>453</v>
      </c>
      <c r="D462" t="s">
        <v>23</v>
      </c>
      <c r="E462" t="s">
        <v>20</v>
      </c>
      <c r="F462" t="s">
        <v>17</v>
      </c>
      <c r="G462" t="s">
        <v>18</v>
      </c>
      <c r="H462">
        <v>281.60000000000002</v>
      </c>
      <c r="I462">
        <v>255.5</v>
      </c>
      <c r="J462">
        <v>100.4</v>
      </c>
      <c r="K462">
        <v>70</v>
      </c>
      <c r="L462">
        <v>25.7</v>
      </c>
      <c r="M462">
        <v>10</v>
      </c>
      <c r="N462">
        <v>0.124322720516056</v>
      </c>
      <c r="O462">
        <v>0.381177887176191</v>
      </c>
      <c r="P462" t="str">
        <f t="shared" si="14"/>
        <v>F</v>
      </c>
      <c r="Q462" t="str">
        <f t="shared" si="15"/>
        <v>F</v>
      </c>
    </row>
    <row r="463" spans="1:17" hidden="1" x14ac:dyDescent="0.3">
      <c r="A463">
        <v>6499</v>
      </c>
      <c r="B463">
        <v>3360</v>
      </c>
      <c r="C463">
        <v>267</v>
      </c>
      <c r="D463" t="s">
        <v>23</v>
      </c>
      <c r="E463" t="s">
        <v>20</v>
      </c>
      <c r="F463" t="s">
        <v>21</v>
      </c>
      <c r="G463" t="s">
        <v>25</v>
      </c>
      <c r="H463">
        <v>275.39999999999998</v>
      </c>
      <c r="I463">
        <v>244.5</v>
      </c>
      <c r="J463">
        <v>95.4</v>
      </c>
      <c r="K463">
        <v>67</v>
      </c>
      <c r="L463">
        <v>22.2</v>
      </c>
      <c r="M463">
        <v>9.5</v>
      </c>
      <c r="N463">
        <v>0.24356241103208701</v>
      </c>
      <c r="O463">
        <v>0.22661466384656201</v>
      </c>
      <c r="P463" t="str">
        <f t="shared" si="14"/>
        <v>F</v>
      </c>
      <c r="Q463" t="str">
        <f t="shared" si="15"/>
        <v>T</v>
      </c>
    </row>
    <row r="464" spans="1:17" hidden="1" x14ac:dyDescent="0.3">
      <c r="A464">
        <v>6500</v>
      </c>
      <c r="B464">
        <v>3360</v>
      </c>
      <c r="C464">
        <v>267</v>
      </c>
      <c r="D464" t="s">
        <v>23</v>
      </c>
      <c r="E464" t="s">
        <v>20</v>
      </c>
      <c r="F464" t="s">
        <v>21</v>
      </c>
      <c r="G464" t="s">
        <v>25</v>
      </c>
      <c r="H464">
        <v>275.39999999999998</v>
      </c>
      <c r="I464">
        <v>244.5</v>
      </c>
      <c r="J464">
        <v>95.4</v>
      </c>
      <c r="K464">
        <v>67</v>
      </c>
      <c r="L464">
        <v>22.2</v>
      </c>
      <c r="M464">
        <v>9.5</v>
      </c>
      <c r="N464">
        <v>0.23774834761480601</v>
      </c>
      <c r="O464">
        <v>0.20237767447000499</v>
      </c>
      <c r="P464" t="str">
        <f t="shared" si="14"/>
        <v>F</v>
      </c>
      <c r="Q464" t="str">
        <f t="shared" si="15"/>
        <v>T</v>
      </c>
    </row>
    <row r="465" spans="1:17" hidden="1" x14ac:dyDescent="0.3">
      <c r="A465">
        <v>6522</v>
      </c>
      <c r="B465">
        <v>3369</v>
      </c>
      <c r="C465">
        <v>267</v>
      </c>
      <c r="D465" t="s">
        <v>23</v>
      </c>
      <c r="E465" t="s">
        <v>20</v>
      </c>
      <c r="F465" t="s">
        <v>21</v>
      </c>
      <c r="G465" t="s">
        <v>26</v>
      </c>
      <c r="H465">
        <v>275.39999999999998</v>
      </c>
      <c r="I465">
        <v>244.5</v>
      </c>
      <c r="J465">
        <v>95.4</v>
      </c>
      <c r="K465">
        <v>67</v>
      </c>
      <c r="L465">
        <v>22.2</v>
      </c>
      <c r="M465">
        <v>9.5</v>
      </c>
      <c r="N465">
        <v>0.26817988052889802</v>
      </c>
      <c r="O465">
        <v>0.228437789333061</v>
      </c>
      <c r="P465" t="str">
        <f t="shared" si="14"/>
        <v>F</v>
      </c>
      <c r="Q465" t="str">
        <f t="shared" si="15"/>
        <v>T</v>
      </c>
    </row>
    <row r="466" spans="1:17" hidden="1" x14ac:dyDescent="0.3">
      <c r="A466">
        <v>6523</v>
      </c>
      <c r="B466">
        <v>3369</v>
      </c>
      <c r="C466">
        <v>267</v>
      </c>
      <c r="D466" t="s">
        <v>23</v>
      </c>
      <c r="E466" t="s">
        <v>20</v>
      </c>
      <c r="F466" t="s">
        <v>21</v>
      </c>
      <c r="G466" t="s">
        <v>26</v>
      </c>
      <c r="H466">
        <v>275.39999999999998</v>
      </c>
      <c r="I466">
        <v>244.5</v>
      </c>
      <c r="J466">
        <v>95.4</v>
      </c>
      <c r="K466">
        <v>67</v>
      </c>
      <c r="L466">
        <v>22.2</v>
      </c>
      <c r="M466">
        <v>9.5</v>
      </c>
      <c r="N466">
        <v>0.23910464018317401</v>
      </c>
      <c r="O466">
        <v>0.231609611231062</v>
      </c>
      <c r="P466" t="str">
        <f t="shared" si="14"/>
        <v>F</v>
      </c>
      <c r="Q466" t="str">
        <f t="shared" si="15"/>
        <v>T</v>
      </c>
    </row>
    <row r="467" spans="1:17" hidden="1" x14ac:dyDescent="0.3">
      <c r="A467">
        <v>6524</v>
      </c>
      <c r="B467">
        <v>3369</v>
      </c>
      <c r="C467">
        <v>267</v>
      </c>
      <c r="D467" t="s">
        <v>23</v>
      </c>
      <c r="E467" t="s">
        <v>20</v>
      </c>
      <c r="F467" t="s">
        <v>21</v>
      </c>
      <c r="G467" t="s">
        <v>26</v>
      </c>
      <c r="H467">
        <v>275.39999999999998</v>
      </c>
      <c r="I467">
        <v>244.5</v>
      </c>
      <c r="J467">
        <v>95.4</v>
      </c>
      <c r="K467">
        <v>67</v>
      </c>
      <c r="L467">
        <v>22.2</v>
      </c>
      <c r="M467">
        <v>9.5</v>
      </c>
      <c r="N467">
        <v>0.23691784920227399</v>
      </c>
      <c r="O467">
        <v>0.22228038650286999</v>
      </c>
      <c r="P467" t="str">
        <f t="shared" si="14"/>
        <v>F</v>
      </c>
      <c r="Q467" t="str">
        <f t="shared" si="15"/>
        <v>T</v>
      </c>
    </row>
    <row r="468" spans="1:17" hidden="1" x14ac:dyDescent="0.3">
      <c r="A468">
        <v>6525</v>
      </c>
      <c r="B468">
        <v>3369</v>
      </c>
      <c r="C468">
        <v>267</v>
      </c>
      <c r="D468" t="s">
        <v>23</v>
      </c>
      <c r="E468" t="s">
        <v>20</v>
      </c>
      <c r="F468" t="s">
        <v>21</v>
      </c>
      <c r="G468" t="s">
        <v>26</v>
      </c>
      <c r="H468">
        <v>275.39999999999998</v>
      </c>
      <c r="I468">
        <v>244.5</v>
      </c>
      <c r="J468">
        <v>95.4</v>
      </c>
      <c r="K468">
        <v>67</v>
      </c>
      <c r="L468">
        <v>22.2</v>
      </c>
      <c r="M468">
        <v>9.5</v>
      </c>
      <c r="N468">
        <v>0.27518475128744702</v>
      </c>
      <c r="O468">
        <v>0.225201119229757</v>
      </c>
      <c r="P468" t="str">
        <f t="shared" si="14"/>
        <v>F</v>
      </c>
      <c r="Q468" t="str">
        <f t="shared" si="15"/>
        <v>T</v>
      </c>
    </row>
    <row r="469" spans="1:17" hidden="1" x14ac:dyDescent="0.3">
      <c r="A469">
        <v>6526</v>
      </c>
      <c r="B469">
        <v>3369</v>
      </c>
      <c r="C469">
        <v>267</v>
      </c>
      <c r="D469" t="s">
        <v>23</v>
      </c>
      <c r="E469" t="s">
        <v>20</v>
      </c>
      <c r="F469" t="s">
        <v>21</v>
      </c>
      <c r="G469" t="s">
        <v>26</v>
      </c>
      <c r="H469">
        <v>275.39999999999998</v>
      </c>
      <c r="I469">
        <v>244.5</v>
      </c>
      <c r="J469">
        <v>95.4</v>
      </c>
      <c r="K469">
        <v>67</v>
      </c>
      <c r="L469">
        <v>22.2</v>
      </c>
      <c r="M469">
        <v>9.5</v>
      </c>
      <c r="N469">
        <v>0.24031174828773999</v>
      </c>
      <c r="O469">
        <v>0.23435201198811401</v>
      </c>
      <c r="P469" t="str">
        <f t="shared" si="14"/>
        <v>F</v>
      </c>
      <c r="Q469" t="str">
        <f t="shared" si="15"/>
        <v>T</v>
      </c>
    </row>
    <row r="470" spans="1:17" hidden="1" x14ac:dyDescent="0.3">
      <c r="A470">
        <v>6543</v>
      </c>
      <c r="B470">
        <v>3377</v>
      </c>
      <c r="C470">
        <v>322</v>
      </c>
      <c r="D470" t="s">
        <v>23</v>
      </c>
      <c r="E470" t="s">
        <v>20</v>
      </c>
      <c r="F470" t="s">
        <v>17</v>
      </c>
      <c r="G470" t="s">
        <v>26</v>
      </c>
      <c r="H470">
        <v>276.7</v>
      </c>
      <c r="I470">
        <v>250</v>
      </c>
      <c r="J470">
        <v>99.1</v>
      </c>
      <c r="K470">
        <v>67.5</v>
      </c>
      <c r="L470">
        <v>26</v>
      </c>
      <c r="M470">
        <v>5.5</v>
      </c>
      <c r="N470">
        <v>0.16526829102368601</v>
      </c>
      <c r="O470">
        <v>0.32234600530260399</v>
      </c>
      <c r="P470" t="str">
        <f t="shared" si="14"/>
        <v>F</v>
      </c>
      <c r="Q470" t="str">
        <f t="shared" si="15"/>
        <v>F</v>
      </c>
    </row>
    <row r="471" spans="1:17" hidden="1" x14ac:dyDescent="0.3">
      <c r="A471">
        <v>6544</v>
      </c>
      <c r="B471">
        <v>3377</v>
      </c>
      <c r="C471">
        <v>322</v>
      </c>
      <c r="D471" t="s">
        <v>23</v>
      </c>
      <c r="E471" t="s">
        <v>20</v>
      </c>
      <c r="F471" t="s">
        <v>17</v>
      </c>
      <c r="G471" t="s">
        <v>26</v>
      </c>
      <c r="H471">
        <v>276.7</v>
      </c>
      <c r="I471">
        <v>250</v>
      </c>
      <c r="J471">
        <v>99.1</v>
      </c>
      <c r="K471">
        <v>67.5</v>
      </c>
      <c r="L471">
        <v>26</v>
      </c>
      <c r="M471">
        <v>5.5</v>
      </c>
      <c r="N471">
        <v>0.17796320509425301</v>
      </c>
      <c r="O471">
        <v>0.32323154071400101</v>
      </c>
      <c r="P471" t="str">
        <f t="shared" si="14"/>
        <v>F</v>
      </c>
      <c r="Q471" t="str">
        <f t="shared" si="15"/>
        <v>F</v>
      </c>
    </row>
    <row r="472" spans="1:17" hidden="1" x14ac:dyDescent="0.3">
      <c r="A472">
        <v>6618</v>
      </c>
      <c r="B472">
        <v>3406</v>
      </c>
      <c r="C472">
        <v>95</v>
      </c>
      <c r="D472" t="s">
        <v>23</v>
      </c>
      <c r="E472" t="s">
        <v>20</v>
      </c>
      <c r="F472" t="s">
        <v>17</v>
      </c>
      <c r="G472" t="s">
        <v>26</v>
      </c>
      <c r="H472">
        <v>276.60000000000002</v>
      </c>
      <c r="I472">
        <v>250.5</v>
      </c>
      <c r="J472">
        <v>100</v>
      </c>
      <c r="K472">
        <v>67</v>
      </c>
      <c r="L472">
        <v>28.2</v>
      </c>
      <c r="M472">
        <v>6.5</v>
      </c>
      <c r="N472">
        <v>7.8582797586948097E-2</v>
      </c>
      <c r="O472">
        <v>0.33969000520237902</v>
      </c>
      <c r="P472" t="str">
        <f t="shared" si="14"/>
        <v>T</v>
      </c>
      <c r="Q472" t="str">
        <f t="shared" si="15"/>
        <v>F</v>
      </c>
    </row>
    <row r="473" spans="1:17" hidden="1" x14ac:dyDescent="0.3">
      <c r="A473">
        <v>6619</v>
      </c>
      <c r="B473">
        <v>3406</v>
      </c>
      <c r="C473">
        <v>95</v>
      </c>
      <c r="D473" t="s">
        <v>23</v>
      </c>
      <c r="E473" t="s">
        <v>20</v>
      </c>
      <c r="F473" t="s">
        <v>17</v>
      </c>
      <c r="G473" t="s">
        <v>26</v>
      </c>
      <c r="H473">
        <v>276.60000000000002</v>
      </c>
      <c r="I473">
        <v>250.5</v>
      </c>
      <c r="J473">
        <v>100</v>
      </c>
      <c r="K473">
        <v>67</v>
      </c>
      <c r="L473">
        <v>28.2</v>
      </c>
      <c r="M473">
        <v>6.5</v>
      </c>
      <c r="N473">
        <v>0.102326084441695</v>
      </c>
      <c r="O473">
        <v>0.33954401942759499</v>
      </c>
      <c r="P473" t="str">
        <f t="shared" si="14"/>
        <v>F</v>
      </c>
      <c r="Q473" t="str">
        <f t="shared" si="15"/>
        <v>F</v>
      </c>
    </row>
    <row r="474" spans="1:17" hidden="1" x14ac:dyDescent="0.3">
      <c r="A474">
        <v>6620</v>
      </c>
      <c r="B474">
        <v>3406</v>
      </c>
      <c r="C474">
        <v>95</v>
      </c>
      <c r="D474" t="s">
        <v>23</v>
      </c>
      <c r="E474" t="s">
        <v>20</v>
      </c>
      <c r="F474" t="s">
        <v>17</v>
      </c>
      <c r="G474" t="s">
        <v>26</v>
      </c>
      <c r="H474">
        <v>276.60000000000002</v>
      </c>
      <c r="I474">
        <v>250.5</v>
      </c>
      <c r="J474">
        <v>100</v>
      </c>
      <c r="K474">
        <v>67</v>
      </c>
      <c r="L474">
        <v>28.2</v>
      </c>
      <c r="M474">
        <v>6.5</v>
      </c>
      <c r="N474">
        <v>8.6179501853169194E-2</v>
      </c>
      <c r="O474">
        <v>0.32148582338200399</v>
      </c>
      <c r="P474" t="str">
        <f t="shared" si="14"/>
        <v>T</v>
      </c>
      <c r="Q474" t="str">
        <f t="shared" si="15"/>
        <v>F</v>
      </c>
    </row>
    <row r="475" spans="1:17" hidden="1" x14ac:dyDescent="0.3">
      <c r="A475">
        <v>6679</v>
      </c>
      <c r="B475">
        <v>3428</v>
      </c>
      <c r="C475">
        <v>251</v>
      </c>
      <c r="D475" t="s">
        <v>23</v>
      </c>
      <c r="E475" t="s">
        <v>20</v>
      </c>
      <c r="F475" t="s">
        <v>17</v>
      </c>
      <c r="G475" t="s">
        <v>26</v>
      </c>
      <c r="H475">
        <v>277.2</v>
      </c>
      <c r="I475">
        <v>261</v>
      </c>
      <c r="J475">
        <v>99.3</v>
      </c>
      <c r="K475">
        <v>69.5</v>
      </c>
      <c r="L475">
        <v>23.6</v>
      </c>
      <c r="M475">
        <v>13</v>
      </c>
      <c r="N475">
        <v>0.204730067875734</v>
      </c>
      <c r="O475">
        <v>0.45560326183990402</v>
      </c>
      <c r="P475" t="str">
        <f t="shared" si="14"/>
        <v>F</v>
      </c>
      <c r="Q475" t="str">
        <f t="shared" si="15"/>
        <v>F</v>
      </c>
    </row>
    <row r="476" spans="1:17" hidden="1" x14ac:dyDescent="0.3">
      <c r="A476">
        <v>6680</v>
      </c>
      <c r="B476">
        <v>3428</v>
      </c>
      <c r="C476">
        <v>251</v>
      </c>
      <c r="D476" t="s">
        <v>23</v>
      </c>
      <c r="E476" t="s">
        <v>20</v>
      </c>
      <c r="F476" t="s">
        <v>17</v>
      </c>
      <c r="G476" t="s">
        <v>26</v>
      </c>
      <c r="H476">
        <v>277.2</v>
      </c>
      <c r="I476">
        <v>261</v>
      </c>
      <c r="J476">
        <v>99.3</v>
      </c>
      <c r="K476">
        <v>69.5</v>
      </c>
      <c r="L476">
        <v>23.6</v>
      </c>
      <c r="M476">
        <v>13</v>
      </c>
      <c r="N476">
        <v>0.19659066453484</v>
      </c>
      <c r="O476">
        <v>0.47854875480273201</v>
      </c>
      <c r="P476" t="str">
        <f t="shared" si="14"/>
        <v>F</v>
      </c>
      <c r="Q476" t="str">
        <f t="shared" si="15"/>
        <v>F</v>
      </c>
    </row>
    <row r="477" spans="1:17" hidden="1" x14ac:dyDescent="0.3">
      <c r="A477">
        <v>6697</v>
      </c>
      <c r="B477">
        <v>3434</v>
      </c>
      <c r="C477">
        <v>66</v>
      </c>
      <c r="D477" t="s">
        <v>23</v>
      </c>
      <c r="E477" t="s">
        <v>20</v>
      </c>
      <c r="F477" t="s">
        <v>17</v>
      </c>
      <c r="G477" t="s">
        <v>24</v>
      </c>
      <c r="H477">
        <v>276.2</v>
      </c>
      <c r="I477">
        <v>258</v>
      </c>
      <c r="J477">
        <v>95.8</v>
      </c>
      <c r="K477">
        <v>63.5</v>
      </c>
      <c r="L477">
        <v>26.4</v>
      </c>
      <c r="M477">
        <v>7</v>
      </c>
      <c r="N477">
        <v>0.17697543008494199</v>
      </c>
      <c r="O477">
        <v>0.238661106377313</v>
      </c>
      <c r="P477" t="str">
        <f t="shared" si="14"/>
        <v>F</v>
      </c>
      <c r="Q477" t="str">
        <f t="shared" si="15"/>
        <v>T</v>
      </c>
    </row>
    <row r="478" spans="1:17" hidden="1" x14ac:dyDescent="0.3">
      <c r="A478">
        <v>6722</v>
      </c>
      <c r="B478">
        <v>3443</v>
      </c>
      <c r="C478">
        <v>122</v>
      </c>
      <c r="D478" t="s">
        <v>23</v>
      </c>
      <c r="E478" t="s">
        <v>20</v>
      </c>
      <c r="F478" t="s">
        <v>17</v>
      </c>
      <c r="G478" t="s">
        <v>25</v>
      </c>
      <c r="H478">
        <v>276.60000000000002</v>
      </c>
      <c r="I478">
        <v>246.5</v>
      </c>
      <c r="J478">
        <v>96.7</v>
      </c>
      <c r="K478">
        <v>65.5</v>
      </c>
      <c r="L478">
        <v>30.9</v>
      </c>
      <c r="M478">
        <v>8.5</v>
      </c>
      <c r="N478">
        <v>6.0239470128246E-2</v>
      </c>
      <c r="O478">
        <v>0.28502031663083599</v>
      </c>
      <c r="P478" t="str">
        <f t="shared" si="14"/>
        <v>T</v>
      </c>
      <c r="Q478" t="str">
        <f t="shared" si="15"/>
        <v>F</v>
      </c>
    </row>
    <row r="479" spans="1:17" hidden="1" x14ac:dyDescent="0.3">
      <c r="A479">
        <v>6780</v>
      </c>
      <c r="B479">
        <v>3463</v>
      </c>
      <c r="C479">
        <v>497</v>
      </c>
      <c r="D479" t="s">
        <v>23</v>
      </c>
      <c r="E479" t="s">
        <v>20</v>
      </c>
      <c r="F479" t="s">
        <v>21</v>
      </c>
      <c r="G479" t="s">
        <v>18</v>
      </c>
      <c r="H479">
        <v>269.7</v>
      </c>
      <c r="I479">
        <v>245</v>
      </c>
      <c r="J479">
        <v>94</v>
      </c>
      <c r="K479">
        <v>67</v>
      </c>
      <c r="L479">
        <v>24.2</v>
      </c>
      <c r="M479">
        <v>9</v>
      </c>
      <c r="N479">
        <v>0.204170420444965</v>
      </c>
      <c r="O479">
        <v>0.39213871051391103</v>
      </c>
      <c r="P479" t="str">
        <f t="shared" si="14"/>
        <v>F</v>
      </c>
      <c r="Q479" t="str">
        <f t="shared" si="15"/>
        <v>F</v>
      </c>
    </row>
    <row r="480" spans="1:17" hidden="1" x14ac:dyDescent="0.3">
      <c r="A480">
        <v>6781</v>
      </c>
      <c r="B480">
        <v>3463</v>
      </c>
      <c r="C480">
        <v>497</v>
      </c>
      <c r="D480" t="s">
        <v>23</v>
      </c>
      <c r="E480" t="s">
        <v>20</v>
      </c>
      <c r="F480" t="s">
        <v>21</v>
      </c>
      <c r="G480" t="s">
        <v>18</v>
      </c>
      <c r="H480">
        <v>269.7</v>
      </c>
      <c r="I480">
        <v>245</v>
      </c>
      <c r="J480">
        <v>94</v>
      </c>
      <c r="K480">
        <v>67</v>
      </c>
      <c r="L480">
        <v>24.2</v>
      </c>
      <c r="M480">
        <v>9</v>
      </c>
      <c r="N480">
        <v>0.215991861897843</v>
      </c>
      <c r="O480">
        <v>0.360876362722856</v>
      </c>
      <c r="P480" t="str">
        <f t="shared" si="14"/>
        <v>F</v>
      </c>
      <c r="Q480" t="str">
        <f t="shared" si="15"/>
        <v>F</v>
      </c>
    </row>
    <row r="481" spans="1:17" hidden="1" x14ac:dyDescent="0.3">
      <c r="A481">
        <v>6782</v>
      </c>
      <c r="B481">
        <v>3463</v>
      </c>
      <c r="C481">
        <v>497</v>
      </c>
      <c r="D481" t="s">
        <v>23</v>
      </c>
      <c r="E481" t="s">
        <v>20</v>
      </c>
      <c r="F481" t="s">
        <v>21</v>
      </c>
      <c r="G481" t="s">
        <v>18</v>
      </c>
      <c r="H481">
        <v>269.7</v>
      </c>
      <c r="I481">
        <v>245</v>
      </c>
      <c r="J481">
        <v>94</v>
      </c>
      <c r="K481">
        <v>67</v>
      </c>
      <c r="L481">
        <v>24.2</v>
      </c>
      <c r="M481">
        <v>9</v>
      </c>
      <c r="N481">
        <v>0.219789325508538</v>
      </c>
      <c r="O481">
        <v>0.36178081792926697</v>
      </c>
      <c r="P481" t="str">
        <f t="shared" si="14"/>
        <v>F</v>
      </c>
      <c r="Q481" t="str">
        <f t="shared" si="15"/>
        <v>F</v>
      </c>
    </row>
    <row r="482" spans="1:17" hidden="1" x14ac:dyDescent="0.3">
      <c r="A482">
        <v>6783</v>
      </c>
      <c r="B482">
        <v>3463</v>
      </c>
      <c r="C482">
        <v>497</v>
      </c>
      <c r="D482" t="s">
        <v>23</v>
      </c>
      <c r="E482" t="s">
        <v>20</v>
      </c>
      <c r="F482" t="s">
        <v>21</v>
      </c>
      <c r="G482" t="s">
        <v>18</v>
      </c>
      <c r="H482">
        <v>269.7</v>
      </c>
      <c r="I482">
        <v>245</v>
      </c>
      <c r="J482">
        <v>94</v>
      </c>
      <c r="K482">
        <v>67</v>
      </c>
      <c r="L482">
        <v>24.2</v>
      </c>
      <c r="M482">
        <v>9</v>
      </c>
      <c r="N482">
        <v>0.23211719035244299</v>
      </c>
      <c r="O482">
        <v>0.395993770247692</v>
      </c>
      <c r="P482" t="str">
        <f t="shared" si="14"/>
        <v>F</v>
      </c>
      <c r="Q482" t="str">
        <f t="shared" si="15"/>
        <v>F</v>
      </c>
    </row>
    <row r="483" spans="1:17" hidden="1" x14ac:dyDescent="0.3">
      <c r="A483">
        <v>6820</v>
      </c>
      <c r="B483">
        <v>3479</v>
      </c>
      <c r="C483">
        <v>267</v>
      </c>
      <c r="D483" t="s">
        <v>23</v>
      </c>
      <c r="E483" t="s">
        <v>20</v>
      </c>
      <c r="F483" t="s">
        <v>21</v>
      </c>
      <c r="G483" t="s">
        <v>24</v>
      </c>
      <c r="H483">
        <v>275.39999999999998</v>
      </c>
      <c r="I483">
        <v>244.5</v>
      </c>
      <c r="J483">
        <v>95.4</v>
      </c>
      <c r="K483">
        <v>67</v>
      </c>
      <c r="L483">
        <v>22.2</v>
      </c>
      <c r="M483">
        <v>9.5</v>
      </c>
      <c r="N483">
        <v>0.27504355435560202</v>
      </c>
      <c r="O483">
        <v>0.22340733875177399</v>
      </c>
      <c r="P483" t="str">
        <f t="shared" si="14"/>
        <v>F</v>
      </c>
      <c r="Q483" t="str">
        <f t="shared" si="15"/>
        <v>T</v>
      </c>
    </row>
    <row r="484" spans="1:17" hidden="1" x14ac:dyDescent="0.3">
      <c r="A484">
        <v>6821</v>
      </c>
      <c r="B484">
        <v>3479</v>
      </c>
      <c r="C484">
        <v>267</v>
      </c>
      <c r="D484" t="s">
        <v>23</v>
      </c>
      <c r="E484" t="s">
        <v>20</v>
      </c>
      <c r="F484" t="s">
        <v>21</v>
      </c>
      <c r="G484" t="s">
        <v>24</v>
      </c>
      <c r="H484">
        <v>275.39999999999998</v>
      </c>
      <c r="I484">
        <v>244.5</v>
      </c>
      <c r="J484">
        <v>95.4</v>
      </c>
      <c r="K484">
        <v>67</v>
      </c>
      <c r="L484">
        <v>22.2</v>
      </c>
      <c r="M484">
        <v>9.5</v>
      </c>
      <c r="N484">
        <v>0.249391416437442</v>
      </c>
      <c r="O484">
        <v>0.23570096676792601</v>
      </c>
      <c r="P484" t="str">
        <f t="shared" si="14"/>
        <v>F</v>
      </c>
      <c r="Q484" t="str">
        <f t="shared" si="15"/>
        <v>T</v>
      </c>
    </row>
    <row r="485" spans="1:17" hidden="1" x14ac:dyDescent="0.3">
      <c r="A485">
        <v>6822</v>
      </c>
      <c r="B485">
        <v>3479</v>
      </c>
      <c r="C485">
        <v>267</v>
      </c>
      <c r="D485" t="s">
        <v>23</v>
      </c>
      <c r="E485" t="s">
        <v>20</v>
      </c>
      <c r="F485" t="s">
        <v>21</v>
      </c>
      <c r="G485" t="s">
        <v>24</v>
      </c>
      <c r="H485">
        <v>275.39999999999998</v>
      </c>
      <c r="I485">
        <v>244.5</v>
      </c>
      <c r="J485">
        <v>95.4</v>
      </c>
      <c r="K485">
        <v>67</v>
      </c>
      <c r="L485">
        <v>22.2</v>
      </c>
      <c r="M485">
        <v>9.5</v>
      </c>
      <c r="N485">
        <v>0.26228559713430399</v>
      </c>
      <c r="O485">
        <v>0.217353163525424</v>
      </c>
      <c r="P485" t="str">
        <f t="shared" si="14"/>
        <v>F</v>
      </c>
      <c r="Q485" t="str">
        <f t="shared" si="15"/>
        <v>T</v>
      </c>
    </row>
    <row r="486" spans="1:17" hidden="1" x14ac:dyDescent="0.3">
      <c r="A486">
        <v>6824</v>
      </c>
      <c r="B486">
        <v>3479</v>
      </c>
      <c r="C486">
        <v>267</v>
      </c>
      <c r="D486" t="s">
        <v>23</v>
      </c>
      <c r="E486" t="s">
        <v>20</v>
      </c>
      <c r="F486" t="s">
        <v>21</v>
      </c>
      <c r="G486" t="s">
        <v>24</v>
      </c>
      <c r="H486">
        <v>275.39999999999998</v>
      </c>
      <c r="I486">
        <v>244.5</v>
      </c>
      <c r="J486">
        <v>95.4</v>
      </c>
      <c r="K486">
        <v>67</v>
      </c>
      <c r="L486">
        <v>22.2</v>
      </c>
      <c r="M486">
        <v>9.5</v>
      </c>
      <c r="N486">
        <v>0.23686160220560101</v>
      </c>
      <c r="O486">
        <v>0.21621577392500499</v>
      </c>
      <c r="P486" t="str">
        <f t="shared" si="14"/>
        <v>F</v>
      </c>
      <c r="Q486" t="str">
        <f t="shared" si="15"/>
        <v>T</v>
      </c>
    </row>
    <row r="487" spans="1:17" hidden="1" x14ac:dyDescent="0.3">
      <c r="A487">
        <v>6840</v>
      </c>
      <c r="B487">
        <v>3486</v>
      </c>
      <c r="C487">
        <v>71</v>
      </c>
      <c r="D487" t="s">
        <v>23</v>
      </c>
      <c r="E487" t="s">
        <v>20</v>
      </c>
      <c r="F487" t="s">
        <v>17</v>
      </c>
      <c r="G487" t="s">
        <v>22</v>
      </c>
      <c r="H487">
        <v>281</v>
      </c>
      <c r="I487">
        <v>265.5</v>
      </c>
      <c r="J487">
        <v>100.2</v>
      </c>
      <c r="K487">
        <v>66.5</v>
      </c>
      <c r="L487">
        <v>25.2</v>
      </c>
      <c r="M487">
        <v>8</v>
      </c>
      <c r="N487">
        <v>0.17453960209172301</v>
      </c>
      <c r="O487">
        <v>0.162877194530475</v>
      </c>
      <c r="P487" t="str">
        <f t="shared" si="14"/>
        <v>F</v>
      </c>
      <c r="Q487" t="str">
        <f t="shared" si="15"/>
        <v>T</v>
      </c>
    </row>
    <row r="488" spans="1:17" hidden="1" x14ac:dyDescent="0.3">
      <c r="A488">
        <v>6891</v>
      </c>
      <c r="B488">
        <v>3510</v>
      </c>
      <c r="C488">
        <v>340</v>
      </c>
      <c r="D488" t="s">
        <v>23</v>
      </c>
      <c r="E488" t="s">
        <v>20</v>
      </c>
      <c r="F488" t="s">
        <v>17</v>
      </c>
      <c r="G488" t="s">
        <v>25</v>
      </c>
      <c r="H488">
        <v>274.60000000000002</v>
      </c>
      <c r="I488">
        <v>261.5</v>
      </c>
      <c r="J488">
        <v>96.7</v>
      </c>
      <c r="K488">
        <v>62</v>
      </c>
      <c r="L488">
        <v>28.9</v>
      </c>
      <c r="M488">
        <v>10.5</v>
      </c>
      <c r="N488">
        <v>5.45836774610702E-2</v>
      </c>
      <c r="O488">
        <v>0.39438790219210101</v>
      </c>
      <c r="P488" t="str">
        <f t="shared" si="14"/>
        <v>T</v>
      </c>
      <c r="Q488" t="str">
        <f t="shared" si="15"/>
        <v>F</v>
      </c>
    </row>
    <row r="489" spans="1:17" hidden="1" x14ac:dyDescent="0.3">
      <c r="A489">
        <v>6892</v>
      </c>
      <c r="B489">
        <v>3510</v>
      </c>
      <c r="C489">
        <v>340</v>
      </c>
      <c r="D489" t="s">
        <v>23</v>
      </c>
      <c r="E489" t="s">
        <v>20</v>
      </c>
      <c r="F489" t="s">
        <v>17</v>
      </c>
      <c r="G489" t="s">
        <v>25</v>
      </c>
      <c r="H489">
        <v>274.60000000000002</v>
      </c>
      <c r="I489">
        <v>261.5</v>
      </c>
      <c r="J489">
        <v>96.7</v>
      </c>
      <c r="K489">
        <v>62</v>
      </c>
      <c r="L489">
        <v>28.9</v>
      </c>
      <c r="M489">
        <v>10.5</v>
      </c>
      <c r="N489">
        <v>4.9316973645179701E-2</v>
      </c>
      <c r="O489">
        <v>0.37152273724395402</v>
      </c>
      <c r="P489" t="str">
        <f t="shared" si="14"/>
        <v>T</v>
      </c>
      <c r="Q489" t="str">
        <f t="shared" si="15"/>
        <v>F</v>
      </c>
    </row>
    <row r="490" spans="1:17" hidden="1" x14ac:dyDescent="0.3">
      <c r="A490">
        <v>6893</v>
      </c>
      <c r="B490">
        <v>3510</v>
      </c>
      <c r="C490">
        <v>340</v>
      </c>
      <c r="D490" t="s">
        <v>23</v>
      </c>
      <c r="E490" t="s">
        <v>20</v>
      </c>
      <c r="F490" t="s">
        <v>17</v>
      </c>
      <c r="G490" t="s">
        <v>25</v>
      </c>
      <c r="H490">
        <v>274.60000000000002</v>
      </c>
      <c r="I490">
        <v>261.5</v>
      </c>
      <c r="J490">
        <v>96.7</v>
      </c>
      <c r="K490">
        <v>62</v>
      </c>
      <c r="L490">
        <v>28.9</v>
      </c>
      <c r="M490">
        <v>10.5</v>
      </c>
      <c r="N490">
        <v>4.16818142051655E-2</v>
      </c>
      <c r="O490">
        <v>0.37144173033880601</v>
      </c>
      <c r="P490" t="str">
        <f t="shared" si="14"/>
        <v>T</v>
      </c>
      <c r="Q490" t="str">
        <f t="shared" si="15"/>
        <v>F</v>
      </c>
    </row>
    <row r="491" spans="1:17" hidden="1" x14ac:dyDescent="0.3">
      <c r="A491">
        <v>6894</v>
      </c>
      <c r="B491">
        <v>3510</v>
      </c>
      <c r="C491">
        <v>340</v>
      </c>
      <c r="D491" t="s">
        <v>23</v>
      </c>
      <c r="E491" t="s">
        <v>20</v>
      </c>
      <c r="F491" t="s">
        <v>17</v>
      </c>
      <c r="G491" t="s">
        <v>25</v>
      </c>
      <c r="H491">
        <v>274.60000000000002</v>
      </c>
      <c r="I491">
        <v>261.5</v>
      </c>
      <c r="J491">
        <v>96.7</v>
      </c>
      <c r="K491">
        <v>62</v>
      </c>
      <c r="L491">
        <v>28.9</v>
      </c>
      <c r="M491">
        <v>10.5</v>
      </c>
      <c r="N491">
        <v>5.3705508934592201E-2</v>
      </c>
      <c r="O491">
        <v>0.38272630012342701</v>
      </c>
      <c r="P491" t="str">
        <f t="shared" si="14"/>
        <v>T</v>
      </c>
      <c r="Q491" t="str">
        <f t="shared" si="15"/>
        <v>F</v>
      </c>
    </row>
    <row r="492" spans="1:17" hidden="1" x14ac:dyDescent="0.3">
      <c r="A492">
        <v>6895</v>
      </c>
      <c r="B492">
        <v>3510</v>
      </c>
      <c r="C492">
        <v>340</v>
      </c>
      <c r="D492" t="s">
        <v>23</v>
      </c>
      <c r="E492" t="s">
        <v>20</v>
      </c>
      <c r="F492" t="s">
        <v>17</v>
      </c>
      <c r="G492" t="s">
        <v>25</v>
      </c>
      <c r="H492">
        <v>274.60000000000002</v>
      </c>
      <c r="I492">
        <v>261.5</v>
      </c>
      <c r="J492">
        <v>96.7</v>
      </c>
      <c r="K492">
        <v>62</v>
      </c>
      <c r="L492">
        <v>28.9</v>
      </c>
      <c r="M492">
        <v>10.5</v>
      </c>
      <c r="N492">
        <v>5.74982495256278E-2</v>
      </c>
      <c r="O492">
        <v>0.38860587542699898</v>
      </c>
      <c r="P492" t="str">
        <f t="shared" si="14"/>
        <v>T</v>
      </c>
      <c r="Q492" t="str">
        <f t="shared" si="15"/>
        <v>F</v>
      </c>
    </row>
    <row r="493" spans="1:17" hidden="1" x14ac:dyDescent="0.3">
      <c r="A493">
        <v>6896</v>
      </c>
      <c r="B493">
        <v>3510</v>
      </c>
      <c r="C493">
        <v>340</v>
      </c>
      <c r="D493" t="s">
        <v>23</v>
      </c>
      <c r="E493" t="s">
        <v>20</v>
      </c>
      <c r="F493" t="s">
        <v>17</v>
      </c>
      <c r="G493" t="s">
        <v>25</v>
      </c>
      <c r="H493">
        <v>274.60000000000002</v>
      </c>
      <c r="I493">
        <v>261.5</v>
      </c>
      <c r="J493">
        <v>96.7</v>
      </c>
      <c r="K493">
        <v>62</v>
      </c>
      <c r="L493">
        <v>28.9</v>
      </c>
      <c r="M493">
        <v>10.5</v>
      </c>
      <c r="N493">
        <v>5.4354850839775801E-2</v>
      </c>
      <c r="O493">
        <v>0.39219531958388898</v>
      </c>
      <c r="P493" t="str">
        <f t="shared" si="14"/>
        <v>T</v>
      </c>
      <c r="Q493" t="str">
        <f t="shared" si="15"/>
        <v>F</v>
      </c>
    </row>
    <row r="494" spans="1:17" hidden="1" x14ac:dyDescent="0.3">
      <c r="A494">
        <v>6911</v>
      </c>
      <c r="B494">
        <v>3515</v>
      </c>
      <c r="C494">
        <v>322</v>
      </c>
      <c r="D494" t="s">
        <v>23</v>
      </c>
      <c r="E494" t="s">
        <v>20</v>
      </c>
      <c r="F494" t="s">
        <v>17</v>
      </c>
      <c r="G494" t="s">
        <v>22</v>
      </c>
      <c r="H494">
        <v>276.7</v>
      </c>
      <c r="I494">
        <v>250</v>
      </c>
      <c r="J494">
        <v>99.1</v>
      </c>
      <c r="K494">
        <v>67.5</v>
      </c>
      <c r="L494">
        <v>26</v>
      </c>
      <c r="M494">
        <v>5.5</v>
      </c>
      <c r="N494">
        <v>0.15979643249516701</v>
      </c>
      <c r="O494">
        <v>0.32275595830512099</v>
      </c>
      <c r="P494" t="str">
        <f t="shared" si="14"/>
        <v>F</v>
      </c>
      <c r="Q494" t="str">
        <f t="shared" si="15"/>
        <v>F</v>
      </c>
    </row>
    <row r="495" spans="1:17" hidden="1" x14ac:dyDescent="0.3">
      <c r="A495">
        <v>6912</v>
      </c>
      <c r="B495">
        <v>3515</v>
      </c>
      <c r="C495">
        <v>322</v>
      </c>
      <c r="D495" t="s">
        <v>23</v>
      </c>
      <c r="E495" t="s">
        <v>20</v>
      </c>
      <c r="F495" t="s">
        <v>17</v>
      </c>
      <c r="G495" t="s">
        <v>22</v>
      </c>
      <c r="H495">
        <v>276.7</v>
      </c>
      <c r="I495">
        <v>250</v>
      </c>
      <c r="J495">
        <v>99.1</v>
      </c>
      <c r="K495">
        <v>67.5</v>
      </c>
      <c r="L495">
        <v>26</v>
      </c>
      <c r="M495">
        <v>5.5</v>
      </c>
      <c r="N495">
        <v>0.160182072156698</v>
      </c>
      <c r="O495">
        <v>0.31920555262626299</v>
      </c>
      <c r="P495" t="str">
        <f t="shared" si="14"/>
        <v>F</v>
      </c>
      <c r="Q495" t="str">
        <f t="shared" si="15"/>
        <v>F</v>
      </c>
    </row>
    <row r="496" spans="1:17" hidden="1" x14ac:dyDescent="0.3">
      <c r="A496">
        <v>6913</v>
      </c>
      <c r="B496">
        <v>3515</v>
      </c>
      <c r="C496">
        <v>322</v>
      </c>
      <c r="D496" t="s">
        <v>23</v>
      </c>
      <c r="E496" t="s">
        <v>20</v>
      </c>
      <c r="F496" t="s">
        <v>17</v>
      </c>
      <c r="G496" t="s">
        <v>22</v>
      </c>
      <c r="H496">
        <v>276.7</v>
      </c>
      <c r="I496">
        <v>250</v>
      </c>
      <c r="J496">
        <v>99.1</v>
      </c>
      <c r="K496">
        <v>67.5</v>
      </c>
      <c r="L496">
        <v>26</v>
      </c>
      <c r="M496">
        <v>5.5</v>
      </c>
      <c r="N496">
        <v>0.16843031777873901</v>
      </c>
      <c r="O496">
        <v>0.35422370857894497</v>
      </c>
      <c r="P496" t="str">
        <f t="shared" si="14"/>
        <v>F</v>
      </c>
      <c r="Q496" t="str">
        <f t="shared" si="15"/>
        <v>F</v>
      </c>
    </row>
    <row r="497" spans="1:17" hidden="1" x14ac:dyDescent="0.3">
      <c r="A497">
        <v>7015</v>
      </c>
      <c r="B497">
        <v>3552</v>
      </c>
      <c r="C497">
        <v>355</v>
      </c>
      <c r="D497" t="s">
        <v>23</v>
      </c>
      <c r="E497" t="s">
        <v>20</v>
      </c>
      <c r="F497" t="s">
        <v>17</v>
      </c>
      <c r="G497" t="s">
        <v>18</v>
      </c>
      <c r="H497">
        <v>277.7</v>
      </c>
      <c r="I497">
        <v>250</v>
      </c>
      <c r="J497">
        <v>99.3</v>
      </c>
      <c r="K497">
        <v>65</v>
      </c>
      <c r="L497">
        <v>25.4</v>
      </c>
      <c r="M497">
        <v>11.5</v>
      </c>
      <c r="N497">
        <v>0.145735145308689</v>
      </c>
      <c r="O497">
        <v>0.316829842483631</v>
      </c>
      <c r="P497" t="str">
        <f t="shared" si="14"/>
        <v>F</v>
      </c>
      <c r="Q497" t="str">
        <f t="shared" si="15"/>
        <v>F</v>
      </c>
    </row>
    <row r="498" spans="1:17" hidden="1" x14ac:dyDescent="0.3">
      <c r="A498">
        <v>7016</v>
      </c>
      <c r="B498">
        <v>3552</v>
      </c>
      <c r="C498">
        <v>355</v>
      </c>
      <c r="D498" t="s">
        <v>23</v>
      </c>
      <c r="E498" t="s">
        <v>20</v>
      </c>
      <c r="F498" t="s">
        <v>17</v>
      </c>
      <c r="G498" t="s">
        <v>18</v>
      </c>
      <c r="H498">
        <v>277.7</v>
      </c>
      <c r="I498">
        <v>250</v>
      </c>
      <c r="J498">
        <v>99.3</v>
      </c>
      <c r="K498">
        <v>65</v>
      </c>
      <c r="L498">
        <v>25.4</v>
      </c>
      <c r="M498">
        <v>11.5</v>
      </c>
      <c r="N498">
        <v>0.13623096238681401</v>
      </c>
      <c r="O498">
        <v>0.29202198644387201</v>
      </c>
      <c r="P498" t="str">
        <f t="shared" si="14"/>
        <v>F</v>
      </c>
      <c r="Q498" t="str">
        <f t="shared" si="15"/>
        <v>F</v>
      </c>
    </row>
    <row r="499" spans="1:17" hidden="1" x14ac:dyDescent="0.3">
      <c r="A499">
        <v>7017</v>
      </c>
      <c r="B499">
        <v>3552</v>
      </c>
      <c r="C499">
        <v>355</v>
      </c>
      <c r="D499" t="s">
        <v>23</v>
      </c>
      <c r="E499" t="s">
        <v>20</v>
      </c>
      <c r="F499" t="s">
        <v>17</v>
      </c>
      <c r="G499" t="s">
        <v>18</v>
      </c>
      <c r="H499">
        <v>277.7</v>
      </c>
      <c r="I499">
        <v>250</v>
      </c>
      <c r="J499">
        <v>99.3</v>
      </c>
      <c r="K499">
        <v>65</v>
      </c>
      <c r="L499">
        <v>25.4</v>
      </c>
      <c r="M499">
        <v>11.5</v>
      </c>
      <c r="N499">
        <v>0.13012701362172499</v>
      </c>
      <c r="O499">
        <v>0.32511381753225999</v>
      </c>
      <c r="P499" t="str">
        <f t="shared" si="14"/>
        <v>F</v>
      </c>
      <c r="Q499" t="str">
        <f t="shared" si="15"/>
        <v>F</v>
      </c>
    </row>
    <row r="500" spans="1:17" hidden="1" x14ac:dyDescent="0.3">
      <c r="A500">
        <v>7018</v>
      </c>
      <c r="B500">
        <v>3552</v>
      </c>
      <c r="C500">
        <v>355</v>
      </c>
      <c r="D500" t="s">
        <v>23</v>
      </c>
      <c r="E500" t="s">
        <v>20</v>
      </c>
      <c r="F500" t="s">
        <v>17</v>
      </c>
      <c r="G500" t="s">
        <v>18</v>
      </c>
      <c r="H500">
        <v>277.7</v>
      </c>
      <c r="I500">
        <v>250</v>
      </c>
      <c r="J500">
        <v>99.3</v>
      </c>
      <c r="K500">
        <v>65</v>
      </c>
      <c r="L500">
        <v>25.4</v>
      </c>
      <c r="M500">
        <v>11.5</v>
      </c>
      <c r="N500">
        <v>0.13306585864513801</v>
      </c>
      <c r="O500">
        <v>0.31264762591623502</v>
      </c>
      <c r="P500" t="str">
        <f t="shared" si="14"/>
        <v>F</v>
      </c>
      <c r="Q500" t="str">
        <f t="shared" si="15"/>
        <v>F</v>
      </c>
    </row>
    <row r="501" spans="1:17" hidden="1" x14ac:dyDescent="0.3">
      <c r="A501">
        <v>7031</v>
      </c>
      <c r="B501">
        <v>3557</v>
      </c>
      <c r="C501">
        <v>80</v>
      </c>
      <c r="D501" t="s">
        <v>23</v>
      </c>
      <c r="E501" t="s">
        <v>20</v>
      </c>
      <c r="F501" t="s">
        <v>21</v>
      </c>
      <c r="G501" t="s">
        <v>22</v>
      </c>
      <c r="H501">
        <v>279</v>
      </c>
      <c r="I501">
        <v>254</v>
      </c>
      <c r="J501">
        <v>97.1</v>
      </c>
      <c r="K501">
        <v>67</v>
      </c>
      <c r="L501">
        <v>24.6</v>
      </c>
      <c r="M501">
        <v>7</v>
      </c>
      <c r="N501">
        <v>0.21799644389161801</v>
      </c>
      <c r="O501">
        <v>0.34766989395488401</v>
      </c>
      <c r="P501" t="str">
        <f t="shared" si="14"/>
        <v>F</v>
      </c>
      <c r="Q501" t="str">
        <f t="shared" si="15"/>
        <v>F</v>
      </c>
    </row>
    <row r="502" spans="1:17" hidden="1" x14ac:dyDescent="0.3">
      <c r="A502">
        <v>7032</v>
      </c>
      <c r="B502">
        <v>3557</v>
      </c>
      <c r="C502">
        <v>80</v>
      </c>
      <c r="D502" t="s">
        <v>23</v>
      </c>
      <c r="E502" t="s">
        <v>20</v>
      </c>
      <c r="F502" t="s">
        <v>21</v>
      </c>
      <c r="G502" t="s">
        <v>22</v>
      </c>
      <c r="H502">
        <v>279</v>
      </c>
      <c r="I502">
        <v>254</v>
      </c>
      <c r="J502">
        <v>97.1</v>
      </c>
      <c r="K502">
        <v>67</v>
      </c>
      <c r="L502">
        <v>24.6</v>
      </c>
      <c r="M502">
        <v>7</v>
      </c>
      <c r="N502">
        <v>0.230876920292683</v>
      </c>
      <c r="O502">
        <v>0.35933201691632499</v>
      </c>
      <c r="P502" t="str">
        <f t="shared" si="14"/>
        <v>F</v>
      </c>
      <c r="Q502" t="str">
        <f t="shared" si="15"/>
        <v>F</v>
      </c>
    </row>
    <row r="503" spans="1:17" hidden="1" x14ac:dyDescent="0.3">
      <c r="A503">
        <v>7033</v>
      </c>
      <c r="B503">
        <v>3557</v>
      </c>
      <c r="C503">
        <v>80</v>
      </c>
      <c r="D503" t="s">
        <v>23</v>
      </c>
      <c r="E503" t="s">
        <v>20</v>
      </c>
      <c r="F503" t="s">
        <v>21</v>
      </c>
      <c r="G503" t="s">
        <v>22</v>
      </c>
      <c r="H503">
        <v>279</v>
      </c>
      <c r="I503">
        <v>254</v>
      </c>
      <c r="J503">
        <v>97.1</v>
      </c>
      <c r="K503">
        <v>67</v>
      </c>
      <c r="L503">
        <v>24.6</v>
      </c>
      <c r="M503">
        <v>7</v>
      </c>
      <c r="N503">
        <v>0.20289934033179499</v>
      </c>
      <c r="O503">
        <v>0.34664519509847502</v>
      </c>
      <c r="P503" t="str">
        <f t="shared" si="14"/>
        <v>F</v>
      </c>
      <c r="Q503" t="str">
        <f t="shared" si="15"/>
        <v>F</v>
      </c>
    </row>
    <row r="504" spans="1:17" hidden="1" x14ac:dyDescent="0.3">
      <c r="A504">
        <v>7034</v>
      </c>
      <c r="B504">
        <v>3557</v>
      </c>
      <c r="C504">
        <v>80</v>
      </c>
      <c r="D504" t="s">
        <v>23</v>
      </c>
      <c r="E504" t="s">
        <v>20</v>
      </c>
      <c r="F504" t="s">
        <v>21</v>
      </c>
      <c r="G504" t="s">
        <v>22</v>
      </c>
      <c r="H504">
        <v>279</v>
      </c>
      <c r="I504">
        <v>254</v>
      </c>
      <c r="J504">
        <v>97.1</v>
      </c>
      <c r="K504">
        <v>67</v>
      </c>
      <c r="L504">
        <v>24.6</v>
      </c>
      <c r="M504">
        <v>7</v>
      </c>
      <c r="N504">
        <v>0.21684541129717599</v>
      </c>
      <c r="O504">
        <v>0.35752673978206201</v>
      </c>
      <c r="P504" t="str">
        <f t="shared" si="14"/>
        <v>F</v>
      </c>
      <c r="Q504" t="str">
        <f t="shared" si="15"/>
        <v>F</v>
      </c>
    </row>
    <row r="505" spans="1:17" hidden="1" x14ac:dyDescent="0.3">
      <c r="A505">
        <v>7035</v>
      </c>
      <c r="B505">
        <v>3558</v>
      </c>
      <c r="C505">
        <v>267</v>
      </c>
      <c r="D505" t="s">
        <v>23</v>
      </c>
      <c r="E505" t="s">
        <v>20</v>
      </c>
      <c r="F505" t="s">
        <v>17</v>
      </c>
      <c r="G505" t="s">
        <v>18</v>
      </c>
      <c r="H505">
        <v>275.39999999999998</v>
      </c>
      <c r="I505">
        <v>244.5</v>
      </c>
      <c r="J505">
        <v>95.4</v>
      </c>
      <c r="K505">
        <v>67</v>
      </c>
      <c r="L505">
        <v>22.2</v>
      </c>
      <c r="M505">
        <v>9.5</v>
      </c>
      <c r="N505">
        <v>0.24998692491309199</v>
      </c>
      <c r="O505">
        <v>0.22278756059417501</v>
      </c>
      <c r="P505" t="str">
        <f t="shared" si="14"/>
        <v>F</v>
      </c>
      <c r="Q505" t="str">
        <f t="shared" si="15"/>
        <v>T</v>
      </c>
    </row>
    <row r="506" spans="1:17" hidden="1" x14ac:dyDescent="0.3">
      <c r="A506">
        <v>7036</v>
      </c>
      <c r="B506">
        <v>3558</v>
      </c>
      <c r="C506">
        <v>267</v>
      </c>
      <c r="D506" t="s">
        <v>23</v>
      </c>
      <c r="E506" t="s">
        <v>20</v>
      </c>
      <c r="F506" t="s">
        <v>17</v>
      </c>
      <c r="G506" t="s">
        <v>18</v>
      </c>
      <c r="H506">
        <v>275.39999999999998</v>
      </c>
      <c r="I506">
        <v>244.5</v>
      </c>
      <c r="J506">
        <v>95.4</v>
      </c>
      <c r="K506">
        <v>67</v>
      </c>
      <c r="L506">
        <v>22.2</v>
      </c>
      <c r="M506">
        <v>9.5</v>
      </c>
      <c r="N506">
        <v>0.24791707149409201</v>
      </c>
      <c r="O506">
        <v>0.215871457328315</v>
      </c>
      <c r="P506" t="str">
        <f t="shared" si="14"/>
        <v>F</v>
      </c>
      <c r="Q506" t="str">
        <f t="shared" si="15"/>
        <v>T</v>
      </c>
    </row>
    <row r="507" spans="1:17" hidden="1" x14ac:dyDescent="0.3">
      <c r="A507">
        <v>7070</v>
      </c>
      <c r="B507">
        <v>3569</v>
      </c>
      <c r="C507">
        <v>176</v>
      </c>
      <c r="D507" t="s">
        <v>23</v>
      </c>
      <c r="E507" t="s">
        <v>20</v>
      </c>
      <c r="F507" t="s">
        <v>21</v>
      </c>
      <c r="G507" t="s">
        <v>18</v>
      </c>
      <c r="H507">
        <v>274.5</v>
      </c>
      <c r="I507">
        <v>261.5</v>
      </c>
      <c r="J507">
        <v>100.7</v>
      </c>
      <c r="K507">
        <v>67</v>
      </c>
      <c r="L507">
        <v>26.6</v>
      </c>
      <c r="M507">
        <v>10</v>
      </c>
      <c r="N507">
        <v>0.12558003779031199</v>
      </c>
      <c r="O507">
        <v>0.40242150885421402</v>
      </c>
      <c r="P507" t="str">
        <f t="shared" si="14"/>
        <v>F</v>
      </c>
      <c r="Q507" t="str">
        <f t="shared" si="15"/>
        <v>F</v>
      </c>
    </row>
    <row r="508" spans="1:17" hidden="1" x14ac:dyDescent="0.3">
      <c r="A508">
        <v>7071</v>
      </c>
      <c r="B508">
        <v>3569</v>
      </c>
      <c r="C508">
        <v>176</v>
      </c>
      <c r="D508" t="s">
        <v>23</v>
      </c>
      <c r="E508" t="s">
        <v>20</v>
      </c>
      <c r="F508" t="s">
        <v>21</v>
      </c>
      <c r="G508" t="s">
        <v>18</v>
      </c>
      <c r="H508">
        <v>274.5</v>
      </c>
      <c r="I508">
        <v>261.5</v>
      </c>
      <c r="J508">
        <v>100.7</v>
      </c>
      <c r="K508">
        <v>67</v>
      </c>
      <c r="L508">
        <v>26.6</v>
      </c>
      <c r="M508">
        <v>10</v>
      </c>
      <c r="N508">
        <v>0.144357502611417</v>
      </c>
      <c r="O508">
        <v>0.39834133522604398</v>
      </c>
      <c r="P508" t="str">
        <f t="shared" si="14"/>
        <v>F</v>
      </c>
      <c r="Q508" t="str">
        <f t="shared" si="15"/>
        <v>F</v>
      </c>
    </row>
    <row r="509" spans="1:17" hidden="1" x14ac:dyDescent="0.3">
      <c r="A509">
        <v>7072</v>
      </c>
      <c r="B509">
        <v>3569</v>
      </c>
      <c r="C509">
        <v>176</v>
      </c>
      <c r="D509" t="s">
        <v>23</v>
      </c>
      <c r="E509" t="s">
        <v>20</v>
      </c>
      <c r="F509" t="s">
        <v>21</v>
      </c>
      <c r="G509" t="s">
        <v>18</v>
      </c>
      <c r="H509">
        <v>274.5</v>
      </c>
      <c r="I509">
        <v>261.5</v>
      </c>
      <c r="J509">
        <v>100.7</v>
      </c>
      <c r="K509">
        <v>67</v>
      </c>
      <c r="L509">
        <v>26.6</v>
      </c>
      <c r="M509">
        <v>10</v>
      </c>
      <c r="N509">
        <v>0.153682301831671</v>
      </c>
      <c r="O509">
        <v>0.42946326501933701</v>
      </c>
      <c r="P509" t="str">
        <f t="shared" si="14"/>
        <v>F</v>
      </c>
      <c r="Q509" t="str">
        <f t="shared" si="15"/>
        <v>F</v>
      </c>
    </row>
    <row r="510" spans="1:17" hidden="1" x14ac:dyDescent="0.3">
      <c r="A510">
        <v>7073</v>
      </c>
      <c r="B510">
        <v>3569</v>
      </c>
      <c r="C510">
        <v>176</v>
      </c>
      <c r="D510" t="s">
        <v>23</v>
      </c>
      <c r="E510" t="s">
        <v>20</v>
      </c>
      <c r="F510" t="s">
        <v>21</v>
      </c>
      <c r="G510" t="s">
        <v>18</v>
      </c>
      <c r="H510">
        <v>274.5</v>
      </c>
      <c r="I510">
        <v>261.5</v>
      </c>
      <c r="J510">
        <v>100.7</v>
      </c>
      <c r="K510">
        <v>67</v>
      </c>
      <c r="L510">
        <v>26.6</v>
      </c>
      <c r="M510">
        <v>10</v>
      </c>
      <c r="N510">
        <v>0.12752714506552101</v>
      </c>
      <c r="O510">
        <v>0.399554213534416</v>
      </c>
      <c r="P510" t="str">
        <f t="shared" si="14"/>
        <v>F</v>
      </c>
      <c r="Q510" t="str">
        <f t="shared" si="15"/>
        <v>F</v>
      </c>
    </row>
    <row r="511" spans="1:17" hidden="1" x14ac:dyDescent="0.3">
      <c r="A511">
        <v>7162</v>
      </c>
      <c r="B511">
        <v>3599</v>
      </c>
      <c r="C511">
        <v>261</v>
      </c>
      <c r="D511" t="s">
        <v>23</v>
      </c>
      <c r="E511" t="s">
        <v>20</v>
      </c>
      <c r="F511" t="s">
        <v>21</v>
      </c>
      <c r="G511" t="s">
        <v>26</v>
      </c>
      <c r="H511">
        <v>276.60000000000002</v>
      </c>
      <c r="I511">
        <v>246</v>
      </c>
      <c r="J511">
        <v>96.1</v>
      </c>
      <c r="K511">
        <v>65.5</v>
      </c>
      <c r="L511">
        <v>29.4</v>
      </c>
      <c r="M511">
        <v>12</v>
      </c>
      <c r="N511">
        <v>1.45869944506107E-2</v>
      </c>
      <c r="O511">
        <v>0.35206206399714501</v>
      </c>
      <c r="P511" t="str">
        <f t="shared" si="14"/>
        <v>T</v>
      </c>
      <c r="Q511" t="str">
        <f t="shared" si="15"/>
        <v>F</v>
      </c>
    </row>
    <row r="512" spans="1:17" hidden="1" x14ac:dyDescent="0.3">
      <c r="A512">
        <v>7163</v>
      </c>
      <c r="B512">
        <v>3599</v>
      </c>
      <c r="C512">
        <v>261</v>
      </c>
      <c r="D512" t="s">
        <v>23</v>
      </c>
      <c r="E512" t="s">
        <v>20</v>
      </c>
      <c r="F512" t="s">
        <v>21</v>
      </c>
      <c r="G512" t="s">
        <v>26</v>
      </c>
      <c r="H512">
        <v>276.60000000000002</v>
      </c>
      <c r="I512">
        <v>246</v>
      </c>
      <c r="J512">
        <v>96.1</v>
      </c>
      <c r="K512">
        <v>65.5</v>
      </c>
      <c r="L512">
        <v>29.4</v>
      </c>
      <c r="M512">
        <v>12</v>
      </c>
      <c r="N512">
        <v>3.5894400871831302E-2</v>
      </c>
      <c r="O512">
        <v>0.364863190237388</v>
      </c>
      <c r="P512" t="str">
        <f t="shared" si="14"/>
        <v>T</v>
      </c>
      <c r="Q512" t="str">
        <f t="shared" si="15"/>
        <v>F</v>
      </c>
    </row>
    <row r="513" spans="1:17" hidden="1" x14ac:dyDescent="0.3">
      <c r="A513">
        <v>7164</v>
      </c>
      <c r="B513">
        <v>3599</v>
      </c>
      <c r="C513">
        <v>261</v>
      </c>
      <c r="D513" t="s">
        <v>23</v>
      </c>
      <c r="E513" t="s">
        <v>20</v>
      </c>
      <c r="F513" t="s">
        <v>21</v>
      </c>
      <c r="G513" t="s">
        <v>26</v>
      </c>
      <c r="H513">
        <v>276.60000000000002</v>
      </c>
      <c r="I513">
        <v>246</v>
      </c>
      <c r="J513">
        <v>96.1</v>
      </c>
      <c r="K513">
        <v>65.5</v>
      </c>
      <c r="L513">
        <v>29.4</v>
      </c>
      <c r="M513">
        <v>12</v>
      </c>
      <c r="N513">
        <v>4.2928794817245201E-2</v>
      </c>
      <c r="O513">
        <v>0.33248136330299199</v>
      </c>
      <c r="P513" t="str">
        <f t="shared" si="14"/>
        <v>T</v>
      </c>
      <c r="Q513" t="str">
        <f t="shared" si="15"/>
        <v>F</v>
      </c>
    </row>
    <row r="514" spans="1:17" hidden="1" x14ac:dyDescent="0.3">
      <c r="A514">
        <v>7165</v>
      </c>
      <c r="B514">
        <v>3599</v>
      </c>
      <c r="C514">
        <v>261</v>
      </c>
      <c r="D514" t="s">
        <v>23</v>
      </c>
      <c r="E514" t="s">
        <v>20</v>
      </c>
      <c r="F514" t="s">
        <v>21</v>
      </c>
      <c r="G514" t="s">
        <v>26</v>
      </c>
      <c r="H514">
        <v>276.60000000000002</v>
      </c>
      <c r="I514">
        <v>246</v>
      </c>
      <c r="J514">
        <v>96.1</v>
      </c>
      <c r="K514">
        <v>65.5</v>
      </c>
      <c r="L514">
        <v>29.4</v>
      </c>
      <c r="M514">
        <v>12</v>
      </c>
      <c r="N514">
        <v>3.3661825076421098E-2</v>
      </c>
      <c r="O514">
        <v>0.36506260681485903</v>
      </c>
      <c r="P514" t="str">
        <f t="shared" ref="P514:P577" si="16">IF(N514&lt;0.100978, "T", "F")</f>
        <v>T</v>
      </c>
      <c r="Q514" t="str">
        <f t="shared" ref="Q514:Q577" si="17">IF(O514&lt;0.268491, "T", "F")</f>
        <v>F</v>
      </c>
    </row>
    <row r="515" spans="1:17" hidden="1" x14ac:dyDescent="0.3">
      <c r="A515">
        <v>7166</v>
      </c>
      <c r="B515">
        <v>3599</v>
      </c>
      <c r="C515">
        <v>261</v>
      </c>
      <c r="D515" t="s">
        <v>23</v>
      </c>
      <c r="E515" t="s">
        <v>20</v>
      </c>
      <c r="F515" t="s">
        <v>21</v>
      </c>
      <c r="G515" t="s">
        <v>26</v>
      </c>
      <c r="H515">
        <v>276.60000000000002</v>
      </c>
      <c r="I515">
        <v>246</v>
      </c>
      <c r="J515">
        <v>96.1</v>
      </c>
      <c r="K515">
        <v>65.5</v>
      </c>
      <c r="L515">
        <v>29.4</v>
      </c>
      <c r="M515">
        <v>12</v>
      </c>
      <c r="N515">
        <v>4.2418012355557297E-2</v>
      </c>
      <c r="O515">
        <v>0.35350692903632702</v>
      </c>
      <c r="P515" t="str">
        <f t="shared" si="16"/>
        <v>T</v>
      </c>
      <c r="Q515" t="str">
        <f t="shared" si="17"/>
        <v>F</v>
      </c>
    </row>
    <row r="516" spans="1:17" hidden="1" x14ac:dyDescent="0.3">
      <c r="A516">
        <v>7226</v>
      </c>
      <c r="B516">
        <v>3616</v>
      </c>
      <c r="C516">
        <v>176</v>
      </c>
      <c r="D516" t="s">
        <v>23</v>
      </c>
      <c r="E516" t="s">
        <v>20</v>
      </c>
      <c r="F516" t="s">
        <v>21</v>
      </c>
      <c r="G516" t="s">
        <v>24</v>
      </c>
      <c r="H516">
        <v>274.5</v>
      </c>
      <c r="I516">
        <v>261.5</v>
      </c>
      <c r="J516">
        <v>100.7</v>
      </c>
      <c r="K516">
        <v>67</v>
      </c>
      <c r="L516">
        <v>26.6</v>
      </c>
      <c r="M516">
        <v>10</v>
      </c>
      <c r="N516">
        <v>0.12729964875823399</v>
      </c>
      <c r="O516">
        <v>0.39788345272657499</v>
      </c>
      <c r="P516" t="str">
        <f t="shared" si="16"/>
        <v>F</v>
      </c>
      <c r="Q516" t="str">
        <f t="shared" si="17"/>
        <v>F</v>
      </c>
    </row>
    <row r="517" spans="1:17" hidden="1" x14ac:dyDescent="0.3">
      <c r="A517">
        <v>7343</v>
      </c>
      <c r="B517">
        <v>365</v>
      </c>
      <c r="C517">
        <v>79</v>
      </c>
      <c r="D517" t="s">
        <v>23</v>
      </c>
      <c r="E517" t="s">
        <v>20</v>
      </c>
      <c r="F517" t="s">
        <v>17</v>
      </c>
      <c r="G517" t="s">
        <v>22</v>
      </c>
      <c r="H517">
        <v>276.8</v>
      </c>
      <c r="I517">
        <v>258.5</v>
      </c>
      <c r="J517">
        <v>101.8</v>
      </c>
      <c r="K517">
        <v>65</v>
      </c>
      <c r="L517">
        <v>24.9</v>
      </c>
      <c r="M517">
        <v>11.5</v>
      </c>
      <c r="N517">
        <v>0.164797751721797</v>
      </c>
      <c r="O517">
        <v>0.204273186640472</v>
      </c>
      <c r="P517" t="str">
        <f t="shared" si="16"/>
        <v>F</v>
      </c>
      <c r="Q517" t="str">
        <f t="shared" si="17"/>
        <v>T</v>
      </c>
    </row>
    <row r="518" spans="1:17" hidden="1" x14ac:dyDescent="0.3">
      <c r="A518">
        <v>7344</v>
      </c>
      <c r="B518">
        <v>365</v>
      </c>
      <c r="C518">
        <v>79</v>
      </c>
      <c r="D518" t="s">
        <v>23</v>
      </c>
      <c r="E518" t="s">
        <v>20</v>
      </c>
      <c r="F518" t="s">
        <v>17</v>
      </c>
      <c r="G518" t="s">
        <v>22</v>
      </c>
      <c r="H518">
        <v>276.8</v>
      </c>
      <c r="I518">
        <v>258.5</v>
      </c>
      <c r="J518">
        <v>101.8</v>
      </c>
      <c r="K518">
        <v>65</v>
      </c>
      <c r="L518">
        <v>24.9</v>
      </c>
      <c r="M518">
        <v>11.5</v>
      </c>
      <c r="N518">
        <v>0.14814858149201901</v>
      </c>
      <c r="O518">
        <v>0.18969818243736</v>
      </c>
      <c r="P518" t="str">
        <f t="shared" si="16"/>
        <v>F</v>
      </c>
      <c r="Q518" t="str">
        <f t="shared" si="17"/>
        <v>T</v>
      </c>
    </row>
    <row r="519" spans="1:17" hidden="1" x14ac:dyDescent="0.3">
      <c r="A519">
        <v>7345</v>
      </c>
      <c r="B519">
        <v>365</v>
      </c>
      <c r="C519">
        <v>79</v>
      </c>
      <c r="D519" t="s">
        <v>23</v>
      </c>
      <c r="E519" t="s">
        <v>20</v>
      </c>
      <c r="F519" t="s">
        <v>17</v>
      </c>
      <c r="G519" t="s">
        <v>22</v>
      </c>
      <c r="H519">
        <v>276.8</v>
      </c>
      <c r="I519">
        <v>258.5</v>
      </c>
      <c r="J519">
        <v>101.8</v>
      </c>
      <c r="K519">
        <v>65</v>
      </c>
      <c r="L519">
        <v>24.9</v>
      </c>
      <c r="M519">
        <v>11.5</v>
      </c>
      <c r="N519">
        <v>0.167381396909936</v>
      </c>
      <c r="O519">
        <v>0.20844346460938401</v>
      </c>
      <c r="P519" t="str">
        <f t="shared" si="16"/>
        <v>F</v>
      </c>
      <c r="Q519" t="str">
        <f t="shared" si="17"/>
        <v>T</v>
      </c>
    </row>
    <row r="520" spans="1:17" hidden="1" x14ac:dyDescent="0.3">
      <c r="A520">
        <v>7373</v>
      </c>
      <c r="B520">
        <v>3660</v>
      </c>
      <c r="C520">
        <v>42</v>
      </c>
      <c r="D520" t="s">
        <v>23</v>
      </c>
      <c r="E520" t="s">
        <v>20</v>
      </c>
      <c r="F520" t="s">
        <v>17</v>
      </c>
      <c r="G520" t="s">
        <v>18</v>
      </c>
      <c r="H520">
        <v>280.10000000000002</v>
      </c>
      <c r="I520">
        <v>241.5</v>
      </c>
      <c r="J520">
        <v>94.5</v>
      </c>
      <c r="K520">
        <v>66</v>
      </c>
      <c r="L520">
        <v>29.4</v>
      </c>
      <c r="M520">
        <v>8.5</v>
      </c>
      <c r="N520">
        <v>5.3641195546079601E-2</v>
      </c>
      <c r="O520">
        <v>0.39157723787981602</v>
      </c>
      <c r="P520" t="str">
        <f t="shared" si="16"/>
        <v>T</v>
      </c>
      <c r="Q520" t="str">
        <f t="shared" si="17"/>
        <v>F</v>
      </c>
    </row>
    <row r="521" spans="1:17" hidden="1" x14ac:dyDescent="0.3">
      <c r="A521">
        <v>7378</v>
      </c>
      <c r="B521">
        <v>3663</v>
      </c>
      <c r="C521">
        <v>337</v>
      </c>
      <c r="D521" t="s">
        <v>23</v>
      </c>
      <c r="E521" t="s">
        <v>20</v>
      </c>
      <c r="F521" t="s">
        <v>17</v>
      </c>
      <c r="G521" t="s">
        <v>22</v>
      </c>
      <c r="H521">
        <v>279.7</v>
      </c>
      <c r="I521">
        <v>255</v>
      </c>
      <c r="J521">
        <v>95.2</v>
      </c>
      <c r="K521">
        <v>68</v>
      </c>
      <c r="L521">
        <v>25.3</v>
      </c>
      <c r="M521">
        <v>5.5</v>
      </c>
      <c r="N521">
        <v>0.194172475819858</v>
      </c>
      <c r="O521">
        <v>0.37018647438994401</v>
      </c>
      <c r="P521" t="str">
        <f t="shared" si="16"/>
        <v>F</v>
      </c>
      <c r="Q521" t="str">
        <f t="shared" si="17"/>
        <v>F</v>
      </c>
    </row>
    <row r="522" spans="1:17" hidden="1" x14ac:dyDescent="0.3">
      <c r="A522">
        <v>7379</v>
      </c>
      <c r="B522">
        <v>3663</v>
      </c>
      <c r="C522">
        <v>337</v>
      </c>
      <c r="D522" t="s">
        <v>23</v>
      </c>
      <c r="E522" t="s">
        <v>20</v>
      </c>
      <c r="F522" t="s">
        <v>17</v>
      </c>
      <c r="G522" t="s">
        <v>22</v>
      </c>
      <c r="H522">
        <v>279.7</v>
      </c>
      <c r="I522">
        <v>255</v>
      </c>
      <c r="J522">
        <v>95.2</v>
      </c>
      <c r="K522">
        <v>68</v>
      </c>
      <c r="L522">
        <v>25.3</v>
      </c>
      <c r="M522">
        <v>5.5</v>
      </c>
      <c r="N522">
        <v>0.203140213455135</v>
      </c>
      <c r="O522">
        <v>0.35363844385437299</v>
      </c>
      <c r="P522" t="str">
        <f t="shared" si="16"/>
        <v>F</v>
      </c>
      <c r="Q522" t="str">
        <f t="shared" si="17"/>
        <v>F</v>
      </c>
    </row>
    <row r="523" spans="1:17" hidden="1" x14ac:dyDescent="0.3">
      <c r="A523">
        <v>7380</v>
      </c>
      <c r="B523">
        <v>3663</v>
      </c>
      <c r="C523">
        <v>337</v>
      </c>
      <c r="D523" t="s">
        <v>23</v>
      </c>
      <c r="E523" t="s">
        <v>20</v>
      </c>
      <c r="F523" t="s">
        <v>17</v>
      </c>
      <c r="G523" t="s">
        <v>22</v>
      </c>
      <c r="H523">
        <v>279.7</v>
      </c>
      <c r="I523">
        <v>255</v>
      </c>
      <c r="J523">
        <v>95.2</v>
      </c>
      <c r="K523">
        <v>68</v>
      </c>
      <c r="L523">
        <v>25.3</v>
      </c>
      <c r="M523">
        <v>5.5</v>
      </c>
      <c r="N523">
        <v>0.20752822340970201</v>
      </c>
      <c r="O523">
        <v>0.37196263523888901</v>
      </c>
      <c r="P523" t="str">
        <f t="shared" si="16"/>
        <v>F</v>
      </c>
      <c r="Q523" t="str">
        <f t="shared" si="17"/>
        <v>F</v>
      </c>
    </row>
    <row r="524" spans="1:17" hidden="1" x14ac:dyDescent="0.3">
      <c r="A524">
        <v>7402</v>
      </c>
      <c r="B524">
        <v>3672</v>
      </c>
      <c r="C524">
        <v>42</v>
      </c>
      <c r="D524" t="s">
        <v>23</v>
      </c>
      <c r="E524" t="s">
        <v>20</v>
      </c>
      <c r="F524" t="s">
        <v>17</v>
      </c>
      <c r="G524" t="s">
        <v>22</v>
      </c>
      <c r="H524">
        <v>280.10000000000002</v>
      </c>
      <c r="I524">
        <v>241.5</v>
      </c>
      <c r="J524">
        <v>94.5</v>
      </c>
      <c r="K524">
        <v>66</v>
      </c>
      <c r="L524">
        <v>29.4</v>
      </c>
      <c r="M524">
        <v>8.5</v>
      </c>
      <c r="N524">
        <v>6.1080580983708797E-2</v>
      </c>
      <c r="O524">
        <v>0.379474267205196</v>
      </c>
      <c r="P524" t="str">
        <f t="shared" si="16"/>
        <v>T</v>
      </c>
      <c r="Q524" t="str">
        <f t="shared" si="17"/>
        <v>F</v>
      </c>
    </row>
    <row r="525" spans="1:17" hidden="1" x14ac:dyDescent="0.3">
      <c r="A525">
        <v>7404</v>
      </c>
      <c r="B525">
        <v>3672</v>
      </c>
      <c r="C525">
        <v>42</v>
      </c>
      <c r="D525" t="s">
        <v>23</v>
      </c>
      <c r="E525" t="s">
        <v>20</v>
      </c>
      <c r="F525" t="s">
        <v>17</v>
      </c>
      <c r="G525" t="s">
        <v>22</v>
      </c>
      <c r="H525">
        <v>280.10000000000002</v>
      </c>
      <c r="I525">
        <v>241.5</v>
      </c>
      <c r="J525">
        <v>94.5</v>
      </c>
      <c r="K525">
        <v>66</v>
      </c>
      <c r="L525">
        <v>29.4</v>
      </c>
      <c r="M525">
        <v>8.5</v>
      </c>
      <c r="N525">
        <v>4.6737922676400798E-2</v>
      </c>
      <c r="O525">
        <v>0.37150719000377902</v>
      </c>
      <c r="P525" t="str">
        <f t="shared" si="16"/>
        <v>T</v>
      </c>
      <c r="Q525" t="str">
        <f t="shared" si="17"/>
        <v>F</v>
      </c>
    </row>
    <row r="526" spans="1:17" hidden="1" x14ac:dyDescent="0.3">
      <c r="A526">
        <v>7432</v>
      </c>
      <c r="B526">
        <v>3685</v>
      </c>
      <c r="C526">
        <v>497</v>
      </c>
      <c r="D526" t="s">
        <v>23</v>
      </c>
      <c r="E526" t="s">
        <v>20</v>
      </c>
      <c r="F526" t="s">
        <v>21</v>
      </c>
      <c r="G526" t="s">
        <v>24</v>
      </c>
      <c r="H526">
        <v>269.7</v>
      </c>
      <c r="I526">
        <v>245</v>
      </c>
      <c r="J526">
        <v>94</v>
      </c>
      <c r="K526">
        <v>67</v>
      </c>
      <c r="L526">
        <v>24.2</v>
      </c>
      <c r="M526">
        <v>9</v>
      </c>
      <c r="N526">
        <v>0.21731606194112699</v>
      </c>
      <c r="O526">
        <v>0.36959037303359299</v>
      </c>
      <c r="P526" t="str">
        <f t="shared" si="16"/>
        <v>F</v>
      </c>
      <c r="Q526" t="str">
        <f t="shared" si="17"/>
        <v>F</v>
      </c>
    </row>
    <row r="527" spans="1:17" hidden="1" x14ac:dyDescent="0.3">
      <c r="A527">
        <v>7433</v>
      </c>
      <c r="B527">
        <v>3685</v>
      </c>
      <c r="C527">
        <v>497</v>
      </c>
      <c r="D527" t="s">
        <v>23</v>
      </c>
      <c r="E527" t="s">
        <v>20</v>
      </c>
      <c r="F527" t="s">
        <v>21</v>
      </c>
      <c r="G527" t="s">
        <v>24</v>
      </c>
      <c r="H527">
        <v>269.7</v>
      </c>
      <c r="I527">
        <v>245</v>
      </c>
      <c r="J527">
        <v>94</v>
      </c>
      <c r="K527">
        <v>67</v>
      </c>
      <c r="L527">
        <v>24.2</v>
      </c>
      <c r="M527">
        <v>9</v>
      </c>
      <c r="N527">
        <v>0.23257479722864099</v>
      </c>
      <c r="O527">
        <v>0.39767354448395698</v>
      </c>
      <c r="P527" t="str">
        <f t="shared" si="16"/>
        <v>F</v>
      </c>
      <c r="Q527" t="str">
        <f t="shared" si="17"/>
        <v>F</v>
      </c>
    </row>
    <row r="528" spans="1:17" hidden="1" x14ac:dyDescent="0.3">
      <c r="A528">
        <v>7434</v>
      </c>
      <c r="B528">
        <v>3685</v>
      </c>
      <c r="C528">
        <v>497</v>
      </c>
      <c r="D528" t="s">
        <v>23</v>
      </c>
      <c r="E528" t="s">
        <v>20</v>
      </c>
      <c r="F528" t="s">
        <v>21</v>
      </c>
      <c r="G528" t="s">
        <v>24</v>
      </c>
      <c r="H528">
        <v>269.7</v>
      </c>
      <c r="I528">
        <v>245</v>
      </c>
      <c r="J528">
        <v>94</v>
      </c>
      <c r="K528">
        <v>67</v>
      </c>
      <c r="L528">
        <v>24.2</v>
      </c>
      <c r="M528">
        <v>9</v>
      </c>
      <c r="N528">
        <v>0.20517186536077101</v>
      </c>
      <c r="O528">
        <v>0.37360101951782299</v>
      </c>
      <c r="P528" t="str">
        <f t="shared" si="16"/>
        <v>F</v>
      </c>
      <c r="Q528" t="str">
        <f t="shared" si="17"/>
        <v>F</v>
      </c>
    </row>
    <row r="529" spans="1:17" hidden="1" x14ac:dyDescent="0.3">
      <c r="A529">
        <v>7435</v>
      </c>
      <c r="B529">
        <v>3685</v>
      </c>
      <c r="C529">
        <v>497</v>
      </c>
      <c r="D529" t="s">
        <v>23</v>
      </c>
      <c r="E529" t="s">
        <v>20</v>
      </c>
      <c r="F529" t="s">
        <v>21</v>
      </c>
      <c r="G529" t="s">
        <v>24</v>
      </c>
      <c r="H529">
        <v>269.7</v>
      </c>
      <c r="I529">
        <v>245</v>
      </c>
      <c r="J529">
        <v>94</v>
      </c>
      <c r="K529">
        <v>67</v>
      </c>
      <c r="L529">
        <v>24.2</v>
      </c>
      <c r="M529">
        <v>9</v>
      </c>
      <c r="N529">
        <v>0.215392542324535</v>
      </c>
      <c r="O529">
        <v>0.37796818151279898</v>
      </c>
      <c r="P529" t="str">
        <f t="shared" si="16"/>
        <v>F</v>
      </c>
      <c r="Q529" t="str">
        <f t="shared" si="17"/>
        <v>F</v>
      </c>
    </row>
    <row r="530" spans="1:17" hidden="1" x14ac:dyDescent="0.3">
      <c r="A530">
        <v>7444</v>
      </c>
      <c r="B530">
        <v>3691</v>
      </c>
      <c r="C530">
        <v>95</v>
      </c>
      <c r="D530" t="s">
        <v>23</v>
      </c>
      <c r="E530" t="s">
        <v>20</v>
      </c>
      <c r="F530" t="s">
        <v>21</v>
      </c>
      <c r="G530" t="s">
        <v>26</v>
      </c>
      <c r="H530">
        <v>276.60000000000002</v>
      </c>
      <c r="I530">
        <v>250.5</v>
      </c>
      <c r="J530">
        <v>100</v>
      </c>
      <c r="K530">
        <v>67</v>
      </c>
      <c r="L530">
        <v>28.2</v>
      </c>
      <c r="M530">
        <v>6.5</v>
      </c>
      <c r="N530">
        <v>0.11357642726410901</v>
      </c>
      <c r="O530">
        <v>0.345910172713564</v>
      </c>
      <c r="P530" t="str">
        <f t="shared" si="16"/>
        <v>F</v>
      </c>
      <c r="Q530" t="str">
        <f t="shared" si="17"/>
        <v>F</v>
      </c>
    </row>
    <row r="531" spans="1:17" hidden="1" x14ac:dyDescent="0.3">
      <c r="A531">
        <v>7445</v>
      </c>
      <c r="B531">
        <v>3691</v>
      </c>
      <c r="C531">
        <v>95</v>
      </c>
      <c r="D531" t="s">
        <v>23</v>
      </c>
      <c r="E531" t="s">
        <v>20</v>
      </c>
      <c r="F531" t="s">
        <v>21</v>
      </c>
      <c r="G531" t="s">
        <v>26</v>
      </c>
      <c r="H531">
        <v>276.60000000000002</v>
      </c>
      <c r="I531">
        <v>250.5</v>
      </c>
      <c r="J531">
        <v>100</v>
      </c>
      <c r="K531">
        <v>67</v>
      </c>
      <c r="L531">
        <v>28.2</v>
      </c>
      <c r="M531">
        <v>6.5</v>
      </c>
      <c r="N531">
        <v>0.11671994421790199</v>
      </c>
      <c r="O531">
        <v>0.348637677685189</v>
      </c>
      <c r="P531" t="str">
        <f t="shared" si="16"/>
        <v>F</v>
      </c>
      <c r="Q531" t="str">
        <f t="shared" si="17"/>
        <v>F</v>
      </c>
    </row>
    <row r="532" spans="1:17" hidden="1" x14ac:dyDescent="0.3">
      <c r="A532">
        <v>7446</v>
      </c>
      <c r="B532">
        <v>3691</v>
      </c>
      <c r="C532">
        <v>95</v>
      </c>
      <c r="D532" t="s">
        <v>23</v>
      </c>
      <c r="E532" t="s">
        <v>20</v>
      </c>
      <c r="F532" t="s">
        <v>21</v>
      </c>
      <c r="G532" t="s">
        <v>26</v>
      </c>
      <c r="H532">
        <v>276.60000000000002</v>
      </c>
      <c r="I532">
        <v>250.5</v>
      </c>
      <c r="J532">
        <v>100</v>
      </c>
      <c r="K532">
        <v>67</v>
      </c>
      <c r="L532">
        <v>28.2</v>
      </c>
      <c r="M532">
        <v>6.5</v>
      </c>
      <c r="N532">
        <v>0.107910229558598</v>
      </c>
      <c r="O532">
        <v>0.335603513352634</v>
      </c>
      <c r="P532" t="str">
        <f t="shared" si="16"/>
        <v>F</v>
      </c>
      <c r="Q532" t="str">
        <f t="shared" si="17"/>
        <v>F</v>
      </c>
    </row>
    <row r="533" spans="1:17" hidden="1" x14ac:dyDescent="0.3">
      <c r="A533">
        <v>7494</v>
      </c>
      <c r="B533">
        <v>3711</v>
      </c>
      <c r="C533">
        <v>337</v>
      </c>
      <c r="D533" t="s">
        <v>23</v>
      </c>
      <c r="E533" t="s">
        <v>20</v>
      </c>
      <c r="F533" t="s">
        <v>17</v>
      </c>
      <c r="G533" t="s">
        <v>24</v>
      </c>
      <c r="H533">
        <v>279.7</v>
      </c>
      <c r="I533">
        <v>255</v>
      </c>
      <c r="J533">
        <v>95.2</v>
      </c>
      <c r="K533">
        <v>68</v>
      </c>
      <c r="L533">
        <v>25.3</v>
      </c>
      <c r="M533">
        <v>5.5</v>
      </c>
      <c r="N533">
        <v>0.19045870137263299</v>
      </c>
      <c r="O533">
        <v>0.34931899080385898</v>
      </c>
      <c r="P533" t="str">
        <f t="shared" si="16"/>
        <v>F</v>
      </c>
      <c r="Q533" t="str">
        <f t="shared" si="17"/>
        <v>F</v>
      </c>
    </row>
    <row r="534" spans="1:17" hidden="1" x14ac:dyDescent="0.3">
      <c r="A534">
        <v>7495</v>
      </c>
      <c r="B534">
        <v>3711</v>
      </c>
      <c r="C534">
        <v>337</v>
      </c>
      <c r="D534" t="s">
        <v>23</v>
      </c>
      <c r="E534" t="s">
        <v>20</v>
      </c>
      <c r="F534" t="s">
        <v>17</v>
      </c>
      <c r="G534" t="s">
        <v>24</v>
      </c>
      <c r="H534">
        <v>279.7</v>
      </c>
      <c r="I534">
        <v>255</v>
      </c>
      <c r="J534">
        <v>95.2</v>
      </c>
      <c r="K534">
        <v>68</v>
      </c>
      <c r="L534">
        <v>25.3</v>
      </c>
      <c r="M534">
        <v>5.5</v>
      </c>
      <c r="N534">
        <v>0.19835814137678801</v>
      </c>
      <c r="O534">
        <v>0.37394318274310501</v>
      </c>
      <c r="P534" t="str">
        <f t="shared" si="16"/>
        <v>F</v>
      </c>
      <c r="Q534" t="str">
        <f t="shared" si="17"/>
        <v>F</v>
      </c>
    </row>
    <row r="535" spans="1:17" hidden="1" x14ac:dyDescent="0.3">
      <c r="A535">
        <v>7496</v>
      </c>
      <c r="B535">
        <v>3711</v>
      </c>
      <c r="C535">
        <v>337</v>
      </c>
      <c r="D535" t="s">
        <v>23</v>
      </c>
      <c r="E535" t="s">
        <v>20</v>
      </c>
      <c r="F535" t="s">
        <v>17</v>
      </c>
      <c r="G535" t="s">
        <v>24</v>
      </c>
      <c r="H535">
        <v>279.7</v>
      </c>
      <c r="I535">
        <v>255</v>
      </c>
      <c r="J535">
        <v>95.2</v>
      </c>
      <c r="K535">
        <v>68</v>
      </c>
      <c r="L535">
        <v>25.3</v>
      </c>
      <c r="M535">
        <v>5.5</v>
      </c>
      <c r="N535">
        <v>0.22535287371482601</v>
      </c>
      <c r="O535">
        <v>0.37577972926232001</v>
      </c>
      <c r="P535" t="str">
        <f t="shared" si="16"/>
        <v>F</v>
      </c>
      <c r="Q535" t="str">
        <f t="shared" si="17"/>
        <v>F</v>
      </c>
    </row>
    <row r="536" spans="1:17" hidden="1" x14ac:dyDescent="0.3">
      <c r="A536">
        <v>7506</v>
      </c>
      <c r="B536">
        <v>3717</v>
      </c>
      <c r="C536">
        <v>176</v>
      </c>
      <c r="D536" t="s">
        <v>23</v>
      </c>
      <c r="E536" t="s">
        <v>20</v>
      </c>
      <c r="F536" t="s">
        <v>17</v>
      </c>
      <c r="G536" t="s">
        <v>26</v>
      </c>
      <c r="H536">
        <v>274.5</v>
      </c>
      <c r="I536">
        <v>261.5</v>
      </c>
      <c r="J536">
        <v>100.7</v>
      </c>
      <c r="K536">
        <v>67</v>
      </c>
      <c r="L536">
        <v>26.6</v>
      </c>
      <c r="M536">
        <v>10</v>
      </c>
      <c r="N536">
        <v>0.113506027798501</v>
      </c>
      <c r="O536">
        <v>0.383663377047821</v>
      </c>
      <c r="P536" t="str">
        <f t="shared" si="16"/>
        <v>F</v>
      </c>
      <c r="Q536" t="str">
        <f t="shared" si="17"/>
        <v>F</v>
      </c>
    </row>
    <row r="537" spans="1:17" hidden="1" x14ac:dyDescent="0.3">
      <c r="A537">
        <v>7507</v>
      </c>
      <c r="B537">
        <v>3717</v>
      </c>
      <c r="C537">
        <v>176</v>
      </c>
      <c r="D537" t="s">
        <v>23</v>
      </c>
      <c r="E537" t="s">
        <v>20</v>
      </c>
      <c r="F537" t="s">
        <v>17</v>
      </c>
      <c r="G537" t="s">
        <v>26</v>
      </c>
      <c r="H537">
        <v>274.5</v>
      </c>
      <c r="I537">
        <v>261.5</v>
      </c>
      <c r="J537">
        <v>100.7</v>
      </c>
      <c r="K537">
        <v>67</v>
      </c>
      <c r="L537">
        <v>26.6</v>
      </c>
      <c r="M537">
        <v>10</v>
      </c>
      <c r="N537">
        <v>0.13637489698432301</v>
      </c>
      <c r="O537">
        <v>0.42066600443256602</v>
      </c>
      <c r="P537" t="str">
        <f t="shared" si="16"/>
        <v>F</v>
      </c>
      <c r="Q537" t="str">
        <f t="shared" si="17"/>
        <v>F</v>
      </c>
    </row>
    <row r="538" spans="1:17" hidden="1" x14ac:dyDescent="0.3">
      <c r="A538">
        <v>7508</v>
      </c>
      <c r="B538">
        <v>3717</v>
      </c>
      <c r="C538">
        <v>176</v>
      </c>
      <c r="D538" t="s">
        <v>23</v>
      </c>
      <c r="E538" t="s">
        <v>20</v>
      </c>
      <c r="F538" t="s">
        <v>17</v>
      </c>
      <c r="G538" t="s">
        <v>26</v>
      </c>
      <c r="H538">
        <v>274.5</v>
      </c>
      <c r="I538">
        <v>261.5</v>
      </c>
      <c r="J538">
        <v>100.7</v>
      </c>
      <c r="K538">
        <v>67</v>
      </c>
      <c r="L538">
        <v>26.6</v>
      </c>
      <c r="M538">
        <v>10</v>
      </c>
      <c r="N538">
        <v>0.14234920789029401</v>
      </c>
      <c r="O538">
        <v>0.41092986323407299</v>
      </c>
      <c r="P538" t="str">
        <f t="shared" si="16"/>
        <v>F</v>
      </c>
      <c r="Q538" t="str">
        <f t="shared" si="17"/>
        <v>F</v>
      </c>
    </row>
    <row r="539" spans="1:17" hidden="1" x14ac:dyDescent="0.3">
      <c r="A539">
        <v>7509</v>
      </c>
      <c r="B539">
        <v>3717</v>
      </c>
      <c r="C539">
        <v>176</v>
      </c>
      <c r="D539" t="s">
        <v>23</v>
      </c>
      <c r="E539" t="s">
        <v>20</v>
      </c>
      <c r="F539" t="s">
        <v>17</v>
      </c>
      <c r="G539" t="s">
        <v>26</v>
      </c>
      <c r="H539">
        <v>274.5</v>
      </c>
      <c r="I539">
        <v>261.5</v>
      </c>
      <c r="J539">
        <v>100.7</v>
      </c>
      <c r="K539">
        <v>67</v>
      </c>
      <c r="L539">
        <v>26.6</v>
      </c>
      <c r="M539">
        <v>10</v>
      </c>
      <c r="N539">
        <v>0.120656926754863</v>
      </c>
      <c r="O539">
        <v>0.39212973607453999</v>
      </c>
      <c r="P539" t="str">
        <f t="shared" si="16"/>
        <v>F</v>
      </c>
      <c r="Q539" t="str">
        <f t="shared" si="17"/>
        <v>F</v>
      </c>
    </row>
    <row r="540" spans="1:17" hidden="1" x14ac:dyDescent="0.3">
      <c r="A540">
        <v>7519</v>
      </c>
      <c r="B540">
        <v>3720</v>
      </c>
      <c r="C540">
        <v>66</v>
      </c>
      <c r="D540" t="s">
        <v>23</v>
      </c>
      <c r="E540" t="s">
        <v>20</v>
      </c>
      <c r="F540" t="s">
        <v>21</v>
      </c>
      <c r="G540" t="s">
        <v>22</v>
      </c>
      <c r="H540">
        <v>276.2</v>
      </c>
      <c r="I540">
        <v>258</v>
      </c>
      <c r="J540">
        <v>95.8</v>
      </c>
      <c r="K540">
        <v>63.5</v>
      </c>
      <c r="L540">
        <v>26.4</v>
      </c>
      <c r="M540">
        <v>7</v>
      </c>
      <c r="N540">
        <v>0.16030945883897599</v>
      </c>
      <c r="O540">
        <v>0.26345507627845699</v>
      </c>
      <c r="P540" t="str">
        <f t="shared" si="16"/>
        <v>F</v>
      </c>
      <c r="Q540" t="str">
        <f t="shared" si="17"/>
        <v>T</v>
      </c>
    </row>
    <row r="541" spans="1:17" hidden="1" x14ac:dyDescent="0.3">
      <c r="A541">
        <v>7520</v>
      </c>
      <c r="B541">
        <v>3721</v>
      </c>
      <c r="C541">
        <v>251</v>
      </c>
      <c r="D541" t="s">
        <v>23</v>
      </c>
      <c r="E541" t="s">
        <v>20</v>
      </c>
      <c r="F541" t="s">
        <v>17</v>
      </c>
      <c r="G541" t="s">
        <v>24</v>
      </c>
      <c r="H541">
        <v>277.2</v>
      </c>
      <c r="I541">
        <v>261</v>
      </c>
      <c r="J541">
        <v>99.3</v>
      </c>
      <c r="K541">
        <v>69.5</v>
      </c>
      <c r="L541">
        <v>23.6</v>
      </c>
      <c r="M541">
        <v>13</v>
      </c>
      <c r="N541">
        <v>0.171210069019581</v>
      </c>
      <c r="O541">
        <v>0.46695696008332399</v>
      </c>
      <c r="P541" t="str">
        <f t="shared" si="16"/>
        <v>F</v>
      </c>
      <c r="Q541" t="str">
        <f t="shared" si="17"/>
        <v>F</v>
      </c>
    </row>
    <row r="542" spans="1:17" hidden="1" x14ac:dyDescent="0.3">
      <c r="A542">
        <v>7521</v>
      </c>
      <c r="B542">
        <v>3721</v>
      </c>
      <c r="C542">
        <v>251</v>
      </c>
      <c r="D542" t="s">
        <v>23</v>
      </c>
      <c r="E542" t="s">
        <v>20</v>
      </c>
      <c r="F542" t="s">
        <v>17</v>
      </c>
      <c r="G542" t="s">
        <v>24</v>
      </c>
      <c r="H542">
        <v>277.2</v>
      </c>
      <c r="I542">
        <v>261</v>
      </c>
      <c r="J542">
        <v>99.3</v>
      </c>
      <c r="K542">
        <v>69.5</v>
      </c>
      <c r="L542">
        <v>23.6</v>
      </c>
      <c r="M542">
        <v>13</v>
      </c>
      <c r="N542">
        <v>0.20249319405816499</v>
      </c>
      <c r="O542">
        <v>0.48786374095375901</v>
      </c>
      <c r="P542" t="str">
        <f t="shared" si="16"/>
        <v>F</v>
      </c>
      <c r="Q542" t="str">
        <f t="shared" si="17"/>
        <v>F</v>
      </c>
    </row>
    <row r="543" spans="1:17" hidden="1" x14ac:dyDescent="0.3">
      <c r="A543">
        <v>7585</v>
      </c>
      <c r="B543">
        <v>3740</v>
      </c>
      <c r="C543">
        <v>26</v>
      </c>
      <c r="D543" t="s">
        <v>23</v>
      </c>
      <c r="E543" t="s">
        <v>20</v>
      </c>
      <c r="F543" t="s">
        <v>21</v>
      </c>
      <c r="G543" t="s">
        <v>24</v>
      </c>
      <c r="H543">
        <v>270.5</v>
      </c>
      <c r="I543">
        <v>243.5</v>
      </c>
      <c r="J543">
        <v>95.9</v>
      </c>
      <c r="K543">
        <v>66</v>
      </c>
      <c r="L543">
        <v>26.9</v>
      </c>
      <c r="M543">
        <v>6</v>
      </c>
      <c r="N543">
        <v>0.18072804642200199</v>
      </c>
      <c r="O543">
        <v>0.39630252404641902</v>
      </c>
      <c r="P543" t="str">
        <f t="shared" si="16"/>
        <v>F</v>
      </c>
      <c r="Q543" t="str">
        <f t="shared" si="17"/>
        <v>F</v>
      </c>
    </row>
    <row r="544" spans="1:17" hidden="1" x14ac:dyDescent="0.3">
      <c r="A544">
        <v>7602</v>
      </c>
      <c r="B544">
        <v>3748</v>
      </c>
      <c r="C544">
        <v>261</v>
      </c>
      <c r="D544" t="s">
        <v>23</v>
      </c>
      <c r="E544" t="s">
        <v>20</v>
      </c>
      <c r="F544" t="s">
        <v>17</v>
      </c>
      <c r="G544" t="s">
        <v>25</v>
      </c>
      <c r="H544">
        <v>276.60000000000002</v>
      </c>
      <c r="I544">
        <v>246</v>
      </c>
      <c r="J544">
        <v>96.1</v>
      </c>
      <c r="K544">
        <v>65.5</v>
      </c>
      <c r="L544">
        <v>29.4</v>
      </c>
      <c r="M544">
        <v>12</v>
      </c>
      <c r="N544">
        <v>3.7757259680447998E-2</v>
      </c>
      <c r="O544">
        <v>0.34603390209594798</v>
      </c>
      <c r="P544" t="str">
        <f t="shared" si="16"/>
        <v>T</v>
      </c>
      <c r="Q544" t="str">
        <f t="shared" si="17"/>
        <v>F</v>
      </c>
    </row>
    <row r="545" spans="1:17" hidden="1" x14ac:dyDescent="0.3">
      <c r="A545">
        <v>7603</v>
      </c>
      <c r="B545">
        <v>3748</v>
      </c>
      <c r="C545">
        <v>261</v>
      </c>
      <c r="D545" t="s">
        <v>23</v>
      </c>
      <c r="E545" t="s">
        <v>20</v>
      </c>
      <c r="F545" t="s">
        <v>17</v>
      </c>
      <c r="G545" t="s">
        <v>25</v>
      </c>
      <c r="H545">
        <v>276.60000000000002</v>
      </c>
      <c r="I545">
        <v>246</v>
      </c>
      <c r="J545">
        <v>96.1</v>
      </c>
      <c r="K545">
        <v>65.5</v>
      </c>
      <c r="L545">
        <v>29.4</v>
      </c>
      <c r="M545">
        <v>12</v>
      </c>
      <c r="N545">
        <v>3.0630733452998899E-2</v>
      </c>
      <c r="O545">
        <v>0.33455296599721202</v>
      </c>
      <c r="P545" t="str">
        <f t="shared" si="16"/>
        <v>T</v>
      </c>
      <c r="Q545" t="str">
        <f t="shared" si="17"/>
        <v>F</v>
      </c>
    </row>
    <row r="546" spans="1:17" hidden="1" x14ac:dyDescent="0.3">
      <c r="A546">
        <v>7610</v>
      </c>
      <c r="B546">
        <v>3755</v>
      </c>
      <c r="C546">
        <v>351</v>
      </c>
      <c r="D546" t="s">
        <v>23</v>
      </c>
      <c r="E546" t="s">
        <v>20</v>
      </c>
      <c r="F546" t="s">
        <v>21</v>
      </c>
      <c r="G546" t="s">
        <v>24</v>
      </c>
      <c r="H546">
        <v>277.60000000000002</v>
      </c>
      <c r="I546">
        <v>246.5</v>
      </c>
      <c r="J546">
        <v>93.9</v>
      </c>
      <c r="K546">
        <v>67.5</v>
      </c>
      <c r="L546">
        <v>27.5</v>
      </c>
      <c r="M546">
        <v>8</v>
      </c>
      <c r="N546">
        <v>0.16866544538949099</v>
      </c>
      <c r="O546">
        <v>0.29688878463297602</v>
      </c>
      <c r="P546" t="str">
        <f t="shared" si="16"/>
        <v>F</v>
      </c>
      <c r="Q546" t="str">
        <f t="shared" si="17"/>
        <v>F</v>
      </c>
    </row>
    <row r="547" spans="1:17" hidden="1" x14ac:dyDescent="0.3">
      <c r="A547">
        <v>7611</v>
      </c>
      <c r="B547">
        <v>3755</v>
      </c>
      <c r="C547">
        <v>351</v>
      </c>
      <c r="D547" t="s">
        <v>23</v>
      </c>
      <c r="E547" t="s">
        <v>20</v>
      </c>
      <c r="F547" t="s">
        <v>21</v>
      </c>
      <c r="G547" t="s">
        <v>24</v>
      </c>
      <c r="H547">
        <v>277.60000000000002</v>
      </c>
      <c r="I547">
        <v>246.5</v>
      </c>
      <c r="J547">
        <v>93.9</v>
      </c>
      <c r="K547">
        <v>67.5</v>
      </c>
      <c r="L547">
        <v>27.5</v>
      </c>
      <c r="M547">
        <v>8</v>
      </c>
      <c r="N547">
        <v>0.16095838757876099</v>
      </c>
      <c r="O547">
        <v>0.296171281221837</v>
      </c>
      <c r="P547" t="str">
        <f t="shared" si="16"/>
        <v>F</v>
      </c>
      <c r="Q547" t="str">
        <f t="shared" si="17"/>
        <v>F</v>
      </c>
    </row>
    <row r="548" spans="1:17" hidden="1" x14ac:dyDescent="0.3">
      <c r="A548">
        <v>7612</v>
      </c>
      <c r="B548">
        <v>3755</v>
      </c>
      <c r="C548">
        <v>351</v>
      </c>
      <c r="D548" t="s">
        <v>23</v>
      </c>
      <c r="E548" t="s">
        <v>20</v>
      </c>
      <c r="F548" t="s">
        <v>21</v>
      </c>
      <c r="G548" t="s">
        <v>24</v>
      </c>
      <c r="H548">
        <v>277.60000000000002</v>
      </c>
      <c r="I548">
        <v>246.5</v>
      </c>
      <c r="J548">
        <v>93.9</v>
      </c>
      <c r="K548">
        <v>67.5</v>
      </c>
      <c r="L548">
        <v>27.5</v>
      </c>
      <c r="M548">
        <v>8</v>
      </c>
      <c r="N548">
        <v>0.18401065823492599</v>
      </c>
      <c r="O548">
        <v>0.31945138246105798</v>
      </c>
      <c r="P548" t="str">
        <f t="shared" si="16"/>
        <v>F</v>
      </c>
      <c r="Q548" t="str">
        <f t="shared" si="17"/>
        <v>F</v>
      </c>
    </row>
    <row r="549" spans="1:17" hidden="1" x14ac:dyDescent="0.3">
      <c r="A549">
        <v>7771</v>
      </c>
      <c r="B549">
        <v>3814</v>
      </c>
      <c r="C549">
        <v>483</v>
      </c>
      <c r="D549" t="s">
        <v>23</v>
      </c>
      <c r="E549" t="s">
        <v>20</v>
      </c>
      <c r="F549" t="s">
        <v>21</v>
      </c>
      <c r="G549" t="s">
        <v>18</v>
      </c>
      <c r="H549">
        <v>271.89999999999998</v>
      </c>
      <c r="I549">
        <v>246</v>
      </c>
      <c r="J549">
        <v>94.4</v>
      </c>
      <c r="K549">
        <v>60.5</v>
      </c>
      <c r="L549">
        <v>27.6</v>
      </c>
      <c r="M549">
        <v>13.5</v>
      </c>
      <c r="N549">
        <v>0.107807905784134</v>
      </c>
      <c r="O549">
        <v>0.205926078988769</v>
      </c>
      <c r="P549" t="str">
        <f t="shared" si="16"/>
        <v>F</v>
      </c>
      <c r="Q549" t="str">
        <f t="shared" si="17"/>
        <v>T</v>
      </c>
    </row>
    <row r="550" spans="1:17" hidden="1" x14ac:dyDescent="0.3">
      <c r="A550">
        <v>7800</v>
      </c>
      <c r="B550">
        <v>3825</v>
      </c>
      <c r="C550">
        <v>267</v>
      </c>
      <c r="D550" t="s">
        <v>23</v>
      </c>
      <c r="E550" t="s">
        <v>20</v>
      </c>
      <c r="F550" t="s">
        <v>21</v>
      </c>
      <c r="G550" t="s">
        <v>24</v>
      </c>
      <c r="H550">
        <v>275.39999999999998</v>
      </c>
      <c r="I550">
        <v>244.5</v>
      </c>
      <c r="J550">
        <v>95.4</v>
      </c>
      <c r="K550">
        <v>67</v>
      </c>
      <c r="L550">
        <v>22.2</v>
      </c>
      <c r="M550">
        <v>9.5</v>
      </c>
      <c r="N550">
        <v>0.26736425140240599</v>
      </c>
      <c r="O550">
        <v>0.210717222532287</v>
      </c>
      <c r="P550" t="str">
        <f t="shared" si="16"/>
        <v>F</v>
      </c>
      <c r="Q550" t="str">
        <f t="shared" si="17"/>
        <v>T</v>
      </c>
    </row>
    <row r="551" spans="1:17" hidden="1" x14ac:dyDescent="0.3">
      <c r="A551">
        <v>7802</v>
      </c>
      <c r="B551">
        <v>3825</v>
      </c>
      <c r="C551">
        <v>267</v>
      </c>
      <c r="D551" t="s">
        <v>23</v>
      </c>
      <c r="E551" t="s">
        <v>20</v>
      </c>
      <c r="F551" t="s">
        <v>21</v>
      </c>
      <c r="G551" t="s">
        <v>24</v>
      </c>
      <c r="H551">
        <v>275.39999999999998</v>
      </c>
      <c r="I551">
        <v>244.5</v>
      </c>
      <c r="J551">
        <v>95.4</v>
      </c>
      <c r="K551">
        <v>67</v>
      </c>
      <c r="L551">
        <v>22.2</v>
      </c>
      <c r="M551">
        <v>9.5</v>
      </c>
      <c r="N551">
        <v>0.25688666504836699</v>
      </c>
      <c r="O551">
        <v>0.22582928582578499</v>
      </c>
      <c r="P551" t="str">
        <f t="shared" si="16"/>
        <v>F</v>
      </c>
      <c r="Q551" t="str">
        <f t="shared" si="17"/>
        <v>T</v>
      </c>
    </row>
    <row r="552" spans="1:17" hidden="1" x14ac:dyDescent="0.3">
      <c r="A552">
        <v>7814</v>
      </c>
      <c r="B552">
        <v>3829</v>
      </c>
      <c r="C552">
        <v>340</v>
      </c>
      <c r="D552" t="s">
        <v>23</v>
      </c>
      <c r="E552" t="s">
        <v>20</v>
      </c>
      <c r="F552" t="s">
        <v>21</v>
      </c>
      <c r="G552" t="s">
        <v>22</v>
      </c>
      <c r="H552">
        <v>274.60000000000002</v>
      </c>
      <c r="I552">
        <v>261.5</v>
      </c>
      <c r="J552">
        <v>96.7</v>
      </c>
      <c r="K552">
        <v>62</v>
      </c>
      <c r="L552">
        <v>28.9</v>
      </c>
      <c r="M552">
        <v>10.5</v>
      </c>
      <c r="N552">
        <v>6.9794201472132805E-2</v>
      </c>
      <c r="O552">
        <v>0.37394526567721198</v>
      </c>
      <c r="P552" t="str">
        <f t="shared" si="16"/>
        <v>T</v>
      </c>
      <c r="Q552" t="str">
        <f t="shared" si="17"/>
        <v>F</v>
      </c>
    </row>
    <row r="553" spans="1:17" hidden="1" x14ac:dyDescent="0.3">
      <c r="A553">
        <v>7815</v>
      </c>
      <c r="B553">
        <v>3829</v>
      </c>
      <c r="C553">
        <v>340</v>
      </c>
      <c r="D553" t="s">
        <v>23</v>
      </c>
      <c r="E553" t="s">
        <v>20</v>
      </c>
      <c r="F553" t="s">
        <v>21</v>
      </c>
      <c r="G553" t="s">
        <v>22</v>
      </c>
      <c r="H553">
        <v>274.60000000000002</v>
      </c>
      <c r="I553">
        <v>261.5</v>
      </c>
      <c r="J553">
        <v>96.7</v>
      </c>
      <c r="K553">
        <v>62</v>
      </c>
      <c r="L553">
        <v>28.9</v>
      </c>
      <c r="M553">
        <v>10.5</v>
      </c>
      <c r="N553">
        <v>5.5269619159572098E-2</v>
      </c>
      <c r="O553">
        <v>0.39080852851396197</v>
      </c>
      <c r="P553" t="str">
        <f t="shared" si="16"/>
        <v>T</v>
      </c>
      <c r="Q553" t="str">
        <f t="shared" si="17"/>
        <v>F</v>
      </c>
    </row>
    <row r="554" spans="1:17" hidden="1" x14ac:dyDescent="0.3">
      <c r="A554">
        <v>7816</v>
      </c>
      <c r="B554">
        <v>3829</v>
      </c>
      <c r="C554">
        <v>340</v>
      </c>
      <c r="D554" t="s">
        <v>23</v>
      </c>
      <c r="E554" t="s">
        <v>20</v>
      </c>
      <c r="F554" t="s">
        <v>21</v>
      </c>
      <c r="G554" t="s">
        <v>22</v>
      </c>
      <c r="H554">
        <v>274.60000000000002</v>
      </c>
      <c r="I554">
        <v>261.5</v>
      </c>
      <c r="J554">
        <v>96.7</v>
      </c>
      <c r="K554">
        <v>62</v>
      </c>
      <c r="L554">
        <v>28.9</v>
      </c>
      <c r="M554">
        <v>10.5</v>
      </c>
      <c r="N554">
        <v>7.1379436421115994E-2</v>
      </c>
      <c r="O554">
        <v>0.37131246591851702</v>
      </c>
      <c r="P554" t="str">
        <f t="shared" si="16"/>
        <v>T</v>
      </c>
      <c r="Q554" t="str">
        <f t="shared" si="17"/>
        <v>F</v>
      </c>
    </row>
    <row r="555" spans="1:17" hidden="1" x14ac:dyDescent="0.3">
      <c r="A555">
        <v>7820</v>
      </c>
      <c r="B555">
        <v>3831</v>
      </c>
      <c r="C555">
        <v>453</v>
      </c>
      <c r="D555" t="s">
        <v>23</v>
      </c>
      <c r="E555" t="s">
        <v>20</v>
      </c>
      <c r="F555" t="s">
        <v>17</v>
      </c>
      <c r="G555" t="s">
        <v>24</v>
      </c>
      <c r="H555">
        <v>281.60000000000002</v>
      </c>
      <c r="I555">
        <v>255.5</v>
      </c>
      <c r="J555">
        <v>100.4</v>
      </c>
      <c r="K555">
        <v>70</v>
      </c>
      <c r="L555">
        <v>25.7</v>
      </c>
      <c r="M555">
        <v>10</v>
      </c>
      <c r="N555">
        <v>0.121567749214456</v>
      </c>
      <c r="O555">
        <v>0.38626663512540599</v>
      </c>
      <c r="P555" t="str">
        <f t="shared" si="16"/>
        <v>F</v>
      </c>
      <c r="Q555" t="str">
        <f t="shared" si="17"/>
        <v>F</v>
      </c>
    </row>
    <row r="556" spans="1:17" hidden="1" x14ac:dyDescent="0.3">
      <c r="A556">
        <v>7843</v>
      </c>
      <c r="B556">
        <v>3842</v>
      </c>
      <c r="C556">
        <v>95</v>
      </c>
      <c r="D556" t="s">
        <v>23</v>
      </c>
      <c r="E556" t="s">
        <v>20</v>
      </c>
      <c r="F556" t="s">
        <v>21</v>
      </c>
      <c r="G556" t="s">
        <v>22</v>
      </c>
      <c r="H556">
        <v>276.60000000000002</v>
      </c>
      <c r="I556">
        <v>250.5</v>
      </c>
      <c r="J556">
        <v>100</v>
      </c>
      <c r="K556">
        <v>67</v>
      </c>
      <c r="L556">
        <v>28.2</v>
      </c>
      <c r="M556">
        <v>6.5</v>
      </c>
      <c r="N556">
        <v>0.119587643564668</v>
      </c>
      <c r="O556">
        <v>0.34156579202881499</v>
      </c>
      <c r="P556" t="str">
        <f t="shared" si="16"/>
        <v>F</v>
      </c>
      <c r="Q556" t="str">
        <f t="shared" si="17"/>
        <v>F</v>
      </c>
    </row>
    <row r="557" spans="1:17" hidden="1" x14ac:dyDescent="0.3">
      <c r="A557">
        <v>7881</v>
      </c>
      <c r="B557">
        <v>3855</v>
      </c>
      <c r="C557">
        <v>110</v>
      </c>
      <c r="D557" t="s">
        <v>23</v>
      </c>
      <c r="E557" t="s">
        <v>20</v>
      </c>
      <c r="F557" t="s">
        <v>21</v>
      </c>
      <c r="G557" t="s">
        <v>24</v>
      </c>
      <c r="H557">
        <v>271.3</v>
      </c>
      <c r="I557">
        <v>247.5</v>
      </c>
      <c r="J557">
        <v>95</v>
      </c>
      <c r="K557">
        <v>65.5</v>
      </c>
      <c r="L557">
        <v>24.5</v>
      </c>
      <c r="M557">
        <v>8</v>
      </c>
      <c r="N557">
        <v>0.23907623520573501</v>
      </c>
      <c r="O557">
        <v>0.36797740251738098</v>
      </c>
      <c r="P557" t="str">
        <f t="shared" si="16"/>
        <v>F</v>
      </c>
      <c r="Q557" t="str">
        <f t="shared" si="17"/>
        <v>F</v>
      </c>
    </row>
    <row r="558" spans="1:17" hidden="1" x14ac:dyDescent="0.3">
      <c r="A558">
        <v>7893</v>
      </c>
      <c r="B558">
        <v>3858</v>
      </c>
      <c r="C558">
        <v>453</v>
      </c>
      <c r="D558" t="s">
        <v>23</v>
      </c>
      <c r="E558" t="s">
        <v>20</v>
      </c>
      <c r="F558" t="s">
        <v>21</v>
      </c>
      <c r="G558" t="s">
        <v>26</v>
      </c>
      <c r="H558">
        <v>281.60000000000002</v>
      </c>
      <c r="I558">
        <v>255.5</v>
      </c>
      <c r="J558">
        <v>100.4</v>
      </c>
      <c r="K558">
        <v>70</v>
      </c>
      <c r="L558">
        <v>25.7</v>
      </c>
      <c r="M558">
        <v>10</v>
      </c>
      <c r="N558">
        <v>0.141005981843218</v>
      </c>
      <c r="O558">
        <v>0.39318074226426802</v>
      </c>
      <c r="P558" t="str">
        <f t="shared" si="16"/>
        <v>F</v>
      </c>
      <c r="Q558" t="str">
        <f t="shared" si="17"/>
        <v>F</v>
      </c>
    </row>
    <row r="559" spans="1:17" hidden="1" x14ac:dyDescent="0.3">
      <c r="A559">
        <v>7894</v>
      </c>
      <c r="B559">
        <v>3858</v>
      </c>
      <c r="C559">
        <v>453</v>
      </c>
      <c r="D559" t="s">
        <v>23</v>
      </c>
      <c r="E559" t="s">
        <v>20</v>
      </c>
      <c r="F559" t="s">
        <v>21</v>
      </c>
      <c r="G559" t="s">
        <v>26</v>
      </c>
      <c r="H559">
        <v>281.60000000000002</v>
      </c>
      <c r="I559">
        <v>255.5</v>
      </c>
      <c r="J559">
        <v>100.4</v>
      </c>
      <c r="K559">
        <v>70</v>
      </c>
      <c r="L559">
        <v>25.7</v>
      </c>
      <c r="M559">
        <v>10</v>
      </c>
      <c r="N559">
        <v>0.15228631747347299</v>
      </c>
      <c r="O559">
        <v>0.40353601429912</v>
      </c>
      <c r="P559" t="str">
        <f t="shared" si="16"/>
        <v>F</v>
      </c>
      <c r="Q559" t="str">
        <f t="shared" si="17"/>
        <v>F</v>
      </c>
    </row>
    <row r="560" spans="1:17" hidden="1" x14ac:dyDescent="0.3">
      <c r="A560">
        <v>7895</v>
      </c>
      <c r="B560">
        <v>3859</v>
      </c>
      <c r="C560">
        <v>395</v>
      </c>
      <c r="D560" t="s">
        <v>23</v>
      </c>
      <c r="E560" t="s">
        <v>20</v>
      </c>
      <c r="F560" t="s">
        <v>21</v>
      </c>
      <c r="G560" t="s">
        <v>22</v>
      </c>
      <c r="H560">
        <v>273.60000000000002</v>
      </c>
      <c r="I560">
        <v>247</v>
      </c>
      <c r="J560">
        <v>94</v>
      </c>
      <c r="K560">
        <v>68</v>
      </c>
      <c r="L560">
        <v>26.7</v>
      </c>
      <c r="M560">
        <v>7.5</v>
      </c>
      <c r="N560">
        <v>0.172960304360643</v>
      </c>
      <c r="O560">
        <v>0.345803204581621</v>
      </c>
      <c r="P560" t="str">
        <f t="shared" si="16"/>
        <v>F</v>
      </c>
      <c r="Q560" t="str">
        <f t="shared" si="17"/>
        <v>F</v>
      </c>
    </row>
    <row r="561" spans="1:17" hidden="1" x14ac:dyDescent="0.3">
      <c r="A561">
        <v>7910</v>
      </c>
      <c r="B561">
        <v>3864</v>
      </c>
      <c r="C561">
        <v>351</v>
      </c>
      <c r="D561" t="s">
        <v>23</v>
      </c>
      <c r="E561" t="s">
        <v>20</v>
      </c>
      <c r="F561" t="s">
        <v>17</v>
      </c>
      <c r="G561" t="s">
        <v>24</v>
      </c>
      <c r="H561">
        <v>277.60000000000002</v>
      </c>
      <c r="I561">
        <v>246.5</v>
      </c>
      <c r="J561">
        <v>93.9</v>
      </c>
      <c r="K561">
        <v>67.5</v>
      </c>
      <c r="L561">
        <v>27.5</v>
      </c>
      <c r="M561">
        <v>8</v>
      </c>
      <c r="N561">
        <v>0.162923010107133</v>
      </c>
      <c r="O561">
        <v>0.29055626712096899</v>
      </c>
      <c r="P561" t="str">
        <f t="shared" si="16"/>
        <v>F</v>
      </c>
      <c r="Q561" t="str">
        <f t="shared" si="17"/>
        <v>F</v>
      </c>
    </row>
    <row r="562" spans="1:17" hidden="1" x14ac:dyDescent="0.3">
      <c r="A562">
        <v>7911</v>
      </c>
      <c r="B562">
        <v>3864</v>
      </c>
      <c r="C562">
        <v>351</v>
      </c>
      <c r="D562" t="s">
        <v>23</v>
      </c>
      <c r="E562" t="s">
        <v>20</v>
      </c>
      <c r="F562" t="s">
        <v>17</v>
      </c>
      <c r="G562" t="s">
        <v>24</v>
      </c>
      <c r="H562">
        <v>277.60000000000002</v>
      </c>
      <c r="I562">
        <v>246.5</v>
      </c>
      <c r="J562">
        <v>93.9</v>
      </c>
      <c r="K562">
        <v>67.5</v>
      </c>
      <c r="L562">
        <v>27.5</v>
      </c>
      <c r="M562">
        <v>8</v>
      </c>
      <c r="N562">
        <v>0.16722640802987901</v>
      </c>
      <c r="O562">
        <v>0.28810100767665803</v>
      </c>
      <c r="P562" t="str">
        <f t="shared" si="16"/>
        <v>F</v>
      </c>
      <c r="Q562" t="str">
        <f t="shared" si="17"/>
        <v>F</v>
      </c>
    </row>
    <row r="563" spans="1:17" hidden="1" x14ac:dyDescent="0.3">
      <c r="A563">
        <v>7912</v>
      </c>
      <c r="B563">
        <v>3864</v>
      </c>
      <c r="C563">
        <v>351</v>
      </c>
      <c r="D563" t="s">
        <v>23</v>
      </c>
      <c r="E563" t="s">
        <v>20</v>
      </c>
      <c r="F563" t="s">
        <v>17</v>
      </c>
      <c r="G563" t="s">
        <v>24</v>
      </c>
      <c r="H563">
        <v>277.60000000000002</v>
      </c>
      <c r="I563">
        <v>246.5</v>
      </c>
      <c r="J563">
        <v>93.9</v>
      </c>
      <c r="K563">
        <v>67.5</v>
      </c>
      <c r="L563">
        <v>27.5</v>
      </c>
      <c r="M563">
        <v>8</v>
      </c>
      <c r="N563">
        <v>0.17028093095362901</v>
      </c>
      <c r="O563">
        <v>0.28104140713613501</v>
      </c>
      <c r="P563" t="str">
        <f t="shared" si="16"/>
        <v>F</v>
      </c>
      <c r="Q563" t="str">
        <f t="shared" si="17"/>
        <v>F</v>
      </c>
    </row>
    <row r="564" spans="1:17" hidden="1" x14ac:dyDescent="0.3">
      <c r="A564">
        <v>8006</v>
      </c>
      <c r="B564">
        <v>3897</v>
      </c>
      <c r="C564">
        <v>453</v>
      </c>
      <c r="D564" t="s">
        <v>23</v>
      </c>
      <c r="E564" t="s">
        <v>20</v>
      </c>
      <c r="F564" t="s">
        <v>17</v>
      </c>
      <c r="G564" t="s">
        <v>25</v>
      </c>
      <c r="H564">
        <v>281.60000000000002</v>
      </c>
      <c r="I564">
        <v>255.5</v>
      </c>
      <c r="J564">
        <v>100.4</v>
      </c>
      <c r="K564">
        <v>70</v>
      </c>
      <c r="L564">
        <v>25.7</v>
      </c>
      <c r="M564">
        <v>10</v>
      </c>
      <c r="N564">
        <v>0.153205057328926</v>
      </c>
      <c r="O564">
        <v>0.39349180211794599</v>
      </c>
      <c r="P564" t="str">
        <f t="shared" si="16"/>
        <v>F</v>
      </c>
      <c r="Q564" t="str">
        <f t="shared" si="17"/>
        <v>F</v>
      </c>
    </row>
    <row r="565" spans="1:17" hidden="1" x14ac:dyDescent="0.3">
      <c r="A565">
        <v>8007</v>
      </c>
      <c r="B565">
        <v>3897</v>
      </c>
      <c r="C565">
        <v>453</v>
      </c>
      <c r="D565" t="s">
        <v>23</v>
      </c>
      <c r="E565" t="s">
        <v>20</v>
      </c>
      <c r="F565" t="s">
        <v>17</v>
      </c>
      <c r="G565" t="s">
        <v>25</v>
      </c>
      <c r="H565">
        <v>281.60000000000002</v>
      </c>
      <c r="I565">
        <v>255.5</v>
      </c>
      <c r="J565">
        <v>100.4</v>
      </c>
      <c r="K565">
        <v>70</v>
      </c>
      <c r="L565">
        <v>25.7</v>
      </c>
      <c r="M565">
        <v>10</v>
      </c>
      <c r="N565">
        <v>0.15171954848763999</v>
      </c>
      <c r="O565">
        <v>0.39751496916417201</v>
      </c>
      <c r="P565" t="str">
        <f t="shared" si="16"/>
        <v>F</v>
      </c>
      <c r="Q565" t="str">
        <f t="shared" si="17"/>
        <v>F</v>
      </c>
    </row>
    <row r="566" spans="1:17" hidden="1" x14ac:dyDescent="0.3">
      <c r="A566">
        <v>8008</v>
      </c>
      <c r="B566">
        <v>3897</v>
      </c>
      <c r="C566">
        <v>453</v>
      </c>
      <c r="D566" t="s">
        <v>23</v>
      </c>
      <c r="E566" t="s">
        <v>20</v>
      </c>
      <c r="F566" t="s">
        <v>17</v>
      </c>
      <c r="G566" t="s">
        <v>25</v>
      </c>
      <c r="H566">
        <v>281.60000000000002</v>
      </c>
      <c r="I566">
        <v>255.5</v>
      </c>
      <c r="J566">
        <v>100.4</v>
      </c>
      <c r="K566">
        <v>70</v>
      </c>
      <c r="L566">
        <v>25.7</v>
      </c>
      <c r="M566">
        <v>10</v>
      </c>
      <c r="N566">
        <v>0.15321338936005999</v>
      </c>
      <c r="O566">
        <v>0.41743296059167601</v>
      </c>
      <c r="P566" t="str">
        <f t="shared" si="16"/>
        <v>F</v>
      </c>
      <c r="Q566" t="str">
        <f t="shared" si="17"/>
        <v>F</v>
      </c>
    </row>
    <row r="567" spans="1:17" hidden="1" x14ac:dyDescent="0.3">
      <c r="A567">
        <v>8051</v>
      </c>
      <c r="B567">
        <v>3914</v>
      </c>
      <c r="C567">
        <v>340</v>
      </c>
      <c r="D567" t="s">
        <v>23</v>
      </c>
      <c r="E567" t="s">
        <v>20</v>
      </c>
      <c r="F567" t="s">
        <v>21</v>
      </c>
      <c r="G567" t="s">
        <v>24</v>
      </c>
      <c r="H567">
        <v>274.60000000000002</v>
      </c>
      <c r="I567">
        <v>261.5</v>
      </c>
      <c r="J567">
        <v>96.7</v>
      </c>
      <c r="K567">
        <v>62</v>
      </c>
      <c r="L567">
        <v>28.9</v>
      </c>
      <c r="M567">
        <v>10.5</v>
      </c>
      <c r="N567">
        <v>6.8066116299376797E-2</v>
      </c>
      <c r="O567">
        <v>0.38411329607928801</v>
      </c>
      <c r="P567" t="str">
        <f t="shared" si="16"/>
        <v>T</v>
      </c>
      <c r="Q567" t="str">
        <f t="shared" si="17"/>
        <v>F</v>
      </c>
    </row>
    <row r="568" spans="1:17" hidden="1" x14ac:dyDescent="0.3">
      <c r="A568">
        <v>8054</v>
      </c>
      <c r="B568">
        <v>3914</v>
      </c>
      <c r="C568">
        <v>340</v>
      </c>
      <c r="D568" t="s">
        <v>23</v>
      </c>
      <c r="E568" t="s">
        <v>20</v>
      </c>
      <c r="F568" t="s">
        <v>21</v>
      </c>
      <c r="G568" t="s">
        <v>24</v>
      </c>
      <c r="H568">
        <v>274.60000000000002</v>
      </c>
      <c r="I568">
        <v>261.5</v>
      </c>
      <c r="J568">
        <v>96.7</v>
      </c>
      <c r="K568">
        <v>62</v>
      </c>
      <c r="L568">
        <v>28.9</v>
      </c>
      <c r="M568">
        <v>10.5</v>
      </c>
      <c r="N568">
        <v>6.7364019325067595E-2</v>
      </c>
      <c r="O568">
        <v>0.36984555687905601</v>
      </c>
      <c r="P568" t="str">
        <f t="shared" si="16"/>
        <v>T</v>
      </c>
      <c r="Q568" t="str">
        <f t="shared" si="17"/>
        <v>F</v>
      </c>
    </row>
    <row r="569" spans="1:17" hidden="1" x14ac:dyDescent="0.3">
      <c r="A569">
        <v>8056</v>
      </c>
      <c r="B569">
        <v>3914</v>
      </c>
      <c r="C569">
        <v>340</v>
      </c>
      <c r="D569" t="s">
        <v>23</v>
      </c>
      <c r="E569" t="s">
        <v>20</v>
      </c>
      <c r="F569" t="s">
        <v>21</v>
      </c>
      <c r="G569" t="s">
        <v>24</v>
      </c>
      <c r="H569">
        <v>274.60000000000002</v>
      </c>
      <c r="I569">
        <v>261.5</v>
      </c>
      <c r="J569">
        <v>96.7</v>
      </c>
      <c r="K569">
        <v>62</v>
      </c>
      <c r="L569">
        <v>28.9</v>
      </c>
      <c r="M569">
        <v>10.5</v>
      </c>
      <c r="N569">
        <v>4.1415713554954998E-2</v>
      </c>
      <c r="O569">
        <v>0.38105987880546</v>
      </c>
      <c r="P569" t="str">
        <f t="shared" si="16"/>
        <v>T</v>
      </c>
      <c r="Q569" t="str">
        <f t="shared" si="17"/>
        <v>F</v>
      </c>
    </row>
    <row r="570" spans="1:17" hidden="1" x14ac:dyDescent="0.3">
      <c r="A570">
        <v>8074</v>
      </c>
      <c r="B570">
        <v>3921</v>
      </c>
      <c r="C570">
        <v>395</v>
      </c>
      <c r="D570" t="s">
        <v>23</v>
      </c>
      <c r="E570" t="s">
        <v>20</v>
      </c>
      <c r="F570" t="s">
        <v>21</v>
      </c>
      <c r="G570" t="s">
        <v>25</v>
      </c>
      <c r="H570">
        <v>273.60000000000002</v>
      </c>
      <c r="I570">
        <v>247</v>
      </c>
      <c r="J570">
        <v>94</v>
      </c>
      <c r="K570">
        <v>68</v>
      </c>
      <c r="L570">
        <v>26.7</v>
      </c>
      <c r="M570">
        <v>7.5</v>
      </c>
      <c r="N570">
        <v>0.18509040396701201</v>
      </c>
      <c r="O570">
        <v>0.35822427586170402</v>
      </c>
      <c r="P570" t="str">
        <f t="shared" si="16"/>
        <v>F</v>
      </c>
      <c r="Q570" t="str">
        <f t="shared" si="17"/>
        <v>F</v>
      </c>
    </row>
    <row r="571" spans="1:17" hidden="1" x14ac:dyDescent="0.3">
      <c r="A571">
        <v>8113</v>
      </c>
      <c r="B571">
        <v>3933</v>
      </c>
      <c r="C571">
        <v>289</v>
      </c>
      <c r="D571" t="s">
        <v>23</v>
      </c>
      <c r="E571" t="s">
        <v>20</v>
      </c>
      <c r="F571" t="s">
        <v>17</v>
      </c>
      <c r="G571" t="s">
        <v>18</v>
      </c>
      <c r="H571">
        <v>279.39999999999998</v>
      </c>
      <c r="I571">
        <v>256</v>
      </c>
      <c r="J571">
        <v>95.5</v>
      </c>
      <c r="K571">
        <v>69.5</v>
      </c>
      <c r="L571">
        <v>26.8</v>
      </c>
      <c r="M571">
        <v>13</v>
      </c>
      <c r="N571">
        <v>0.113384314825186</v>
      </c>
      <c r="O571">
        <v>0.44441500908056097</v>
      </c>
      <c r="P571" t="str">
        <f t="shared" si="16"/>
        <v>F</v>
      </c>
      <c r="Q571" t="str">
        <f t="shared" si="17"/>
        <v>F</v>
      </c>
    </row>
    <row r="572" spans="1:17" hidden="1" x14ac:dyDescent="0.3">
      <c r="A572">
        <v>8114</v>
      </c>
      <c r="B572">
        <v>3933</v>
      </c>
      <c r="C572">
        <v>289</v>
      </c>
      <c r="D572" t="s">
        <v>23</v>
      </c>
      <c r="E572" t="s">
        <v>20</v>
      </c>
      <c r="F572" t="s">
        <v>17</v>
      </c>
      <c r="G572" t="s">
        <v>18</v>
      </c>
      <c r="H572">
        <v>279.39999999999998</v>
      </c>
      <c r="I572">
        <v>256</v>
      </c>
      <c r="J572">
        <v>95.5</v>
      </c>
      <c r="K572">
        <v>69.5</v>
      </c>
      <c r="L572">
        <v>26.8</v>
      </c>
      <c r="M572">
        <v>13</v>
      </c>
      <c r="N572">
        <v>0.10470821197795301</v>
      </c>
      <c r="O572">
        <v>0.43987405982216499</v>
      </c>
      <c r="P572" t="str">
        <f t="shared" si="16"/>
        <v>F</v>
      </c>
      <c r="Q572" t="str">
        <f t="shared" si="17"/>
        <v>F</v>
      </c>
    </row>
    <row r="573" spans="1:17" hidden="1" x14ac:dyDescent="0.3">
      <c r="A573">
        <v>8167</v>
      </c>
      <c r="B573">
        <v>3952</v>
      </c>
      <c r="C573">
        <v>95</v>
      </c>
      <c r="D573" t="s">
        <v>23</v>
      </c>
      <c r="E573" t="s">
        <v>20</v>
      </c>
      <c r="F573" t="s">
        <v>17</v>
      </c>
      <c r="G573" t="s">
        <v>18</v>
      </c>
      <c r="H573">
        <v>276.60000000000002</v>
      </c>
      <c r="I573">
        <v>250.5</v>
      </c>
      <c r="J573">
        <v>100</v>
      </c>
      <c r="K573">
        <v>67</v>
      </c>
      <c r="L573">
        <v>28.2</v>
      </c>
      <c r="M573">
        <v>6.5</v>
      </c>
      <c r="N573">
        <v>0.112090347347003</v>
      </c>
      <c r="O573">
        <v>0.30696535560981097</v>
      </c>
      <c r="P573" t="str">
        <f t="shared" si="16"/>
        <v>F</v>
      </c>
      <c r="Q573" t="str">
        <f t="shared" si="17"/>
        <v>F</v>
      </c>
    </row>
    <row r="574" spans="1:17" hidden="1" x14ac:dyDescent="0.3">
      <c r="A574">
        <v>8177</v>
      </c>
      <c r="B574">
        <v>3956</v>
      </c>
      <c r="C574">
        <v>26</v>
      </c>
      <c r="D574" t="s">
        <v>23</v>
      </c>
      <c r="E574" t="s">
        <v>20</v>
      </c>
      <c r="F574" t="s">
        <v>21</v>
      </c>
      <c r="G574" t="s">
        <v>22</v>
      </c>
      <c r="H574">
        <v>270.5</v>
      </c>
      <c r="I574">
        <v>243.5</v>
      </c>
      <c r="J574">
        <v>95.9</v>
      </c>
      <c r="K574">
        <v>66</v>
      </c>
      <c r="L574">
        <v>26.9</v>
      </c>
      <c r="M574">
        <v>6</v>
      </c>
      <c r="N574">
        <v>0.194452729730413</v>
      </c>
      <c r="O574">
        <v>0.375964735127373</v>
      </c>
      <c r="P574" t="str">
        <f t="shared" si="16"/>
        <v>F</v>
      </c>
      <c r="Q574" t="str">
        <f t="shared" si="17"/>
        <v>F</v>
      </c>
    </row>
    <row r="575" spans="1:17" hidden="1" x14ac:dyDescent="0.3">
      <c r="A575">
        <v>8178</v>
      </c>
      <c r="B575">
        <v>3956</v>
      </c>
      <c r="C575">
        <v>26</v>
      </c>
      <c r="D575" t="s">
        <v>23</v>
      </c>
      <c r="E575" t="s">
        <v>20</v>
      </c>
      <c r="F575" t="s">
        <v>21</v>
      </c>
      <c r="G575" t="s">
        <v>22</v>
      </c>
      <c r="H575">
        <v>270.5</v>
      </c>
      <c r="I575">
        <v>243.5</v>
      </c>
      <c r="J575">
        <v>95.9</v>
      </c>
      <c r="K575">
        <v>66</v>
      </c>
      <c r="L575">
        <v>26.9</v>
      </c>
      <c r="M575">
        <v>6</v>
      </c>
      <c r="N575">
        <v>0.21242871336190999</v>
      </c>
      <c r="O575">
        <v>0.40180528342328697</v>
      </c>
      <c r="P575" t="str">
        <f t="shared" si="16"/>
        <v>F</v>
      </c>
      <c r="Q575" t="str">
        <f t="shared" si="17"/>
        <v>F</v>
      </c>
    </row>
    <row r="576" spans="1:17" hidden="1" x14ac:dyDescent="0.3">
      <c r="A576">
        <v>8179</v>
      </c>
      <c r="B576">
        <v>3956</v>
      </c>
      <c r="C576">
        <v>26</v>
      </c>
      <c r="D576" t="s">
        <v>23</v>
      </c>
      <c r="E576" t="s">
        <v>20</v>
      </c>
      <c r="F576" t="s">
        <v>21</v>
      </c>
      <c r="G576" t="s">
        <v>22</v>
      </c>
      <c r="H576">
        <v>270.5</v>
      </c>
      <c r="I576">
        <v>243.5</v>
      </c>
      <c r="J576">
        <v>95.9</v>
      </c>
      <c r="K576">
        <v>66</v>
      </c>
      <c r="L576">
        <v>26.9</v>
      </c>
      <c r="M576">
        <v>6</v>
      </c>
      <c r="N576">
        <v>0.21092091895106799</v>
      </c>
      <c r="O576">
        <v>0.36582483544007099</v>
      </c>
      <c r="P576" t="str">
        <f t="shared" si="16"/>
        <v>F</v>
      </c>
      <c r="Q576" t="str">
        <f t="shared" si="17"/>
        <v>F</v>
      </c>
    </row>
    <row r="577" spans="1:17" hidden="1" x14ac:dyDescent="0.3">
      <c r="A577">
        <v>8182</v>
      </c>
      <c r="B577">
        <v>3958</v>
      </c>
      <c r="C577">
        <v>154</v>
      </c>
      <c r="D577" t="s">
        <v>23</v>
      </c>
      <c r="E577" t="s">
        <v>20</v>
      </c>
      <c r="F577" t="s">
        <v>21</v>
      </c>
      <c r="G577" t="s">
        <v>18</v>
      </c>
      <c r="H577">
        <v>278.39999999999998</v>
      </c>
      <c r="I577">
        <v>245</v>
      </c>
      <c r="J577">
        <v>94.5</v>
      </c>
      <c r="K577">
        <v>64</v>
      </c>
      <c r="L577">
        <v>25.4</v>
      </c>
      <c r="M577">
        <v>10.5</v>
      </c>
      <c r="N577">
        <v>0.130430942168132</v>
      </c>
      <c r="O577">
        <v>0.31871039221488501</v>
      </c>
      <c r="P577" t="str">
        <f t="shared" si="16"/>
        <v>F</v>
      </c>
      <c r="Q577" t="str">
        <f t="shared" si="17"/>
        <v>F</v>
      </c>
    </row>
    <row r="578" spans="1:17" hidden="1" x14ac:dyDescent="0.3">
      <c r="A578">
        <v>8183</v>
      </c>
      <c r="B578">
        <v>3958</v>
      </c>
      <c r="C578">
        <v>154</v>
      </c>
      <c r="D578" t="s">
        <v>23</v>
      </c>
      <c r="E578" t="s">
        <v>20</v>
      </c>
      <c r="F578" t="s">
        <v>21</v>
      </c>
      <c r="G578" t="s">
        <v>18</v>
      </c>
      <c r="H578">
        <v>278.39999999999998</v>
      </c>
      <c r="I578">
        <v>245</v>
      </c>
      <c r="J578">
        <v>94.5</v>
      </c>
      <c r="K578">
        <v>64</v>
      </c>
      <c r="L578">
        <v>25.4</v>
      </c>
      <c r="M578">
        <v>10.5</v>
      </c>
      <c r="N578">
        <v>0.15217082831940501</v>
      </c>
      <c r="O578">
        <v>0.34619797078191</v>
      </c>
      <c r="P578" t="str">
        <f t="shared" ref="P578:P641" si="18">IF(N578&lt;0.100978, "T", "F")</f>
        <v>F</v>
      </c>
      <c r="Q578" t="str">
        <f t="shared" ref="Q578:Q641" si="19">IF(O578&lt;0.268491, "T", "F")</f>
        <v>F</v>
      </c>
    </row>
    <row r="579" spans="1:17" hidden="1" x14ac:dyDescent="0.3">
      <c r="A579">
        <v>8196</v>
      </c>
      <c r="B579">
        <v>3965</v>
      </c>
      <c r="C579">
        <v>190</v>
      </c>
      <c r="D579" t="s">
        <v>23</v>
      </c>
      <c r="E579" t="s">
        <v>20</v>
      </c>
      <c r="F579" t="s">
        <v>21</v>
      </c>
      <c r="G579" t="s">
        <v>24</v>
      </c>
      <c r="H579">
        <v>276.60000000000002</v>
      </c>
      <c r="I579">
        <v>243.5</v>
      </c>
      <c r="J579">
        <v>94.8</v>
      </c>
      <c r="K579">
        <v>67</v>
      </c>
      <c r="L579">
        <v>27</v>
      </c>
      <c r="M579">
        <v>9.5</v>
      </c>
      <c r="N579">
        <v>0.13266895444473101</v>
      </c>
      <c r="O579">
        <v>0.28071689794918803</v>
      </c>
      <c r="P579" t="str">
        <f t="shared" si="18"/>
        <v>F</v>
      </c>
      <c r="Q579" t="str">
        <f t="shared" si="19"/>
        <v>F</v>
      </c>
    </row>
    <row r="580" spans="1:17" hidden="1" x14ac:dyDescent="0.3">
      <c r="A580">
        <v>8223</v>
      </c>
      <c r="B580">
        <v>3973</v>
      </c>
      <c r="C580">
        <v>261</v>
      </c>
      <c r="D580" t="s">
        <v>23</v>
      </c>
      <c r="E580" t="s">
        <v>20</v>
      </c>
      <c r="F580" t="s">
        <v>21</v>
      </c>
      <c r="G580" t="s">
        <v>25</v>
      </c>
      <c r="H580">
        <v>276.60000000000002</v>
      </c>
      <c r="I580">
        <v>246</v>
      </c>
      <c r="J580">
        <v>96.1</v>
      </c>
      <c r="K580">
        <v>65.5</v>
      </c>
      <c r="L580">
        <v>29.4</v>
      </c>
      <c r="M580">
        <v>12</v>
      </c>
      <c r="N580">
        <v>4.6953399359269801E-2</v>
      </c>
      <c r="O580">
        <v>0.339366271675972</v>
      </c>
      <c r="P580" t="str">
        <f t="shared" si="18"/>
        <v>T</v>
      </c>
      <c r="Q580" t="str">
        <f t="shared" si="19"/>
        <v>F</v>
      </c>
    </row>
    <row r="581" spans="1:17" hidden="1" x14ac:dyDescent="0.3">
      <c r="A581">
        <v>8224</v>
      </c>
      <c r="B581">
        <v>3973</v>
      </c>
      <c r="C581">
        <v>261</v>
      </c>
      <c r="D581" t="s">
        <v>23</v>
      </c>
      <c r="E581" t="s">
        <v>20</v>
      </c>
      <c r="F581" t="s">
        <v>21</v>
      </c>
      <c r="G581" t="s">
        <v>25</v>
      </c>
      <c r="H581">
        <v>276.60000000000002</v>
      </c>
      <c r="I581">
        <v>246</v>
      </c>
      <c r="J581">
        <v>96.1</v>
      </c>
      <c r="K581">
        <v>65.5</v>
      </c>
      <c r="L581">
        <v>29.4</v>
      </c>
      <c r="M581">
        <v>12</v>
      </c>
      <c r="N581">
        <v>4.6561620855333601E-2</v>
      </c>
      <c r="O581">
        <v>0.36601874989439498</v>
      </c>
      <c r="P581" t="str">
        <f t="shared" si="18"/>
        <v>T</v>
      </c>
      <c r="Q581" t="str">
        <f t="shared" si="19"/>
        <v>F</v>
      </c>
    </row>
    <row r="582" spans="1:17" hidden="1" x14ac:dyDescent="0.3">
      <c r="A582">
        <v>8225</v>
      </c>
      <c r="B582">
        <v>3973</v>
      </c>
      <c r="C582">
        <v>261</v>
      </c>
      <c r="D582" t="s">
        <v>23</v>
      </c>
      <c r="E582" t="s">
        <v>20</v>
      </c>
      <c r="F582" t="s">
        <v>21</v>
      </c>
      <c r="G582" t="s">
        <v>25</v>
      </c>
      <c r="H582">
        <v>276.60000000000002</v>
      </c>
      <c r="I582">
        <v>246</v>
      </c>
      <c r="J582">
        <v>96.1</v>
      </c>
      <c r="K582">
        <v>65.5</v>
      </c>
      <c r="L582">
        <v>29.4</v>
      </c>
      <c r="M582">
        <v>12</v>
      </c>
      <c r="N582">
        <v>2.8052429552372402E-2</v>
      </c>
      <c r="O582">
        <v>0.335221702135512</v>
      </c>
      <c r="P582" t="str">
        <f t="shared" si="18"/>
        <v>T</v>
      </c>
      <c r="Q582" t="str">
        <f t="shared" si="19"/>
        <v>F</v>
      </c>
    </row>
    <row r="583" spans="1:17" hidden="1" x14ac:dyDescent="0.3">
      <c r="A583">
        <v>8259</v>
      </c>
      <c r="B583">
        <v>3984</v>
      </c>
      <c r="C583">
        <v>80</v>
      </c>
      <c r="D583" t="s">
        <v>23</v>
      </c>
      <c r="E583" t="s">
        <v>20</v>
      </c>
      <c r="F583" t="s">
        <v>17</v>
      </c>
      <c r="G583" t="s">
        <v>22</v>
      </c>
      <c r="H583">
        <v>279</v>
      </c>
      <c r="I583">
        <v>254</v>
      </c>
      <c r="J583">
        <v>97.1</v>
      </c>
      <c r="K583">
        <v>67</v>
      </c>
      <c r="L583">
        <v>24.6</v>
      </c>
      <c r="M583">
        <v>7</v>
      </c>
      <c r="N583">
        <v>0.21950114712037</v>
      </c>
      <c r="O583">
        <v>0.36166419196073002</v>
      </c>
      <c r="P583" t="str">
        <f t="shared" si="18"/>
        <v>F</v>
      </c>
      <c r="Q583" t="str">
        <f t="shared" si="19"/>
        <v>F</v>
      </c>
    </row>
    <row r="584" spans="1:17" hidden="1" x14ac:dyDescent="0.3">
      <c r="A584">
        <v>8260</v>
      </c>
      <c r="B584">
        <v>3984</v>
      </c>
      <c r="C584">
        <v>80</v>
      </c>
      <c r="D584" t="s">
        <v>23</v>
      </c>
      <c r="E584" t="s">
        <v>20</v>
      </c>
      <c r="F584" t="s">
        <v>17</v>
      </c>
      <c r="G584" t="s">
        <v>22</v>
      </c>
      <c r="H584">
        <v>279</v>
      </c>
      <c r="I584">
        <v>254</v>
      </c>
      <c r="J584">
        <v>97.1</v>
      </c>
      <c r="K584">
        <v>67</v>
      </c>
      <c r="L584">
        <v>24.6</v>
      </c>
      <c r="M584">
        <v>7</v>
      </c>
      <c r="N584">
        <v>0.18698828426720401</v>
      </c>
      <c r="O584">
        <v>0.34732292432689899</v>
      </c>
      <c r="P584" t="str">
        <f t="shared" si="18"/>
        <v>F</v>
      </c>
      <c r="Q584" t="str">
        <f t="shared" si="19"/>
        <v>F</v>
      </c>
    </row>
    <row r="585" spans="1:17" hidden="1" x14ac:dyDescent="0.3">
      <c r="A585">
        <v>8261</v>
      </c>
      <c r="B585">
        <v>3984</v>
      </c>
      <c r="C585">
        <v>80</v>
      </c>
      <c r="D585" t="s">
        <v>23</v>
      </c>
      <c r="E585" t="s">
        <v>20</v>
      </c>
      <c r="F585" t="s">
        <v>17</v>
      </c>
      <c r="G585" t="s">
        <v>22</v>
      </c>
      <c r="H585">
        <v>279</v>
      </c>
      <c r="I585">
        <v>254</v>
      </c>
      <c r="J585">
        <v>97.1</v>
      </c>
      <c r="K585">
        <v>67</v>
      </c>
      <c r="L585">
        <v>24.6</v>
      </c>
      <c r="M585">
        <v>7</v>
      </c>
      <c r="N585">
        <v>0.19057158598297799</v>
      </c>
      <c r="O585">
        <v>0.335046666316339</v>
      </c>
      <c r="P585" t="str">
        <f t="shared" si="18"/>
        <v>F</v>
      </c>
      <c r="Q585" t="str">
        <f t="shared" si="19"/>
        <v>F</v>
      </c>
    </row>
    <row r="586" spans="1:17" hidden="1" x14ac:dyDescent="0.3">
      <c r="A586">
        <v>8286</v>
      </c>
      <c r="B586">
        <v>3994</v>
      </c>
      <c r="C586">
        <v>340</v>
      </c>
      <c r="D586" t="s">
        <v>23</v>
      </c>
      <c r="E586" t="s">
        <v>20</v>
      </c>
      <c r="F586" t="s">
        <v>21</v>
      </c>
      <c r="G586" t="s">
        <v>24</v>
      </c>
      <c r="H586">
        <v>274.60000000000002</v>
      </c>
      <c r="I586">
        <v>261.5</v>
      </c>
      <c r="J586">
        <v>96.7</v>
      </c>
      <c r="K586">
        <v>62</v>
      </c>
      <c r="L586">
        <v>28.9</v>
      </c>
      <c r="M586">
        <v>10.5</v>
      </c>
      <c r="N586">
        <v>5.0205019946691097E-2</v>
      </c>
      <c r="O586">
        <v>0.38582304104698201</v>
      </c>
      <c r="P586" t="str">
        <f t="shared" si="18"/>
        <v>T</v>
      </c>
      <c r="Q586" t="str">
        <f t="shared" si="19"/>
        <v>F</v>
      </c>
    </row>
    <row r="587" spans="1:17" hidden="1" x14ac:dyDescent="0.3">
      <c r="A587">
        <v>8287</v>
      </c>
      <c r="B587">
        <v>3994</v>
      </c>
      <c r="C587">
        <v>340</v>
      </c>
      <c r="D587" t="s">
        <v>23</v>
      </c>
      <c r="E587" t="s">
        <v>20</v>
      </c>
      <c r="F587" t="s">
        <v>21</v>
      </c>
      <c r="G587" t="s">
        <v>24</v>
      </c>
      <c r="H587">
        <v>274.60000000000002</v>
      </c>
      <c r="I587">
        <v>261.5</v>
      </c>
      <c r="J587">
        <v>96.7</v>
      </c>
      <c r="K587">
        <v>62</v>
      </c>
      <c r="L587">
        <v>28.9</v>
      </c>
      <c r="M587">
        <v>10.5</v>
      </c>
      <c r="N587">
        <v>6.38559690315669E-2</v>
      </c>
      <c r="O587">
        <v>0.40077446331807298</v>
      </c>
      <c r="P587" t="str">
        <f t="shared" si="18"/>
        <v>T</v>
      </c>
      <c r="Q587" t="str">
        <f t="shared" si="19"/>
        <v>F</v>
      </c>
    </row>
    <row r="588" spans="1:17" hidden="1" x14ac:dyDescent="0.3">
      <c r="A588">
        <v>8333</v>
      </c>
      <c r="B588">
        <v>407</v>
      </c>
      <c r="C588">
        <v>483</v>
      </c>
      <c r="D588" t="s">
        <v>23</v>
      </c>
      <c r="E588" t="s">
        <v>20</v>
      </c>
      <c r="F588" t="s">
        <v>17</v>
      </c>
      <c r="G588" t="s">
        <v>18</v>
      </c>
      <c r="H588">
        <v>271.89999999999998</v>
      </c>
      <c r="I588">
        <v>246</v>
      </c>
      <c r="J588">
        <v>94.4</v>
      </c>
      <c r="K588">
        <v>60.5</v>
      </c>
      <c r="L588">
        <v>27.6</v>
      </c>
      <c r="M588">
        <v>13.5</v>
      </c>
      <c r="N588">
        <v>0.11612029828274099</v>
      </c>
      <c r="O588">
        <v>0.20230653654789099</v>
      </c>
      <c r="P588" t="str">
        <f t="shared" si="18"/>
        <v>F</v>
      </c>
      <c r="Q588" t="str">
        <f t="shared" si="19"/>
        <v>T</v>
      </c>
    </row>
    <row r="589" spans="1:17" hidden="1" x14ac:dyDescent="0.3">
      <c r="A589">
        <v>8334</v>
      </c>
      <c r="B589">
        <v>407</v>
      </c>
      <c r="C589">
        <v>483</v>
      </c>
      <c r="D589" t="s">
        <v>23</v>
      </c>
      <c r="E589" t="s">
        <v>20</v>
      </c>
      <c r="F589" t="s">
        <v>17</v>
      </c>
      <c r="G589" t="s">
        <v>18</v>
      </c>
      <c r="H589">
        <v>271.89999999999998</v>
      </c>
      <c r="I589">
        <v>246</v>
      </c>
      <c r="J589">
        <v>94.4</v>
      </c>
      <c r="K589">
        <v>60.5</v>
      </c>
      <c r="L589">
        <v>27.6</v>
      </c>
      <c r="M589">
        <v>13.5</v>
      </c>
      <c r="N589">
        <v>0.12222852424879301</v>
      </c>
      <c r="O589">
        <v>0.18337806577464399</v>
      </c>
      <c r="P589" t="str">
        <f t="shared" si="18"/>
        <v>F</v>
      </c>
      <c r="Q589" t="str">
        <f t="shared" si="19"/>
        <v>T</v>
      </c>
    </row>
    <row r="590" spans="1:17" hidden="1" x14ac:dyDescent="0.3">
      <c r="A590">
        <v>8335</v>
      </c>
      <c r="B590">
        <v>407</v>
      </c>
      <c r="C590">
        <v>483</v>
      </c>
      <c r="D590" t="s">
        <v>23</v>
      </c>
      <c r="E590" t="s">
        <v>20</v>
      </c>
      <c r="F590" t="s">
        <v>17</v>
      </c>
      <c r="G590" t="s">
        <v>18</v>
      </c>
      <c r="H590">
        <v>271.89999999999998</v>
      </c>
      <c r="I590">
        <v>246</v>
      </c>
      <c r="J590">
        <v>94.4</v>
      </c>
      <c r="K590">
        <v>60.5</v>
      </c>
      <c r="L590">
        <v>27.6</v>
      </c>
      <c r="M590">
        <v>13.5</v>
      </c>
      <c r="N590">
        <v>0.10296741903271101</v>
      </c>
      <c r="O590">
        <v>0.19787165721081601</v>
      </c>
      <c r="P590" t="str">
        <f t="shared" si="18"/>
        <v>F</v>
      </c>
      <c r="Q590" t="str">
        <f t="shared" si="19"/>
        <v>T</v>
      </c>
    </row>
    <row r="591" spans="1:17" hidden="1" x14ac:dyDescent="0.3">
      <c r="A591">
        <v>8351</v>
      </c>
      <c r="B591">
        <v>417</v>
      </c>
      <c r="C591">
        <v>251</v>
      </c>
      <c r="D591" t="s">
        <v>23</v>
      </c>
      <c r="E591" t="s">
        <v>20</v>
      </c>
      <c r="F591" t="s">
        <v>21</v>
      </c>
      <c r="G591" t="s">
        <v>22</v>
      </c>
      <c r="H591">
        <v>277.2</v>
      </c>
      <c r="I591">
        <v>261</v>
      </c>
      <c r="J591">
        <v>99.3</v>
      </c>
      <c r="K591">
        <v>69.5</v>
      </c>
      <c r="L591">
        <v>23.6</v>
      </c>
      <c r="M591">
        <v>13</v>
      </c>
      <c r="N591">
        <v>0.18369396002553701</v>
      </c>
      <c r="O591">
        <v>0.484176944497062</v>
      </c>
      <c r="P591" t="str">
        <f t="shared" si="18"/>
        <v>F</v>
      </c>
      <c r="Q591" t="str">
        <f t="shared" si="19"/>
        <v>F</v>
      </c>
    </row>
    <row r="592" spans="1:17" hidden="1" x14ac:dyDescent="0.3">
      <c r="A592">
        <v>8352</v>
      </c>
      <c r="B592">
        <v>418</v>
      </c>
      <c r="C592">
        <v>71</v>
      </c>
      <c r="D592" t="s">
        <v>23</v>
      </c>
      <c r="E592" t="s">
        <v>20</v>
      </c>
      <c r="F592" t="s">
        <v>17</v>
      </c>
      <c r="G592" t="s">
        <v>24</v>
      </c>
      <c r="H592">
        <v>281</v>
      </c>
      <c r="I592">
        <v>265.5</v>
      </c>
      <c r="J592">
        <v>100.2</v>
      </c>
      <c r="K592">
        <v>66.5</v>
      </c>
      <c r="L592">
        <v>25.2</v>
      </c>
      <c r="M592">
        <v>8</v>
      </c>
      <c r="N592">
        <v>0.17906462922980099</v>
      </c>
      <c r="O592">
        <v>0.13007486186669001</v>
      </c>
      <c r="P592" t="str">
        <f t="shared" si="18"/>
        <v>F</v>
      </c>
      <c r="Q592" t="str">
        <f t="shared" si="19"/>
        <v>T</v>
      </c>
    </row>
    <row r="593" spans="1:17" hidden="1" x14ac:dyDescent="0.3">
      <c r="A593">
        <v>8353</v>
      </c>
      <c r="B593">
        <v>418</v>
      </c>
      <c r="C593">
        <v>71</v>
      </c>
      <c r="D593" t="s">
        <v>23</v>
      </c>
      <c r="E593" t="s">
        <v>20</v>
      </c>
      <c r="F593" t="s">
        <v>17</v>
      </c>
      <c r="G593" t="s">
        <v>24</v>
      </c>
      <c r="H593">
        <v>281</v>
      </c>
      <c r="I593">
        <v>265.5</v>
      </c>
      <c r="J593">
        <v>100.2</v>
      </c>
      <c r="K593">
        <v>66.5</v>
      </c>
      <c r="L593">
        <v>25.2</v>
      </c>
      <c r="M593">
        <v>8</v>
      </c>
      <c r="N593">
        <v>0.17159763152388399</v>
      </c>
      <c r="O593">
        <v>0.15688940661769701</v>
      </c>
      <c r="P593" t="str">
        <f t="shared" si="18"/>
        <v>F</v>
      </c>
      <c r="Q593" t="str">
        <f t="shared" si="19"/>
        <v>T</v>
      </c>
    </row>
    <row r="594" spans="1:17" hidden="1" x14ac:dyDescent="0.3">
      <c r="A594">
        <v>8355</v>
      </c>
      <c r="B594">
        <v>418</v>
      </c>
      <c r="C594">
        <v>71</v>
      </c>
      <c r="D594" t="s">
        <v>23</v>
      </c>
      <c r="E594" t="s">
        <v>20</v>
      </c>
      <c r="F594" t="s">
        <v>17</v>
      </c>
      <c r="G594" t="s">
        <v>24</v>
      </c>
      <c r="H594">
        <v>281</v>
      </c>
      <c r="I594">
        <v>265.5</v>
      </c>
      <c r="J594">
        <v>100.2</v>
      </c>
      <c r="K594">
        <v>66.5</v>
      </c>
      <c r="L594">
        <v>25.2</v>
      </c>
      <c r="M594">
        <v>8</v>
      </c>
      <c r="N594">
        <v>0.153807764833127</v>
      </c>
      <c r="O594">
        <v>0.15881363911683399</v>
      </c>
      <c r="P594" t="str">
        <f t="shared" si="18"/>
        <v>F</v>
      </c>
      <c r="Q594" t="str">
        <f t="shared" si="19"/>
        <v>T</v>
      </c>
    </row>
    <row r="595" spans="1:17" hidden="1" x14ac:dyDescent="0.3">
      <c r="A595">
        <v>8393</v>
      </c>
      <c r="B595">
        <v>436</v>
      </c>
      <c r="C595">
        <v>395</v>
      </c>
      <c r="D595" t="s">
        <v>23</v>
      </c>
      <c r="E595" t="s">
        <v>20</v>
      </c>
      <c r="F595" t="s">
        <v>17</v>
      </c>
      <c r="G595" t="s">
        <v>25</v>
      </c>
      <c r="H595">
        <v>273.60000000000002</v>
      </c>
      <c r="I595">
        <v>247</v>
      </c>
      <c r="J595">
        <v>94</v>
      </c>
      <c r="K595">
        <v>68</v>
      </c>
      <c r="L595">
        <v>26.7</v>
      </c>
      <c r="M595">
        <v>7.5</v>
      </c>
      <c r="N595">
        <v>0.15360947475459499</v>
      </c>
      <c r="O595">
        <v>0.35191397832026</v>
      </c>
      <c r="P595" t="str">
        <f t="shared" si="18"/>
        <v>F</v>
      </c>
      <c r="Q595" t="str">
        <f t="shared" si="19"/>
        <v>F</v>
      </c>
    </row>
    <row r="596" spans="1:17" hidden="1" x14ac:dyDescent="0.3">
      <c r="A596">
        <v>8394</v>
      </c>
      <c r="B596">
        <v>436</v>
      </c>
      <c r="C596">
        <v>395</v>
      </c>
      <c r="D596" t="s">
        <v>23</v>
      </c>
      <c r="E596" t="s">
        <v>20</v>
      </c>
      <c r="F596" t="s">
        <v>17</v>
      </c>
      <c r="G596" t="s">
        <v>25</v>
      </c>
      <c r="H596">
        <v>273.60000000000002</v>
      </c>
      <c r="I596">
        <v>247</v>
      </c>
      <c r="J596">
        <v>94</v>
      </c>
      <c r="K596">
        <v>68</v>
      </c>
      <c r="L596">
        <v>26.7</v>
      </c>
      <c r="M596">
        <v>7.5</v>
      </c>
      <c r="N596">
        <v>0.17428199348061699</v>
      </c>
      <c r="O596">
        <v>0.35021572235895798</v>
      </c>
      <c r="P596" t="str">
        <f t="shared" si="18"/>
        <v>F</v>
      </c>
      <c r="Q596" t="str">
        <f t="shared" si="19"/>
        <v>F</v>
      </c>
    </row>
    <row r="597" spans="1:17" hidden="1" x14ac:dyDescent="0.3">
      <c r="A597">
        <v>8395</v>
      </c>
      <c r="B597">
        <v>436</v>
      </c>
      <c r="C597">
        <v>395</v>
      </c>
      <c r="D597" t="s">
        <v>23</v>
      </c>
      <c r="E597" t="s">
        <v>20</v>
      </c>
      <c r="F597" t="s">
        <v>17</v>
      </c>
      <c r="G597" t="s">
        <v>25</v>
      </c>
      <c r="H597">
        <v>273.60000000000002</v>
      </c>
      <c r="I597">
        <v>247</v>
      </c>
      <c r="J597">
        <v>94</v>
      </c>
      <c r="K597">
        <v>68</v>
      </c>
      <c r="L597">
        <v>26.7</v>
      </c>
      <c r="M597">
        <v>7.5</v>
      </c>
      <c r="N597">
        <v>0.183174671637613</v>
      </c>
      <c r="O597">
        <v>0.32876548717912801</v>
      </c>
      <c r="P597" t="str">
        <f t="shared" si="18"/>
        <v>F</v>
      </c>
      <c r="Q597" t="str">
        <f t="shared" si="19"/>
        <v>F</v>
      </c>
    </row>
    <row r="598" spans="1:17" hidden="1" x14ac:dyDescent="0.3">
      <c r="A598">
        <v>8396</v>
      </c>
      <c r="B598">
        <v>436</v>
      </c>
      <c r="C598">
        <v>395</v>
      </c>
      <c r="D598" t="s">
        <v>23</v>
      </c>
      <c r="E598" t="s">
        <v>20</v>
      </c>
      <c r="F598" t="s">
        <v>17</v>
      </c>
      <c r="G598" t="s">
        <v>25</v>
      </c>
      <c r="H598">
        <v>273.60000000000002</v>
      </c>
      <c r="I598">
        <v>247</v>
      </c>
      <c r="J598">
        <v>94</v>
      </c>
      <c r="K598">
        <v>68</v>
      </c>
      <c r="L598">
        <v>26.7</v>
      </c>
      <c r="M598">
        <v>7.5</v>
      </c>
      <c r="N598">
        <v>0.174476512935478</v>
      </c>
      <c r="O598">
        <v>0.33448712613354398</v>
      </c>
      <c r="P598" t="str">
        <f t="shared" si="18"/>
        <v>F</v>
      </c>
      <c r="Q598" t="str">
        <f t="shared" si="19"/>
        <v>F</v>
      </c>
    </row>
    <row r="599" spans="1:17" hidden="1" x14ac:dyDescent="0.3">
      <c r="A599">
        <v>8503</v>
      </c>
      <c r="B599">
        <v>477</v>
      </c>
      <c r="C599">
        <v>464</v>
      </c>
      <c r="D599" t="s">
        <v>23</v>
      </c>
      <c r="E599" t="s">
        <v>20</v>
      </c>
      <c r="F599" t="s">
        <v>17</v>
      </c>
      <c r="G599" t="s">
        <v>24</v>
      </c>
      <c r="H599">
        <v>280.89999999999998</v>
      </c>
      <c r="I599">
        <v>249</v>
      </c>
      <c r="J599">
        <v>94.7</v>
      </c>
      <c r="K599">
        <v>66</v>
      </c>
      <c r="L599">
        <v>26.1</v>
      </c>
      <c r="M599">
        <v>9</v>
      </c>
      <c r="N599">
        <v>0.16010778563774899</v>
      </c>
      <c r="O599">
        <v>0.15493745371936599</v>
      </c>
      <c r="P599" t="str">
        <f t="shared" si="18"/>
        <v>F</v>
      </c>
      <c r="Q599" t="str">
        <f t="shared" si="19"/>
        <v>T</v>
      </c>
    </row>
    <row r="600" spans="1:17" hidden="1" x14ac:dyDescent="0.3">
      <c r="A600">
        <v>8506</v>
      </c>
      <c r="B600">
        <v>478</v>
      </c>
      <c r="C600">
        <v>351</v>
      </c>
      <c r="D600" t="s">
        <v>23</v>
      </c>
      <c r="E600" t="s">
        <v>20</v>
      </c>
      <c r="F600" t="s">
        <v>17</v>
      </c>
      <c r="G600" t="s">
        <v>22</v>
      </c>
      <c r="H600">
        <v>277.60000000000002</v>
      </c>
      <c r="I600">
        <v>246.5</v>
      </c>
      <c r="J600">
        <v>93.9</v>
      </c>
      <c r="K600">
        <v>67.5</v>
      </c>
      <c r="L600">
        <v>27.5</v>
      </c>
      <c r="M600">
        <v>8</v>
      </c>
      <c r="N600">
        <v>0.15405617287972301</v>
      </c>
      <c r="O600">
        <v>0.306941518452919</v>
      </c>
      <c r="P600" t="str">
        <f t="shared" si="18"/>
        <v>F</v>
      </c>
      <c r="Q600" t="str">
        <f t="shared" si="19"/>
        <v>F</v>
      </c>
    </row>
    <row r="601" spans="1:17" hidden="1" x14ac:dyDescent="0.3">
      <c r="A601">
        <v>8507</v>
      </c>
      <c r="B601">
        <v>478</v>
      </c>
      <c r="C601">
        <v>351</v>
      </c>
      <c r="D601" t="s">
        <v>23</v>
      </c>
      <c r="E601" t="s">
        <v>20</v>
      </c>
      <c r="F601" t="s">
        <v>17</v>
      </c>
      <c r="G601" t="s">
        <v>22</v>
      </c>
      <c r="H601">
        <v>277.60000000000002</v>
      </c>
      <c r="I601">
        <v>246.5</v>
      </c>
      <c r="J601">
        <v>93.9</v>
      </c>
      <c r="K601">
        <v>67.5</v>
      </c>
      <c r="L601">
        <v>27.5</v>
      </c>
      <c r="M601">
        <v>8</v>
      </c>
      <c r="N601">
        <v>0.15328969613072099</v>
      </c>
      <c r="O601">
        <v>0.28507713485038</v>
      </c>
      <c r="P601" t="str">
        <f t="shared" si="18"/>
        <v>F</v>
      </c>
      <c r="Q601" t="str">
        <f t="shared" si="19"/>
        <v>F</v>
      </c>
    </row>
    <row r="602" spans="1:17" hidden="1" x14ac:dyDescent="0.3">
      <c r="A602">
        <v>8508</v>
      </c>
      <c r="B602">
        <v>478</v>
      </c>
      <c r="C602">
        <v>351</v>
      </c>
      <c r="D602" t="s">
        <v>23</v>
      </c>
      <c r="E602" t="s">
        <v>20</v>
      </c>
      <c r="F602" t="s">
        <v>17</v>
      </c>
      <c r="G602" t="s">
        <v>22</v>
      </c>
      <c r="H602">
        <v>277.60000000000002</v>
      </c>
      <c r="I602">
        <v>246.5</v>
      </c>
      <c r="J602">
        <v>93.9</v>
      </c>
      <c r="K602">
        <v>67.5</v>
      </c>
      <c r="L602">
        <v>27.5</v>
      </c>
      <c r="M602">
        <v>8</v>
      </c>
      <c r="N602">
        <v>0.15185478030786101</v>
      </c>
      <c r="O602">
        <v>0.29790175150749798</v>
      </c>
      <c r="P602" t="str">
        <f t="shared" si="18"/>
        <v>F</v>
      </c>
      <c r="Q602" t="str">
        <f t="shared" si="19"/>
        <v>F</v>
      </c>
    </row>
    <row r="603" spans="1:17" hidden="1" x14ac:dyDescent="0.3">
      <c r="A603">
        <v>8511</v>
      </c>
      <c r="B603">
        <v>48</v>
      </c>
      <c r="C603">
        <v>66</v>
      </c>
      <c r="D603" t="s">
        <v>23</v>
      </c>
      <c r="E603" t="s">
        <v>20</v>
      </c>
      <c r="F603" t="s">
        <v>17</v>
      </c>
      <c r="G603" t="s">
        <v>25</v>
      </c>
      <c r="H603">
        <v>276.2</v>
      </c>
      <c r="I603">
        <v>258</v>
      </c>
      <c r="J603">
        <v>95.8</v>
      </c>
      <c r="K603">
        <v>63.5</v>
      </c>
      <c r="L603">
        <v>26.4</v>
      </c>
      <c r="M603">
        <v>7</v>
      </c>
      <c r="N603">
        <v>0.18458414874678</v>
      </c>
      <c r="O603">
        <v>0.23999564270329099</v>
      </c>
      <c r="P603" t="str">
        <f t="shared" si="18"/>
        <v>F</v>
      </c>
      <c r="Q603" t="str">
        <f t="shared" si="19"/>
        <v>T</v>
      </c>
    </row>
    <row r="604" spans="1:17" hidden="1" x14ac:dyDescent="0.3">
      <c r="A604">
        <v>8512</v>
      </c>
      <c r="B604">
        <v>48</v>
      </c>
      <c r="C604">
        <v>66</v>
      </c>
      <c r="D604" t="s">
        <v>23</v>
      </c>
      <c r="E604" t="s">
        <v>20</v>
      </c>
      <c r="F604" t="s">
        <v>17</v>
      </c>
      <c r="G604" t="s">
        <v>25</v>
      </c>
      <c r="H604">
        <v>276.2</v>
      </c>
      <c r="I604">
        <v>258</v>
      </c>
      <c r="J604">
        <v>95.8</v>
      </c>
      <c r="K604">
        <v>63.5</v>
      </c>
      <c r="L604">
        <v>26.4</v>
      </c>
      <c r="M604">
        <v>7</v>
      </c>
      <c r="N604">
        <v>0.17418212279628301</v>
      </c>
      <c r="O604">
        <v>0.24110047588282699</v>
      </c>
      <c r="P604" t="str">
        <f t="shared" si="18"/>
        <v>F</v>
      </c>
      <c r="Q604" t="str">
        <f t="shared" si="19"/>
        <v>T</v>
      </c>
    </row>
    <row r="605" spans="1:17" hidden="1" x14ac:dyDescent="0.3">
      <c r="A605">
        <v>8513</v>
      </c>
      <c r="B605">
        <v>48</v>
      </c>
      <c r="C605">
        <v>66</v>
      </c>
      <c r="D605" t="s">
        <v>23</v>
      </c>
      <c r="E605" t="s">
        <v>20</v>
      </c>
      <c r="F605" t="s">
        <v>17</v>
      </c>
      <c r="G605" t="s">
        <v>25</v>
      </c>
      <c r="H605">
        <v>276.2</v>
      </c>
      <c r="I605">
        <v>258</v>
      </c>
      <c r="J605">
        <v>95.8</v>
      </c>
      <c r="K605">
        <v>63.5</v>
      </c>
      <c r="L605">
        <v>26.4</v>
      </c>
      <c r="M605">
        <v>7</v>
      </c>
      <c r="N605">
        <v>0.150806530865878</v>
      </c>
      <c r="O605">
        <v>0.25222397972391197</v>
      </c>
      <c r="P605" t="str">
        <f t="shared" si="18"/>
        <v>F</v>
      </c>
      <c r="Q605" t="str">
        <f t="shared" si="19"/>
        <v>T</v>
      </c>
    </row>
    <row r="606" spans="1:17" hidden="1" x14ac:dyDescent="0.3">
      <c r="A606">
        <v>8517</v>
      </c>
      <c r="B606">
        <v>481</v>
      </c>
      <c r="C606">
        <v>497</v>
      </c>
      <c r="D606" t="s">
        <v>23</v>
      </c>
      <c r="E606" t="s">
        <v>20</v>
      </c>
      <c r="F606" t="s">
        <v>21</v>
      </c>
      <c r="G606" t="s">
        <v>18</v>
      </c>
      <c r="H606">
        <v>269.7</v>
      </c>
      <c r="I606">
        <v>245</v>
      </c>
      <c r="J606">
        <v>94</v>
      </c>
      <c r="K606">
        <v>67</v>
      </c>
      <c r="L606">
        <v>24.2</v>
      </c>
      <c r="M606">
        <v>9</v>
      </c>
      <c r="N606">
        <v>0.21328067839260201</v>
      </c>
      <c r="O606">
        <v>0.39439926154271898</v>
      </c>
      <c r="P606" t="str">
        <f t="shared" si="18"/>
        <v>F</v>
      </c>
      <c r="Q606" t="str">
        <f t="shared" si="19"/>
        <v>F</v>
      </c>
    </row>
    <row r="607" spans="1:17" hidden="1" x14ac:dyDescent="0.3">
      <c r="A607">
        <v>8518</v>
      </c>
      <c r="B607">
        <v>481</v>
      </c>
      <c r="C607">
        <v>497</v>
      </c>
      <c r="D607" t="s">
        <v>23</v>
      </c>
      <c r="E607" t="s">
        <v>20</v>
      </c>
      <c r="F607" t="s">
        <v>21</v>
      </c>
      <c r="G607" t="s">
        <v>18</v>
      </c>
      <c r="H607">
        <v>269.7</v>
      </c>
      <c r="I607">
        <v>245</v>
      </c>
      <c r="J607">
        <v>94</v>
      </c>
      <c r="K607">
        <v>67</v>
      </c>
      <c r="L607">
        <v>24.2</v>
      </c>
      <c r="M607">
        <v>9</v>
      </c>
      <c r="N607">
        <v>0.20001521216797899</v>
      </c>
      <c r="O607">
        <v>0.36126013242673399</v>
      </c>
      <c r="P607" t="str">
        <f t="shared" si="18"/>
        <v>F</v>
      </c>
      <c r="Q607" t="str">
        <f t="shared" si="19"/>
        <v>F</v>
      </c>
    </row>
    <row r="608" spans="1:17" hidden="1" x14ac:dyDescent="0.3">
      <c r="A608">
        <v>8527</v>
      </c>
      <c r="B608">
        <v>485</v>
      </c>
      <c r="C608">
        <v>453</v>
      </c>
      <c r="D608" t="s">
        <v>23</v>
      </c>
      <c r="E608" t="s">
        <v>20</v>
      </c>
      <c r="F608" t="s">
        <v>17</v>
      </c>
      <c r="G608" t="s">
        <v>22</v>
      </c>
      <c r="H608">
        <v>281.60000000000002</v>
      </c>
      <c r="I608">
        <v>255.5</v>
      </c>
      <c r="J608">
        <v>100.4</v>
      </c>
      <c r="K608">
        <v>70</v>
      </c>
      <c r="L608">
        <v>25.7</v>
      </c>
      <c r="M608">
        <v>10</v>
      </c>
      <c r="N608">
        <v>0.14873370646040099</v>
      </c>
      <c r="O608">
        <v>0.403491031347123</v>
      </c>
      <c r="P608" t="str">
        <f t="shared" si="18"/>
        <v>F</v>
      </c>
      <c r="Q608" t="str">
        <f t="shared" si="19"/>
        <v>F</v>
      </c>
    </row>
    <row r="609" spans="1:17" hidden="1" x14ac:dyDescent="0.3">
      <c r="A609">
        <v>8528</v>
      </c>
      <c r="B609">
        <v>485</v>
      </c>
      <c r="C609">
        <v>453</v>
      </c>
      <c r="D609" t="s">
        <v>23</v>
      </c>
      <c r="E609" t="s">
        <v>20</v>
      </c>
      <c r="F609" t="s">
        <v>17</v>
      </c>
      <c r="G609" t="s">
        <v>22</v>
      </c>
      <c r="H609">
        <v>281.60000000000002</v>
      </c>
      <c r="I609">
        <v>255.5</v>
      </c>
      <c r="J609">
        <v>100.4</v>
      </c>
      <c r="K609">
        <v>70</v>
      </c>
      <c r="L609">
        <v>25.7</v>
      </c>
      <c r="M609">
        <v>10</v>
      </c>
      <c r="N609">
        <v>0.14433539013125399</v>
      </c>
      <c r="O609">
        <v>0.41226840154713701</v>
      </c>
      <c r="P609" t="str">
        <f t="shared" si="18"/>
        <v>F</v>
      </c>
      <c r="Q609" t="str">
        <f t="shared" si="19"/>
        <v>F</v>
      </c>
    </row>
    <row r="610" spans="1:17" hidden="1" x14ac:dyDescent="0.3">
      <c r="A610">
        <v>8549</v>
      </c>
      <c r="B610">
        <v>492</v>
      </c>
      <c r="C610">
        <v>337</v>
      </c>
      <c r="D610" t="s">
        <v>23</v>
      </c>
      <c r="E610" t="s">
        <v>20</v>
      </c>
      <c r="F610" t="s">
        <v>17</v>
      </c>
      <c r="G610" t="s">
        <v>25</v>
      </c>
      <c r="H610">
        <v>279.7</v>
      </c>
      <c r="I610">
        <v>255</v>
      </c>
      <c r="J610">
        <v>95.2</v>
      </c>
      <c r="K610">
        <v>68</v>
      </c>
      <c r="L610">
        <v>25.3</v>
      </c>
      <c r="M610">
        <v>5.5</v>
      </c>
      <c r="N610">
        <v>0.21121357596807999</v>
      </c>
      <c r="O610">
        <v>0.36773604964253298</v>
      </c>
      <c r="P610" t="str">
        <f t="shared" si="18"/>
        <v>F</v>
      </c>
      <c r="Q610" t="str">
        <f t="shared" si="19"/>
        <v>F</v>
      </c>
    </row>
    <row r="611" spans="1:17" hidden="1" x14ac:dyDescent="0.3">
      <c r="A611">
        <v>8550</v>
      </c>
      <c r="B611">
        <v>492</v>
      </c>
      <c r="C611">
        <v>337</v>
      </c>
      <c r="D611" t="s">
        <v>23</v>
      </c>
      <c r="E611" t="s">
        <v>20</v>
      </c>
      <c r="F611" t="s">
        <v>17</v>
      </c>
      <c r="G611" t="s">
        <v>25</v>
      </c>
      <c r="H611">
        <v>279.7</v>
      </c>
      <c r="I611">
        <v>255</v>
      </c>
      <c r="J611">
        <v>95.2</v>
      </c>
      <c r="K611">
        <v>68</v>
      </c>
      <c r="L611">
        <v>25.3</v>
      </c>
      <c r="M611">
        <v>5.5</v>
      </c>
      <c r="N611">
        <v>0.21269490990011</v>
      </c>
      <c r="O611">
        <v>0.34218717811010702</v>
      </c>
      <c r="P611" t="str">
        <f t="shared" si="18"/>
        <v>F</v>
      </c>
      <c r="Q611" t="str">
        <f t="shared" si="19"/>
        <v>F</v>
      </c>
    </row>
    <row r="612" spans="1:17" hidden="1" x14ac:dyDescent="0.3">
      <c r="A612">
        <v>8572</v>
      </c>
      <c r="B612">
        <v>500</v>
      </c>
      <c r="C612">
        <v>261</v>
      </c>
      <c r="D612" t="s">
        <v>23</v>
      </c>
      <c r="E612" t="s">
        <v>20</v>
      </c>
      <c r="F612" t="s">
        <v>21</v>
      </c>
      <c r="G612" t="s">
        <v>18</v>
      </c>
      <c r="H612">
        <v>276.60000000000002</v>
      </c>
      <c r="I612">
        <v>246</v>
      </c>
      <c r="J612">
        <v>96.1</v>
      </c>
      <c r="K612">
        <v>65.5</v>
      </c>
      <c r="L612">
        <v>29.4</v>
      </c>
      <c r="M612">
        <v>12</v>
      </c>
      <c r="N612">
        <v>3.0243559019719798E-2</v>
      </c>
      <c r="O612">
        <v>0.36530459518207498</v>
      </c>
      <c r="P612" t="str">
        <f t="shared" si="18"/>
        <v>T</v>
      </c>
      <c r="Q612" t="str">
        <f t="shared" si="19"/>
        <v>F</v>
      </c>
    </row>
    <row r="613" spans="1:17" hidden="1" x14ac:dyDescent="0.3">
      <c r="A613">
        <v>8573</v>
      </c>
      <c r="B613">
        <v>500</v>
      </c>
      <c r="C613">
        <v>261</v>
      </c>
      <c r="D613" t="s">
        <v>23</v>
      </c>
      <c r="E613" t="s">
        <v>20</v>
      </c>
      <c r="F613" t="s">
        <v>21</v>
      </c>
      <c r="G613" t="s">
        <v>18</v>
      </c>
      <c r="H613">
        <v>276.60000000000002</v>
      </c>
      <c r="I613">
        <v>246</v>
      </c>
      <c r="J613">
        <v>96.1</v>
      </c>
      <c r="K613">
        <v>65.5</v>
      </c>
      <c r="L613">
        <v>29.4</v>
      </c>
      <c r="M613">
        <v>12</v>
      </c>
      <c r="N613">
        <v>4.7587819411003901E-2</v>
      </c>
      <c r="O613">
        <v>0.342383222303415</v>
      </c>
      <c r="P613" t="str">
        <f t="shared" si="18"/>
        <v>T</v>
      </c>
      <c r="Q613" t="str">
        <f t="shared" si="19"/>
        <v>F</v>
      </c>
    </row>
    <row r="614" spans="1:17" hidden="1" x14ac:dyDescent="0.3">
      <c r="A614">
        <v>8574</v>
      </c>
      <c r="B614">
        <v>500</v>
      </c>
      <c r="C614">
        <v>261</v>
      </c>
      <c r="D614" t="s">
        <v>23</v>
      </c>
      <c r="E614" t="s">
        <v>20</v>
      </c>
      <c r="F614" t="s">
        <v>21</v>
      </c>
      <c r="G614" t="s">
        <v>18</v>
      </c>
      <c r="H614">
        <v>276.60000000000002</v>
      </c>
      <c r="I614">
        <v>246</v>
      </c>
      <c r="J614">
        <v>96.1</v>
      </c>
      <c r="K614">
        <v>65.5</v>
      </c>
      <c r="L614">
        <v>29.4</v>
      </c>
      <c r="M614">
        <v>12</v>
      </c>
      <c r="N614">
        <v>3.5860286328331603E-2</v>
      </c>
      <c r="O614">
        <v>0.33538438613664001</v>
      </c>
      <c r="P614" t="str">
        <f t="shared" si="18"/>
        <v>T</v>
      </c>
      <c r="Q614" t="str">
        <f t="shared" si="19"/>
        <v>F</v>
      </c>
    </row>
    <row r="615" spans="1:17" hidden="1" x14ac:dyDescent="0.3">
      <c r="A615">
        <v>8575</v>
      </c>
      <c r="B615">
        <v>500</v>
      </c>
      <c r="C615">
        <v>261</v>
      </c>
      <c r="D615" t="s">
        <v>23</v>
      </c>
      <c r="E615" t="s">
        <v>20</v>
      </c>
      <c r="F615" t="s">
        <v>21</v>
      </c>
      <c r="G615" t="s">
        <v>18</v>
      </c>
      <c r="H615">
        <v>276.60000000000002</v>
      </c>
      <c r="I615">
        <v>246</v>
      </c>
      <c r="J615">
        <v>96.1</v>
      </c>
      <c r="K615">
        <v>65.5</v>
      </c>
      <c r="L615">
        <v>29.4</v>
      </c>
      <c r="M615">
        <v>12</v>
      </c>
      <c r="N615">
        <v>2.5852811497372601E-2</v>
      </c>
      <c r="O615">
        <v>0.34246572262382602</v>
      </c>
      <c r="P615" t="str">
        <f t="shared" si="18"/>
        <v>T</v>
      </c>
      <c r="Q615" t="str">
        <f t="shared" si="19"/>
        <v>F</v>
      </c>
    </row>
    <row r="616" spans="1:17" hidden="1" x14ac:dyDescent="0.3">
      <c r="A616">
        <v>8588</v>
      </c>
      <c r="B616">
        <v>504</v>
      </c>
      <c r="C616">
        <v>497</v>
      </c>
      <c r="D616" t="s">
        <v>23</v>
      </c>
      <c r="E616" t="s">
        <v>20</v>
      </c>
      <c r="F616" t="s">
        <v>17</v>
      </c>
      <c r="G616" t="s">
        <v>26</v>
      </c>
      <c r="H616">
        <v>269.7</v>
      </c>
      <c r="I616">
        <v>245</v>
      </c>
      <c r="J616">
        <v>94</v>
      </c>
      <c r="K616">
        <v>67</v>
      </c>
      <c r="L616">
        <v>24.2</v>
      </c>
      <c r="M616">
        <v>9</v>
      </c>
      <c r="N616">
        <v>0.21897656161429799</v>
      </c>
      <c r="O616">
        <v>0.37870352908071298</v>
      </c>
      <c r="P616" t="str">
        <f t="shared" si="18"/>
        <v>F</v>
      </c>
      <c r="Q616" t="str">
        <f t="shared" si="19"/>
        <v>F</v>
      </c>
    </row>
    <row r="617" spans="1:17" hidden="1" x14ac:dyDescent="0.3">
      <c r="A617">
        <v>8589</v>
      </c>
      <c r="B617">
        <v>504</v>
      </c>
      <c r="C617">
        <v>497</v>
      </c>
      <c r="D617" t="s">
        <v>23</v>
      </c>
      <c r="E617" t="s">
        <v>20</v>
      </c>
      <c r="F617" t="s">
        <v>17</v>
      </c>
      <c r="G617" t="s">
        <v>26</v>
      </c>
      <c r="H617">
        <v>269.7</v>
      </c>
      <c r="I617">
        <v>245</v>
      </c>
      <c r="J617">
        <v>94</v>
      </c>
      <c r="K617">
        <v>67</v>
      </c>
      <c r="L617">
        <v>24.2</v>
      </c>
      <c r="M617">
        <v>9</v>
      </c>
      <c r="N617">
        <v>0.20175360047287799</v>
      </c>
      <c r="O617">
        <v>0.38936947623721302</v>
      </c>
      <c r="P617" t="str">
        <f t="shared" si="18"/>
        <v>F</v>
      </c>
      <c r="Q617" t="str">
        <f t="shared" si="19"/>
        <v>F</v>
      </c>
    </row>
    <row r="618" spans="1:17" hidden="1" x14ac:dyDescent="0.3">
      <c r="A618">
        <v>8590</v>
      </c>
      <c r="B618">
        <v>504</v>
      </c>
      <c r="C618">
        <v>497</v>
      </c>
      <c r="D618" t="s">
        <v>23</v>
      </c>
      <c r="E618" t="s">
        <v>20</v>
      </c>
      <c r="F618" t="s">
        <v>17</v>
      </c>
      <c r="G618" t="s">
        <v>26</v>
      </c>
      <c r="H618">
        <v>269.7</v>
      </c>
      <c r="I618">
        <v>245</v>
      </c>
      <c r="J618">
        <v>94</v>
      </c>
      <c r="K618">
        <v>67</v>
      </c>
      <c r="L618">
        <v>24.2</v>
      </c>
      <c r="M618">
        <v>9</v>
      </c>
      <c r="N618">
        <v>0.21874943732872101</v>
      </c>
      <c r="O618">
        <v>0.37332104142932498</v>
      </c>
      <c r="P618" t="str">
        <f t="shared" si="18"/>
        <v>F</v>
      </c>
      <c r="Q618" t="str">
        <f t="shared" si="19"/>
        <v>F</v>
      </c>
    </row>
    <row r="619" spans="1:17" hidden="1" x14ac:dyDescent="0.3">
      <c r="A619">
        <v>8625</v>
      </c>
      <c r="B619">
        <v>517</v>
      </c>
      <c r="C619">
        <v>154</v>
      </c>
      <c r="D619" t="s">
        <v>23</v>
      </c>
      <c r="E619" t="s">
        <v>20</v>
      </c>
      <c r="F619" t="s">
        <v>17</v>
      </c>
      <c r="G619" t="s">
        <v>26</v>
      </c>
      <c r="H619">
        <v>278.39999999999998</v>
      </c>
      <c r="I619">
        <v>245</v>
      </c>
      <c r="J619">
        <v>94.5</v>
      </c>
      <c r="K619">
        <v>64</v>
      </c>
      <c r="L619">
        <v>25.4</v>
      </c>
      <c r="M619">
        <v>10.5</v>
      </c>
      <c r="N619">
        <v>0.13972640724920199</v>
      </c>
      <c r="O619">
        <v>0.33497361923234797</v>
      </c>
      <c r="P619" t="str">
        <f t="shared" si="18"/>
        <v>F</v>
      </c>
      <c r="Q619" t="str">
        <f t="shared" si="19"/>
        <v>F</v>
      </c>
    </row>
    <row r="620" spans="1:17" hidden="1" x14ac:dyDescent="0.3">
      <c r="A620">
        <v>8626</v>
      </c>
      <c r="B620">
        <v>517</v>
      </c>
      <c r="C620">
        <v>154</v>
      </c>
      <c r="D620" t="s">
        <v>23</v>
      </c>
      <c r="E620" t="s">
        <v>20</v>
      </c>
      <c r="F620" t="s">
        <v>17</v>
      </c>
      <c r="G620" t="s">
        <v>26</v>
      </c>
      <c r="H620">
        <v>278.39999999999998</v>
      </c>
      <c r="I620">
        <v>245</v>
      </c>
      <c r="J620">
        <v>94.5</v>
      </c>
      <c r="K620">
        <v>64</v>
      </c>
      <c r="L620">
        <v>25.4</v>
      </c>
      <c r="M620">
        <v>10.5</v>
      </c>
      <c r="N620">
        <v>0.117296298314984</v>
      </c>
      <c r="O620">
        <v>0.33046206781068699</v>
      </c>
      <c r="P620" t="str">
        <f t="shared" si="18"/>
        <v>F</v>
      </c>
      <c r="Q620" t="str">
        <f t="shared" si="19"/>
        <v>F</v>
      </c>
    </row>
    <row r="621" spans="1:17" hidden="1" x14ac:dyDescent="0.3">
      <c r="A621">
        <v>8627</v>
      </c>
      <c r="B621">
        <v>517</v>
      </c>
      <c r="C621">
        <v>154</v>
      </c>
      <c r="D621" t="s">
        <v>23</v>
      </c>
      <c r="E621" t="s">
        <v>20</v>
      </c>
      <c r="F621" t="s">
        <v>17</v>
      </c>
      <c r="G621" t="s">
        <v>26</v>
      </c>
      <c r="H621">
        <v>278.39999999999998</v>
      </c>
      <c r="I621">
        <v>245</v>
      </c>
      <c r="J621">
        <v>94.5</v>
      </c>
      <c r="K621">
        <v>64</v>
      </c>
      <c r="L621">
        <v>25.4</v>
      </c>
      <c r="M621">
        <v>10.5</v>
      </c>
      <c r="N621">
        <v>0.126143419217736</v>
      </c>
      <c r="O621">
        <v>0.32747266788021101</v>
      </c>
      <c r="P621" t="str">
        <f t="shared" si="18"/>
        <v>F</v>
      </c>
      <c r="Q621" t="str">
        <f t="shared" si="19"/>
        <v>F</v>
      </c>
    </row>
    <row r="622" spans="1:17" hidden="1" x14ac:dyDescent="0.3">
      <c r="A622">
        <v>8657</v>
      </c>
      <c r="B622">
        <v>527</v>
      </c>
      <c r="C622">
        <v>110</v>
      </c>
      <c r="D622" t="s">
        <v>23</v>
      </c>
      <c r="E622" t="s">
        <v>20</v>
      </c>
      <c r="F622" t="s">
        <v>17</v>
      </c>
      <c r="G622" t="s">
        <v>26</v>
      </c>
      <c r="H622">
        <v>271.3</v>
      </c>
      <c r="I622">
        <v>247.5</v>
      </c>
      <c r="J622">
        <v>95</v>
      </c>
      <c r="K622">
        <v>65.5</v>
      </c>
      <c r="L622">
        <v>24.5</v>
      </c>
      <c r="M622">
        <v>8</v>
      </c>
      <c r="N622">
        <v>0.21756261280963399</v>
      </c>
      <c r="O622">
        <v>0.35324316654916099</v>
      </c>
      <c r="P622" t="str">
        <f t="shared" si="18"/>
        <v>F</v>
      </c>
      <c r="Q622" t="str">
        <f t="shared" si="19"/>
        <v>F</v>
      </c>
    </row>
    <row r="623" spans="1:17" hidden="1" x14ac:dyDescent="0.3">
      <c r="A623">
        <v>8658</v>
      </c>
      <c r="B623">
        <v>527</v>
      </c>
      <c r="C623">
        <v>110</v>
      </c>
      <c r="D623" t="s">
        <v>23</v>
      </c>
      <c r="E623" t="s">
        <v>20</v>
      </c>
      <c r="F623" t="s">
        <v>17</v>
      </c>
      <c r="G623" t="s">
        <v>26</v>
      </c>
      <c r="H623">
        <v>271.3</v>
      </c>
      <c r="I623">
        <v>247.5</v>
      </c>
      <c r="J623">
        <v>95</v>
      </c>
      <c r="K623">
        <v>65.5</v>
      </c>
      <c r="L623">
        <v>24.5</v>
      </c>
      <c r="M623">
        <v>8</v>
      </c>
      <c r="N623">
        <v>0.226838113989763</v>
      </c>
      <c r="O623">
        <v>0.35205468548582702</v>
      </c>
      <c r="P623" t="str">
        <f t="shared" si="18"/>
        <v>F</v>
      </c>
      <c r="Q623" t="str">
        <f t="shared" si="19"/>
        <v>F</v>
      </c>
    </row>
    <row r="624" spans="1:17" hidden="1" x14ac:dyDescent="0.3">
      <c r="A624">
        <v>8659</v>
      </c>
      <c r="B624">
        <v>527</v>
      </c>
      <c r="C624">
        <v>110</v>
      </c>
      <c r="D624" t="s">
        <v>23</v>
      </c>
      <c r="E624" t="s">
        <v>20</v>
      </c>
      <c r="F624" t="s">
        <v>17</v>
      </c>
      <c r="G624" t="s">
        <v>26</v>
      </c>
      <c r="H624">
        <v>271.3</v>
      </c>
      <c r="I624">
        <v>247.5</v>
      </c>
      <c r="J624">
        <v>95</v>
      </c>
      <c r="K624">
        <v>65.5</v>
      </c>
      <c r="L624">
        <v>24.5</v>
      </c>
      <c r="M624">
        <v>8</v>
      </c>
      <c r="N624">
        <v>0.20963033883349899</v>
      </c>
      <c r="O624">
        <v>0.33728768100987</v>
      </c>
      <c r="P624" t="str">
        <f t="shared" si="18"/>
        <v>F</v>
      </c>
      <c r="Q624" t="str">
        <f t="shared" si="19"/>
        <v>F</v>
      </c>
    </row>
    <row r="625" spans="1:17" hidden="1" x14ac:dyDescent="0.3">
      <c r="A625">
        <v>8684</v>
      </c>
      <c r="B625">
        <v>536</v>
      </c>
      <c r="C625">
        <v>385</v>
      </c>
      <c r="D625" t="s">
        <v>23</v>
      </c>
      <c r="E625" t="s">
        <v>20</v>
      </c>
      <c r="F625" t="s">
        <v>21</v>
      </c>
      <c r="G625" t="s">
        <v>26</v>
      </c>
      <c r="H625">
        <v>270</v>
      </c>
      <c r="I625">
        <v>256</v>
      </c>
      <c r="J625">
        <v>97.2</v>
      </c>
      <c r="K625">
        <v>65.5</v>
      </c>
      <c r="L625">
        <v>26</v>
      </c>
      <c r="M625">
        <v>8</v>
      </c>
      <c r="N625">
        <v>0.20978127130176299</v>
      </c>
      <c r="O625">
        <v>0.36698611902381501</v>
      </c>
      <c r="P625" t="str">
        <f t="shared" si="18"/>
        <v>F</v>
      </c>
      <c r="Q625" t="str">
        <f t="shared" si="19"/>
        <v>F</v>
      </c>
    </row>
    <row r="626" spans="1:17" hidden="1" x14ac:dyDescent="0.3">
      <c r="A626">
        <v>8685</v>
      </c>
      <c r="B626">
        <v>536</v>
      </c>
      <c r="C626">
        <v>385</v>
      </c>
      <c r="D626" t="s">
        <v>23</v>
      </c>
      <c r="E626" t="s">
        <v>20</v>
      </c>
      <c r="F626" t="s">
        <v>21</v>
      </c>
      <c r="G626" t="s">
        <v>26</v>
      </c>
      <c r="H626">
        <v>270</v>
      </c>
      <c r="I626">
        <v>256</v>
      </c>
      <c r="J626">
        <v>97.2</v>
      </c>
      <c r="K626">
        <v>65.5</v>
      </c>
      <c r="L626">
        <v>26</v>
      </c>
      <c r="M626">
        <v>8</v>
      </c>
      <c r="N626">
        <v>0.184642914399127</v>
      </c>
      <c r="O626">
        <v>0.37337177439563002</v>
      </c>
      <c r="P626" t="str">
        <f t="shared" si="18"/>
        <v>F</v>
      </c>
      <c r="Q626" t="str">
        <f t="shared" si="19"/>
        <v>F</v>
      </c>
    </row>
    <row r="627" spans="1:17" hidden="1" x14ac:dyDescent="0.3">
      <c r="A627">
        <v>8703</v>
      </c>
      <c r="B627">
        <v>541</v>
      </c>
      <c r="C627">
        <v>95</v>
      </c>
      <c r="D627" t="s">
        <v>23</v>
      </c>
      <c r="E627" t="s">
        <v>20</v>
      </c>
      <c r="F627" t="s">
        <v>17</v>
      </c>
      <c r="G627" t="s">
        <v>18</v>
      </c>
      <c r="H627">
        <v>276.60000000000002</v>
      </c>
      <c r="I627">
        <v>250.5</v>
      </c>
      <c r="J627">
        <v>100</v>
      </c>
      <c r="K627">
        <v>67</v>
      </c>
      <c r="L627">
        <v>28.2</v>
      </c>
      <c r="M627">
        <v>6.5</v>
      </c>
      <c r="N627">
        <v>8.4705989519223396E-2</v>
      </c>
      <c r="O627">
        <v>0.30432998551026502</v>
      </c>
      <c r="P627" t="str">
        <f t="shared" si="18"/>
        <v>T</v>
      </c>
      <c r="Q627" t="str">
        <f t="shared" si="19"/>
        <v>F</v>
      </c>
    </row>
    <row r="628" spans="1:17" hidden="1" x14ac:dyDescent="0.3">
      <c r="A628">
        <v>8704</v>
      </c>
      <c r="B628">
        <v>541</v>
      </c>
      <c r="C628">
        <v>95</v>
      </c>
      <c r="D628" t="s">
        <v>23</v>
      </c>
      <c r="E628" t="s">
        <v>20</v>
      </c>
      <c r="F628" t="s">
        <v>17</v>
      </c>
      <c r="G628" t="s">
        <v>18</v>
      </c>
      <c r="H628">
        <v>276.60000000000002</v>
      </c>
      <c r="I628">
        <v>250.5</v>
      </c>
      <c r="J628">
        <v>100</v>
      </c>
      <c r="K628">
        <v>67</v>
      </c>
      <c r="L628">
        <v>28.2</v>
      </c>
      <c r="M628">
        <v>6.5</v>
      </c>
      <c r="N628">
        <v>0.10890429363566401</v>
      </c>
      <c r="O628">
        <v>0.337161330321819</v>
      </c>
      <c r="P628" t="str">
        <f t="shared" si="18"/>
        <v>F</v>
      </c>
      <c r="Q628" t="str">
        <f t="shared" si="19"/>
        <v>F</v>
      </c>
    </row>
    <row r="629" spans="1:17" hidden="1" x14ac:dyDescent="0.3">
      <c r="A629">
        <v>8705</v>
      </c>
      <c r="B629">
        <v>541</v>
      </c>
      <c r="C629">
        <v>95</v>
      </c>
      <c r="D629" t="s">
        <v>23</v>
      </c>
      <c r="E629" t="s">
        <v>20</v>
      </c>
      <c r="F629" t="s">
        <v>17</v>
      </c>
      <c r="G629" t="s">
        <v>18</v>
      </c>
      <c r="H629">
        <v>276.60000000000002</v>
      </c>
      <c r="I629">
        <v>250.5</v>
      </c>
      <c r="J629">
        <v>100</v>
      </c>
      <c r="K629">
        <v>67</v>
      </c>
      <c r="L629">
        <v>28.2</v>
      </c>
      <c r="M629">
        <v>6.5</v>
      </c>
      <c r="N629">
        <v>8.1557914336665996E-2</v>
      </c>
      <c r="O629">
        <v>0.317985223625953</v>
      </c>
      <c r="P629" t="str">
        <f t="shared" si="18"/>
        <v>T</v>
      </c>
      <c r="Q629" t="str">
        <f t="shared" si="19"/>
        <v>F</v>
      </c>
    </row>
    <row r="630" spans="1:17" hidden="1" x14ac:dyDescent="0.3">
      <c r="A630">
        <v>8706</v>
      </c>
      <c r="B630">
        <v>541</v>
      </c>
      <c r="C630">
        <v>95</v>
      </c>
      <c r="D630" t="s">
        <v>23</v>
      </c>
      <c r="E630" t="s">
        <v>20</v>
      </c>
      <c r="F630" t="s">
        <v>17</v>
      </c>
      <c r="G630" t="s">
        <v>18</v>
      </c>
      <c r="H630">
        <v>276.60000000000002</v>
      </c>
      <c r="I630">
        <v>250.5</v>
      </c>
      <c r="J630">
        <v>100</v>
      </c>
      <c r="K630">
        <v>67</v>
      </c>
      <c r="L630">
        <v>28.2</v>
      </c>
      <c r="M630">
        <v>6.5</v>
      </c>
      <c r="N630">
        <v>0.100292903499468</v>
      </c>
      <c r="O630">
        <v>0.34085105123702403</v>
      </c>
      <c r="P630" t="str">
        <f t="shared" si="18"/>
        <v>T</v>
      </c>
      <c r="Q630" t="str">
        <f t="shared" si="19"/>
        <v>F</v>
      </c>
    </row>
    <row r="631" spans="1:17" hidden="1" x14ac:dyDescent="0.3">
      <c r="A631">
        <v>8712</v>
      </c>
      <c r="B631">
        <v>548</v>
      </c>
      <c r="C631">
        <v>26</v>
      </c>
      <c r="D631" t="s">
        <v>23</v>
      </c>
      <c r="E631" t="s">
        <v>20</v>
      </c>
      <c r="F631" t="s">
        <v>21</v>
      </c>
      <c r="G631" t="s">
        <v>25</v>
      </c>
      <c r="H631">
        <v>270.5</v>
      </c>
      <c r="I631">
        <v>243.5</v>
      </c>
      <c r="J631">
        <v>95.9</v>
      </c>
      <c r="K631">
        <v>66</v>
      </c>
      <c r="L631">
        <v>26.9</v>
      </c>
      <c r="M631">
        <v>6</v>
      </c>
      <c r="N631">
        <v>0.18811243563246099</v>
      </c>
      <c r="O631">
        <v>0.39933842343361903</v>
      </c>
      <c r="P631" t="str">
        <f t="shared" si="18"/>
        <v>F</v>
      </c>
      <c r="Q631" t="str">
        <f t="shared" si="19"/>
        <v>F</v>
      </c>
    </row>
    <row r="632" spans="1:17" hidden="1" x14ac:dyDescent="0.3">
      <c r="A632">
        <v>8713</v>
      </c>
      <c r="B632">
        <v>548</v>
      </c>
      <c r="C632">
        <v>26</v>
      </c>
      <c r="D632" t="s">
        <v>23</v>
      </c>
      <c r="E632" t="s">
        <v>20</v>
      </c>
      <c r="F632" t="s">
        <v>21</v>
      </c>
      <c r="G632" t="s">
        <v>25</v>
      </c>
      <c r="H632">
        <v>270.5</v>
      </c>
      <c r="I632">
        <v>243.5</v>
      </c>
      <c r="J632">
        <v>95.9</v>
      </c>
      <c r="K632">
        <v>66</v>
      </c>
      <c r="L632">
        <v>26.9</v>
      </c>
      <c r="M632">
        <v>6</v>
      </c>
      <c r="N632">
        <v>0.17507097949730899</v>
      </c>
      <c r="O632">
        <v>0.36731121801574002</v>
      </c>
      <c r="P632" t="str">
        <f t="shared" si="18"/>
        <v>F</v>
      </c>
      <c r="Q632" t="str">
        <f t="shared" si="19"/>
        <v>F</v>
      </c>
    </row>
    <row r="633" spans="1:17" hidden="1" x14ac:dyDescent="0.3">
      <c r="A633">
        <v>8714</v>
      </c>
      <c r="B633">
        <v>548</v>
      </c>
      <c r="C633">
        <v>26</v>
      </c>
      <c r="D633" t="s">
        <v>23</v>
      </c>
      <c r="E633" t="s">
        <v>20</v>
      </c>
      <c r="F633" t="s">
        <v>21</v>
      </c>
      <c r="G633" t="s">
        <v>25</v>
      </c>
      <c r="H633">
        <v>270.5</v>
      </c>
      <c r="I633">
        <v>243.5</v>
      </c>
      <c r="J633">
        <v>95.9</v>
      </c>
      <c r="K633">
        <v>66</v>
      </c>
      <c r="L633">
        <v>26.9</v>
      </c>
      <c r="M633">
        <v>6</v>
      </c>
      <c r="N633">
        <v>0.20391525224592899</v>
      </c>
      <c r="O633">
        <v>0.38659031247583198</v>
      </c>
      <c r="P633" t="str">
        <f t="shared" si="18"/>
        <v>F</v>
      </c>
      <c r="Q633" t="str">
        <f t="shared" si="19"/>
        <v>F</v>
      </c>
    </row>
    <row r="634" spans="1:17" hidden="1" x14ac:dyDescent="0.3">
      <c r="A634">
        <v>8715</v>
      </c>
      <c r="B634">
        <v>548</v>
      </c>
      <c r="C634">
        <v>26</v>
      </c>
      <c r="D634" t="s">
        <v>23</v>
      </c>
      <c r="E634" t="s">
        <v>20</v>
      </c>
      <c r="F634" t="s">
        <v>21</v>
      </c>
      <c r="G634" t="s">
        <v>25</v>
      </c>
      <c r="H634">
        <v>270.5</v>
      </c>
      <c r="I634">
        <v>243.5</v>
      </c>
      <c r="J634">
        <v>95.9</v>
      </c>
      <c r="K634">
        <v>66</v>
      </c>
      <c r="L634">
        <v>26.9</v>
      </c>
      <c r="M634">
        <v>6</v>
      </c>
      <c r="N634">
        <v>0.19416879427105499</v>
      </c>
      <c r="O634">
        <v>0.37968350117008698</v>
      </c>
      <c r="P634" t="str">
        <f t="shared" si="18"/>
        <v>F</v>
      </c>
      <c r="Q634" t="str">
        <f t="shared" si="19"/>
        <v>F</v>
      </c>
    </row>
    <row r="635" spans="1:17" hidden="1" x14ac:dyDescent="0.3">
      <c r="A635">
        <v>8716</v>
      </c>
      <c r="B635">
        <v>548</v>
      </c>
      <c r="C635">
        <v>26</v>
      </c>
      <c r="D635" t="s">
        <v>23</v>
      </c>
      <c r="E635" t="s">
        <v>20</v>
      </c>
      <c r="F635" t="s">
        <v>21</v>
      </c>
      <c r="G635" t="s">
        <v>25</v>
      </c>
      <c r="H635">
        <v>270.5</v>
      </c>
      <c r="I635">
        <v>243.5</v>
      </c>
      <c r="J635">
        <v>95.9</v>
      </c>
      <c r="K635">
        <v>66</v>
      </c>
      <c r="L635">
        <v>26.9</v>
      </c>
      <c r="M635">
        <v>6</v>
      </c>
      <c r="N635">
        <v>0.19763998203823699</v>
      </c>
      <c r="O635">
        <v>0.37518796070556498</v>
      </c>
      <c r="P635" t="str">
        <f t="shared" si="18"/>
        <v>F</v>
      </c>
      <c r="Q635" t="str">
        <f t="shared" si="19"/>
        <v>F</v>
      </c>
    </row>
    <row r="636" spans="1:17" hidden="1" x14ac:dyDescent="0.3">
      <c r="A636">
        <v>8790</v>
      </c>
      <c r="B636">
        <v>571</v>
      </c>
      <c r="C636">
        <v>122</v>
      </c>
      <c r="D636" t="s">
        <v>23</v>
      </c>
      <c r="E636" t="s">
        <v>20</v>
      </c>
      <c r="F636" t="s">
        <v>21</v>
      </c>
      <c r="G636" t="s">
        <v>25</v>
      </c>
      <c r="H636">
        <v>276.60000000000002</v>
      </c>
      <c r="I636">
        <v>246.5</v>
      </c>
      <c r="J636">
        <v>96.7</v>
      </c>
      <c r="K636">
        <v>65.5</v>
      </c>
      <c r="L636">
        <v>30.9</v>
      </c>
      <c r="M636">
        <v>8.5</v>
      </c>
      <c r="N636">
        <v>7.6073882395860604E-2</v>
      </c>
      <c r="O636">
        <v>0.28880519920438502</v>
      </c>
      <c r="P636" t="str">
        <f t="shared" si="18"/>
        <v>T</v>
      </c>
      <c r="Q636" t="str">
        <f t="shared" si="19"/>
        <v>F</v>
      </c>
    </row>
    <row r="637" spans="1:17" hidden="1" x14ac:dyDescent="0.3">
      <c r="A637">
        <v>8793</v>
      </c>
      <c r="B637">
        <v>573</v>
      </c>
      <c r="C637">
        <v>497</v>
      </c>
      <c r="D637" t="s">
        <v>23</v>
      </c>
      <c r="E637" t="s">
        <v>20</v>
      </c>
      <c r="F637" t="s">
        <v>17</v>
      </c>
      <c r="G637" t="s">
        <v>24</v>
      </c>
      <c r="H637">
        <v>269.7</v>
      </c>
      <c r="I637">
        <v>245</v>
      </c>
      <c r="J637">
        <v>94</v>
      </c>
      <c r="K637">
        <v>67</v>
      </c>
      <c r="L637">
        <v>24.2</v>
      </c>
      <c r="M637">
        <v>9</v>
      </c>
      <c r="N637">
        <v>0.210532477344404</v>
      </c>
      <c r="O637">
        <v>0.37261843427462898</v>
      </c>
      <c r="P637" t="str">
        <f t="shared" si="18"/>
        <v>F</v>
      </c>
      <c r="Q637" t="str">
        <f t="shared" si="19"/>
        <v>F</v>
      </c>
    </row>
    <row r="638" spans="1:17" hidden="1" x14ac:dyDescent="0.3">
      <c r="A638">
        <v>8794</v>
      </c>
      <c r="B638">
        <v>573</v>
      </c>
      <c r="C638">
        <v>497</v>
      </c>
      <c r="D638" t="s">
        <v>23</v>
      </c>
      <c r="E638" t="s">
        <v>20</v>
      </c>
      <c r="F638" t="s">
        <v>17</v>
      </c>
      <c r="G638" t="s">
        <v>24</v>
      </c>
      <c r="H638">
        <v>269.7</v>
      </c>
      <c r="I638">
        <v>245</v>
      </c>
      <c r="J638">
        <v>94</v>
      </c>
      <c r="K638">
        <v>67</v>
      </c>
      <c r="L638">
        <v>24.2</v>
      </c>
      <c r="M638">
        <v>9</v>
      </c>
      <c r="N638">
        <v>0.21033895206124301</v>
      </c>
      <c r="O638">
        <v>0.36601037958371602</v>
      </c>
      <c r="P638" t="str">
        <f t="shared" si="18"/>
        <v>F</v>
      </c>
      <c r="Q638" t="str">
        <f t="shared" si="19"/>
        <v>F</v>
      </c>
    </row>
    <row r="639" spans="1:17" hidden="1" x14ac:dyDescent="0.3">
      <c r="A639">
        <v>8795</v>
      </c>
      <c r="B639">
        <v>574</v>
      </c>
      <c r="C639">
        <v>66</v>
      </c>
      <c r="D639" t="s">
        <v>23</v>
      </c>
      <c r="E639" t="s">
        <v>20</v>
      </c>
      <c r="F639" t="s">
        <v>21</v>
      </c>
      <c r="G639" t="s">
        <v>18</v>
      </c>
      <c r="H639">
        <v>276.2</v>
      </c>
      <c r="I639">
        <v>258</v>
      </c>
      <c r="J639">
        <v>95.8</v>
      </c>
      <c r="K639">
        <v>63.5</v>
      </c>
      <c r="L639">
        <v>26.4</v>
      </c>
      <c r="M639">
        <v>7</v>
      </c>
      <c r="N639">
        <v>0.17234172241163701</v>
      </c>
      <c r="O639">
        <v>0.27207313524529902</v>
      </c>
      <c r="P639" t="str">
        <f t="shared" si="18"/>
        <v>F</v>
      </c>
      <c r="Q639" t="str">
        <f t="shared" si="19"/>
        <v>F</v>
      </c>
    </row>
    <row r="640" spans="1:17" hidden="1" x14ac:dyDescent="0.3">
      <c r="A640">
        <v>8798</v>
      </c>
      <c r="B640">
        <v>577</v>
      </c>
      <c r="C640">
        <v>497</v>
      </c>
      <c r="D640" t="s">
        <v>23</v>
      </c>
      <c r="E640" t="s">
        <v>20</v>
      </c>
      <c r="F640" t="s">
        <v>17</v>
      </c>
      <c r="G640" t="s">
        <v>25</v>
      </c>
      <c r="H640">
        <v>269.7</v>
      </c>
      <c r="I640">
        <v>245</v>
      </c>
      <c r="J640">
        <v>94</v>
      </c>
      <c r="K640">
        <v>67</v>
      </c>
      <c r="L640">
        <v>24.2</v>
      </c>
      <c r="M640">
        <v>9</v>
      </c>
      <c r="N640">
        <v>0.22298978488792101</v>
      </c>
      <c r="O640">
        <v>0.39180957144422202</v>
      </c>
      <c r="P640" t="str">
        <f t="shared" si="18"/>
        <v>F</v>
      </c>
      <c r="Q640" t="str">
        <f t="shared" si="19"/>
        <v>F</v>
      </c>
    </row>
    <row r="641" spans="1:17" hidden="1" x14ac:dyDescent="0.3">
      <c r="A641">
        <v>8799</v>
      </c>
      <c r="B641">
        <v>577</v>
      </c>
      <c r="C641">
        <v>497</v>
      </c>
      <c r="D641" t="s">
        <v>23</v>
      </c>
      <c r="E641" t="s">
        <v>20</v>
      </c>
      <c r="F641" t="s">
        <v>17</v>
      </c>
      <c r="G641" t="s">
        <v>25</v>
      </c>
      <c r="H641">
        <v>269.7</v>
      </c>
      <c r="I641">
        <v>245</v>
      </c>
      <c r="J641">
        <v>94</v>
      </c>
      <c r="K641">
        <v>67</v>
      </c>
      <c r="L641">
        <v>24.2</v>
      </c>
      <c r="M641">
        <v>9</v>
      </c>
      <c r="N641">
        <v>0.206777193338056</v>
      </c>
      <c r="O641">
        <v>0.35851281548521102</v>
      </c>
      <c r="P641" t="str">
        <f t="shared" si="18"/>
        <v>F</v>
      </c>
      <c r="Q641" t="str">
        <f t="shared" si="19"/>
        <v>F</v>
      </c>
    </row>
    <row r="642" spans="1:17" hidden="1" x14ac:dyDescent="0.3">
      <c r="A642">
        <v>8800</v>
      </c>
      <c r="B642">
        <v>577</v>
      </c>
      <c r="C642">
        <v>497</v>
      </c>
      <c r="D642" t="s">
        <v>23</v>
      </c>
      <c r="E642" t="s">
        <v>20</v>
      </c>
      <c r="F642" t="s">
        <v>17</v>
      </c>
      <c r="G642" t="s">
        <v>25</v>
      </c>
      <c r="H642">
        <v>269.7</v>
      </c>
      <c r="I642">
        <v>245</v>
      </c>
      <c r="J642">
        <v>94</v>
      </c>
      <c r="K642">
        <v>67</v>
      </c>
      <c r="L642">
        <v>24.2</v>
      </c>
      <c r="M642">
        <v>9</v>
      </c>
      <c r="N642">
        <v>0.20836745902314399</v>
      </c>
      <c r="O642">
        <v>0.35678031848896702</v>
      </c>
      <c r="P642" t="str">
        <f t="shared" ref="P642:P705" si="20">IF(N642&lt;0.100978, "T", "F")</f>
        <v>F</v>
      </c>
      <c r="Q642" t="str">
        <f t="shared" ref="Q642:Q705" si="21">IF(O642&lt;0.268491, "T", "F")</f>
        <v>F</v>
      </c>
    </row>
    <row r="643" spans="1:17" hidden="1" x14ac:dyDescent="0.3">
      <c r="A643">
        <v>8801</v>
      </c>
      <c r="B643">
        <v>577</v>
      </c>
      <c r="C643">
        <v>497</v>
      </c>
      <c r="D643" t="s">
        <v>23</v>
      </c>
      <c r="E643" t="s">
        <v>20</v>
      </c>
      <c r="F643" t="s">
        <v>17</v>
      </c>
      <c r="G643" t="s">
        <v>25</v>
      </c>
      <c r="H643">
        <v>269.7</v>
      </c>
      <c r="I643">
        <v>245</v>
      </c>
      <c r="J643">
        <v>94</v>
      </c>
      <c r="K643">
        <v>67</v>
      </c>
      <c r="L643">
        <v>24.2</v>
      </c>
      <c r="M643">
        <v>9</v>
      </c>
      <c r="N643">
        <v>0.225594559983398</v>
      </c>
      <c r="O643">
        <v>0.38834969348604997</v>
      </c>
      <c r="P643" t="str">
        <f t="shared" si="20"/>
        <v>F</v>
      </c>
      <c r="Q643" t="str">
        <f t="shared" si="21"/>
        <v>F</v>
      </c>
    </row>
    <row r="644" spans="1:17" hidden="1" x14ac:dyDescent="0.3">
      <c r="A644">
        <v>8802</v>
      </c>
      <c r="B644">
        <v>577</v>
      </c>
      <c r="C644">
        <v>497</v>
      </c>
      <c r="D644" t="s">
        <v>23</v>
      </c>
      <c r="E644" t="s">
        <v>20</v>
      </c>
      <c r="F644" t="s">
        <v>17</v>
      </c>
      <c r="G644" t="s">
        <v>25</v>
      </c>
      <c r="H644">
        <v>269.7</v>
      </c>
      <c r="I644">
        <v>245</v>
      </c>
      <c r="J644">
        <v>94</v>
      </c>
      <c r="K644">
        <v>67</v>
      </c>
      <c r="L644">
        <v>24.2</v>
      </c>
      <c r="M644">
        <v>9</v>
      </c>
      <c r="N644">
        <v>0.20177259982335499</v>
      </c>
      <c r="O644">
        <v>0.38981605791606</v>
      </c>
      <c r="P644" t="str">
        <f t="shared" si="20"/>
        <v>F</v>
      </c>
      <c r="Q644" t="str">
        <f t="shared" si="21"/>
        <v>F</v>
      </c>
    </row>
    <row r="645" spans="1:17" hidden="1" x14ac:dyDescent="0.3">
      <c r="A645">
        <v>8877</v>
      </c>
      <c r="B645">
        <v>602</v>
      </c>
      <c r="C645">
        <v>497</v>
      </c>
      <c r="D645" t="s">
        <v>23</v>
      </c>
      <c r="E645" t="s">
        <v>20</v>
      </c>
      <c r="F645" t="s">
        <v>17</v>
      </c>
      <c r="G645" t="s">
        <v>25</v>
      </c>
      <c r="H645">
        <v>269.7</v>
      </c>
      <c r="I645">
        <v>245</v>
      </c>
      <c r="J645">
        <v>94</v>
      </c>
      <c r="K645">
        <v>67</v>
      </c>
      <c r="L645">
        <v>24.2</v>
      </c>
      <c r="M645">
        <v>9</v>
      </c>
      <c r="N645">
        <v>0.222509689985318</v>
      </c>
      <c r="O645">
        <v>0.36202713074717502</v>
      </c>
      <c r="P645" t="str">
        <f t="shared" si="20"/>
        <v>F</v>
      </c>
      <c r="Q645" t="str">
        <f t="shared" si="21"/>
        <v>F</v>
      </c>
    </row>
    <row r="646" spans="1:17" hidden="1" x14ac:dyDescent="0.3">
      <c r="A646">
        <v>8878</v>
      </c>
      <c r="B646">
        <v>602</v>
      </c>
      <c r="C646">
        <v>497</v>
      </c>
      <c r="D646" t="s">
        <v>23</v>
      </c>
      <c r="E646" t="s">
        <v>20</v>
      </c>
      <c r="F646" t="s">
        <v>17</v>
      </c>
      <c r="G646" t="s">
        <v>25</v>
      </c>
      <c r="H646">
        <v>269.7</v>
      </c>
      <c r="I646">
        <v>245</v>
      </c>
      <c r="J646">
        <v>94</v>
      </c>
      <c r="K646">
        <v>67</v>
      </c>
      <c r="L646">
        <v>24.2</v>
      </c>
      <c r="M646">
        <v>9</v>
      </c>
      <c r="N646">
        <v>0.199214489973248</v>
      </c>
      <c r="O646">
        <v>0.36330989022930599</v>
      </c>
      <c r="P646" t="str">
        <f t="shared" si="20"/>
        <v>F</v>
      </c>
      <c r="Q646" t="str">
        <f t="shared" si="21"/>
        <v>F</v>
      </c>
    </row>
    <row r="647" spans="1:17" hidden="1" x14ac:dyDescent="0.3">
      <c r="A647">
        <v>8879</v>
      </c>
      <c r="B647">
        <v>602</v>
      </c>
      <c r="C647">
        <v>497</v>
      </c>
      <c r="D647" t="s">
        <v>23</v>
      </c>
      <c r="E647" t="s">
        <v>20</v>
      </c>
      <c r="F647" t="s">
        <v>17</v>
      </c>
      <c r="G647" t="s">
        <v>25</v>
      </c>
      <c r="H647">
        <v>269.7</v>
      </c>
      <c r="I647">
        <v>245</v>
      </c>
      <c r="J647">
        <v>94</v>
      </c>
      <c r="K647">
        <v>67</v>
      </c>
      <c r="L647">
        <v>24.2</v>
      </c>
      <c r="M647">
        <v>9</v>
      </c>
      <c r="N647">
        <v>0.22961351242891001</v>
      </c>
      <c r="O647">
        <v>0.36742800058289898</v>
      </c>
      <c r="P647" t="str">
        <f t="shared" si="20"/>
        <v>F</v>
      </c>
      <c r="Q647" t="str">
        <f t="shared" si="21"/>
        <v>F</v>
      </c>
    </row>
    <row r="648" spans="1:17" hidden="1" x14ac:dyDescent="0.3">
      <c r="A648">
        <v>8880</v>
      </c>
      <c r="B648">
        <v>602</v>
      </c>
      <c r="C648">
        <v>497</v>
      </c>
      <c r="D648" t="s">
        <v>23</v>
      </c>
      <c r="E648" t="s">
        <v>20</v>
      </c>
      <c r="F648" t="s">
        <v>17</v>
      </c>
      <c r="G648" t="s">
        <v>25</v>
      </c>
      <c r="H648">
        <v>269.7</v>
      </c>
      <c r="I648">
        <v>245</v>
      </c>
      <c r="J648">
        <v>94</v>
      </c>
      <c r="K648">
        <v>67</v>
      </c>
      <c r="L648">
        <v>24.2</v>
      </c>
      <c r="M648">
        <v>9</v>
      </c>
      <c r="N648">
        <v>0.213151351085064</v>
      </c>
      <c r="O648">
        <v>0.37354981186570901</v>
      </c>
      <c r="P648" t="str">
        <f t="shared" si="20"/>
        <v>F</v>
      </c>
      <c r="Q648" t="str">
        <f t="shared" si="21"/>
        <v>F</v>
      </c>
    </row>
    <row r="649" spans="1:17" hidden="1" x14ac:dyDescent="0.3">
      <c r="A649">
        <v>8924</v>
      </c>
      <c r="B649">
        <v>618</v>
      </c>
      <c r="C649">
        <v>322</v>
      </c>
      <c r="D649" t="s">
        <v>23</v>
      </c>
      <c r="E649" t="s">
        <v>20</v>
      </c>
      <c r="F649" t="s">
        <v>17</v>
      </c>
      <c r="G649" t="s">
        <v>26</v>
      </c>
      <c r="H649">
        <v>276.7</v>
      </c>
      <c r="I649">
        <v>250</v>
      </c>
      <c r="J649">
        <v>99.1</v>
      </c>
      <c r="K649">
        <v>67.5</v>
      </c>
      <c r="L649">
        <v>26</v>
      </c>
      <c r="M649">
        <v>5.5</v>
      </c>
      <c r="N649">
        <v>0.18765957065185099</v>
      </c>
      <c r="O649">
        <v>0.34280456086100403</v>
      </c>
      <c r="P649" t="str">
        <f t="shared" si="20"/>
        <v>F</v>
      </c>
      <c r="Q649" t="str">
        <f t="shared" si="21"/>
        <v>F</v>
      </c>
    </row>
    <row r="650" spans="1:17" hidden="1" x14ac:dyDescent="0.3">
      <c r="A650">
        <v>8925</v>
      </c>
      <c r="B650">
        <v>618</v>
      </c>
      <c r="C650">
        <v>322</v>
      </c>
      <c r="D650" t="s">
        <v>23</v>
      </c>
      <c r="E650" t="s">
        <v>20</v>
      </c>
      <c r="F650" t="s">
        <v>17</v>
      </c>
      <c r="G650" t="s">
        <v>26</v>
      </c>
      <c r="H650">
        <v>276.7</v>
      </c>
      <c r="I650">
        <v>250</v>
      </c>
      <c r="J650">
        <v>99.1</v>
      </c>
      <c r="K650">
        <v>67.5</v>
      </c>
      <c r="L650">
        <v>26</v>
      </c>
      <c r="M650">
        <v>5.5</v>
      </c>
      <c r="N650">
        <v>0.193297373784969</v>
      </c>
      <c r="O650">
        <v>0.319434981181139</v>
      </c>
      <c r="P650" t="str">
        <f t="shared" si="20"/>
        <v>F</v>
      </c>
      <c r="Q650" t="str">
        <f t="shared" si="21"/>
        <v>F</v>
      </c>
    </row>
    <row r="651" spans="1:17" hidden="1" x14ac:dyDescent="0.3">
      <c r="A651">
        <v>8927</v>
      </c>
      <c r="B651">
        <v>619</v>
      </c>
      <c r="C651">
        <v>483</v>
      </c>
      <c r="D651" t="s">
        <v>23</v>
      </c>
      <c r="E651" t="s">
        <v>20</v>
      </c>
      <c r="F651" t="s">
        <v>21</v>
      </c>
      <c r="G651" t="s">
        <v>25</v>
      </c>
      <c r="H651">
        <v>271.89999999999998</v>
      </c>
      <c r="I651">
        <v>246</v>
      </c>
      <c r="J651">
        <v>94.4</v>
      </c>
      <c r="K651">
        <v>60.5</v>
      </c>
      <c r="L651">
        <v>27.6</v>
      </c>
      <c r="M651">
        <v>13.5</v>
      </c>
      <c r="N651">
        <v>0.11893739748920699</v>
      </c>
      <c r="O651">
        <v>0.188628913301291</v>
      </c>
      <c r="P651" t="str">
        <f t="shared" si="20"/>
        <v>F</v>
      </c>
      <c r="Q651" t="str">
        <f t="shared" si="21"/>
        <v>T</v>
      </c>
    </row>
    <row r="652" spans="1:17" hidden="1" x14ac:dyDescent="0.3">
      <c r="A652">
        <v>8928</v>
      </c>
      <c r="B652">
        <v>619</v>
      </c>
      <c r="C652">
        <v>483</v>
      </c>
      <c r="D652" t="s">
        <v>23</v>
      </c>
      <c r="E652" t="s">
        <v>20</v>
      </c>
      <c r="F652" t="s">
        <v>21</v>
      </c>
      <c r="G652" t="s">
        <v>25</v>
      </c>
      <c r="H652">
        <v>271.89999999999998</v>
      </c>
      <c r="I652">
        <v>246</v>
      </c>
      <c r="J652">
        <v>94.4</v>
      </c>
      <c r="K652">
        <v>60.5</v>
      </c>
      <c r="L652">
        <v>27.6</v>
      </c>
      <c r="M652">
        <v>13.5</v>
      </c>
      <c r="N652">
        <v>0.120641194857236</v>
      </c>
      <c r="O652">
        <v>0.21010260792724</v>
      </c>
      <c r="P652" t="str">
        <f t="shared" si="20"/>
        <v>F</v>
      </c>
      <c r="Q652" t="str">
        <f t="shared" si="21"/>
        <v>T</v>
      </c>
    </row>
    <row r="653" spans="1:17" hidden="1" x14ac:dyDescent="0.3">
      <c r="A653">
        <v>8938</v>
      </c>
      <c r="B653">
        <v>623</v>
      </c>
      <c r="C653">
        <v>322</v>
      </c>
      <c r="D653" t="s">
        <v>23</v>
      </c>
      <c r="E653" t="s">
        <v>20</v>
      </c>
      <c r="F653" t="s">
        <v>21</v>
      </c>
      <c r="G653" t="s">
        <v>18</v>
      </c>
      <c r="H653">
        <v>276.7</v>
      </c>
      <c r="I653">
        <v>250</v>
      </c>
      <c r="J653">
        <v>99.1</v>
      </c>
      <c r="K653">
        <v>67.5</v>
      </c>
      <c r="L653">
        <v>26</v>
      </c>
      <c r="M653">
        <v>5.5</v>
      </c>
      <c r="N653">
        <v>0.17547281741433399</v>
      </c>
      <c r="O653">
        <v>0.33345549344772202</v>
      </c>
      <c r="P653" t="str">
        <f t="shared" si="20"/>
        <v>F</v>
      </c>
      <c r="Q653" t="str">
        <f t="shared" si="21"/>
        <v>F</v>
      </c>
    </row>
    <row r="654" spans="1:17" hidden="1" x14ac:dyDescent="0.3">
      <c r="A654">
        <v>8939</v>
      </c>
      <c r="B654">
        <v>623</v>
      </c>
      <c r="C654">
        <v>322</v>
      </c>
      <c r="D654" t="s">
        <v>23</v>
      </c>
      <c r="E654" t="s">
        <v>20</v>
      </c>
      <c r="F654" t="s">
        <v>21</v>
      </c>
      <c r="G654" t="s">
        <v>18</v>
      </c>
      <c r="H654">
        <v>276.7</v>
      </c>
      <c r="I654">
        <v>250</v>
      </c>
      <c r="J654">
        <v>99.1</v>
      </c>
      <c r="K654">
        <v>67.5</v>
      </c>
      <c r="L654">
        <v>26</v>
      </c>
      <c r="M654">
        <v>5.5</v>
      </c>
      <c r="N654">
        <v>0.19032248418310299</v>
      </c>
      <c r="O654">
        <v>0.35069805778614899</v>
      </c>
      <c r="P654" t="str">
        <f t="shared" si="20"/>
        <v>F</v>
      </c>
      <c r="Q654" t="str">
        <f t="shared" si="21"/>
        <v>F</v>
      </c>
    </row>
    <row r="655" spans="1:17" hidden="1" x14ac:dyDescent="0.3">
      <c r="A655">
        <v>8940</v>
      </c>
      <c r="B655">
        <v>623</v>
      </c>
      <c r="C655">
        <v>322</v>
      </c>
      <c r="D655" t="s">
        <v>23</v>
      </c>
      <c r="E655" t="s">
        <v>20</v>
      </c>
      <c r="F655" t="s">
        <v>21</v>
      </c>
      <c r="G655" t="s">
        <v>18</v>
      </c>
      <c r="H655">
        <v>276.7</v>
      </c>
      <c r="I655">
        <v>250</v>
      </c>
      <c r="J655">
        <v>99.1</v>
      </c>
      <c r="K655">
        <v>67.5</v>
      </c>
      <c r="L655">
        <v>26</v>
      </c>
      <c r="M655">
        <v>5.5</v>
      </c>
      <c r="N655">
        <v>0.20052880673727</v>
      </c>
      <c r="O655">
        <v>0.33929476097084899</v>
      </c>
      <c r="P655" t="str">
        <f t="shared" si="20"/>
        <v>F</v>
      </c>
      <c r="Q655" t="str">
        <f t="shared" si="21"/>
        <v>F</v>
      </c>
    </row>
    <row r="656" spans="1:17" hidden="1" x14ac:dyDescent="0.3">
      <c r="A656">
        <v>8941</v>
      </c>
      <c r="B656">
        <v>623</v>
      </c>
      <c r="C656">
        <v>322</v>
      </c>
      <c r="D656" t="s">
        <v>23</v>
      </c>
      <c r="E656" t="s">
        <v>20</v>
      </c>
      <c r="F656" t="s">
        <v>21</v>
      </c>
      <c r="G656" t="s">
        <v>18</v>
      </c>
      <c r="H656">
        <v>276.7</v>
      </c>
      <c r="I656">
        <v>250</v>
      </c>
      <c r="J656">
        <v>99.1</v>
      </c>
      <c r="K656">
        <v>67.5</v>
      </c>
      <c r="L656">
        <v>26</v>
      </c>
      <c r="M656">
        <v>5.5</v>
      </c>
      <c r="N656">
        <v>0.174817441093403</v>
      </c>
      <c r="O656">
        <v>0.33319305033382102</v>
      </c>
      <c r="P656" t="str">
        <f t="shared" si="20"/>
        <v>F</v>
      </c>
      <c r="Q656" t="str">
        <f t="shared" si="21"/>
        <v>F</v>
      </c>
    </row>
    <row r="657" spans="1:17" hidden="1" x14ac:dyDescent="0.3">
      <c r="A657">
        <v>8950</v>
      </c>
      <c r="B657">
        <v>627</v>
      </c>
      <c r="C657">
        <v>79</v>
      </c>
      <c r="D657" t="s">
        <v>23</v>
      </c>
      <c r="E657" t="s">
        <v>20</v>
      </c>
      <c r="F657" t="s">
        <v>17</v>
      </c>
      <c r="G657" t="s">
        <v>26</v>
      </c>
      <c r="H657">
        <v>276.8</v>
      </c>
      <c r="I657">
        <v>258.5</v>
      </c>
      <c r="J657">
        <v>101.8</v>
      </c>
      <c r="K657">
        <v>65</v>
      </c>
      <c r="L657">
        <v>24.9</v>
      </c>
      <c r="M657">
        <v>11.5</v>
      </c>
      <c r="N657">
        <v>0.14469976686689401</v>
      </c>
      <c r="O657">
        <v>0.213846302562685</v>
      </c>
      <c r="P657" t="str">
        <f t="shared" si="20"/>
        <v>F</v>
      </c>
      <c r="Q657" t="str">
        <f t="shared" si="21"/>
        <v>T</v>
      </c>
    </row>
    <row r="658" spans="1:17" hidden="1" x14ac:dyDescent="0.3">
      <c r="A658">
        <v>8969</v>
      </c>
      <c r="B658">
        <v>632</v>
      </c>
      <c r="C658">
        <v>95</v>
      </c>
      <c r="D658" t="s">
        <v>23</v>
      </c>
      <c r="E658" t="s">
        <v>20</v>
      </c>
      <c r="F658" t="s">
        <v>21</v>
      </c>
      <c r="G658" t="s">
        <v>22</v>
      </c>
      <c r="H658">
        <v>276.60000000000002</v>
      </c>
      <c r="I658">
        <v>250.5</v>
      </c>
      <c r="J658">
        <v>100</v>
      </c>
      <c r="K658">
        <v>67</v>
      </c>
      <c r="L658">
        <v>28.2</v>
      </c>
      <c r="M658">
        <v>6.5</v>
      </c>
      <c r="N658">
        <v>8.5983915078502296E-2</v>
      </c>
      <c r="O658">
        <v>0.31223157355450198</v>
      </c>
      <c r="P658" t="str">
        <f t="shared" si="20"/>
        <v>T</v>
      </c>
      <c r="Q658" t="str">
        <f t="shared" si="21"/>
        <v>F</v>
      </c>
    </row>
    <row r="659" spans="1:17" hidden="1" x14ac:dyDescent="0.3">
      <c r="A659">
        <v>8970</v>
      </c>
      <c r="B659">
        <v>632</v>
      </c>
      <c r="C659">
        <v>95</v>
      </c>
      <c r="D659" t="s">
        <v>23</v>
      </c>
      <c r="E659" t="s">
        <v>20</v>
      </c>
      <c r="F659" t="s">
        <v>21</v>
      </c>
      <c r="G659" t="s">
        <v>22</v>
      </c>
      <c r="H659">
        <v>276.60000000000002</v>
      </c>
      <c r="I659">
        <v>250.5</v>
      </c>
      <c r="J659">
        <v>100</v>
      </c>
      <c r="K659">
        <v>67</v>
      </c>
      <c r="L659">
        <v>28.2</v>
      </c>
      <c r="M659">
        <v>6.5</v>
      </c>
      <c r="N659">
        <v>0.111380084708615</v>
      </c>
      <c r="O659">
        <v>0.31925172505558003</v>
      </c>
      <c r="P659" t="str">
        <f t="shared" si="20"/>
        <v>F</v>
      </c>
      <c r="Q659" t="str">
        <f t="shared" si="21"/>
        <v>F</v>
      </c>
    </row>
    <row r="660" spans="1:17" hidden="1" x14ac:dyDescent="0.3">
      <c r="A660">
        <v>8999</v>
      </c>
      <c r="B660">
        <v>643</v>
      </c>
      <c r="C660">
        <v>176</v>
      </c>
      <c r="D660" t="s">
        <v>23</v>
      </c>
      <c r="E660" t="s">
        <v>20</v>
      </c>
      <c r="F660" t="s">
        <v>17</v>
      </c>
      <c r="G660" t="s">
        <v>25</v>
      </c>
      <c r="H660">
        <v>274.5</v>
      </c>
      <c r="I660">
        <v>261.5</v>
      </c>
      <c r="J660">
        <v>100.7</v>
      </c>
      <c r="K660">
        <v>67</v>
      </c>
      <c r="L660">
        <v>26.6</v>
      </c>
      <c r="M660">
        <v>10</v>
      </c>
      <c r="N660">
        <v>0.147785907557798</v>
      </c>
      <c r="O660">
        <v>0.410113611186115</v>
      </c>
      <c r="P660" t="str">
        <f t="shared" si="20"/>
        <v>F</v>
      </c>
      <c r="Q660" t="str">
        <f t="shared" si="21"/>
        <v>F</v>
      </c>
    </row>
    <row r="661" spans="1:17" hidden="1" x14ac:dyDescent="0.3">
      <c r="A661">
        <v>9000</v>
      </c>
      <c r="B661">
        <v>643</v>
      </c>
      <c r="C661">
        <v>176</v>
      </c>
      <c r="D661" t="s">
        <v>23</v>
      </c>
      <c r="E661" t="s">
        <v>20</v>
      </c>
      <c r="F661" t="s">
        <v>17</v>
      </c>
      <c r="G661" t="s">
        <v>25</v>
      </c>
      <c r="H661">
        <v>274.5</v>
      </c>
      <c r="I661">
        <v>261.5</v>
      </c>
      <c r="J661">
        <v>100.7</v>
      </c>
      <c r="K661">
        <v>67</v>
      </c>
      <c r="L661">
        <v>26.6</v>
      </c>
      <c r="M661">
        <v>10</v>
      </c>
      <c r="N661">
        <v>0.13728832784697101</v>
      </c>
      <c r="O661">
        <v>0.41918623112540698</v>
      </c>
      <c r="P661" t="str">
        <f t="shared" si="20"/>
        <v>F</v>
      </c>
      <c r="Q661" t="str">
        <f t="shared" si="21"/>
        <v>F</v>
      </c>
    </row>
    <row r="662" spans="1:17" hidden="1" x14ac:dyDescent="0.3">
      <c r="A662">
        <v>9001</v>
      </c>
      <c r="B662">
        <v>643</v>
      </c>
      <c r="C662">
        <v>176</v>
      </c>
      <c r="D662" t="s">
        <v>23</v>
      </c>
      <c r="E662" t="s">
        <v>20</v>
      </c>
      <c r="F662" t="s">
        <v>17</v>
      </c>
      <c r="G662" t="s">
        <v>25</v>
      </c>
      <c r="H662">
        <v>274.5</v>
      </c>
      <c r="I662">
        <v>261.5</v>
      </c>
      <c r="J662">
        <v>100.7</v>
      </c>
      <c r="K662">
        <v>67</v>
      </c>
      <c r="L662">
        <v>26.6</v>
      </c>
      <c r="M662">
        <v>10</v>
      </c>
      <c r="N662">
        <v>0.150192045821924</v>
      </c>
      <c r="O662">
        <v>0.38877172296399498</v>
      </c>
      <c r="P662" t="str">
        <f t="shared" si="20"/>
        <v>F</v>
      </c>
      <c r="Q662" t="str">
        <f t="shared" si="21"/>
        <v>F</v>
      </c>
    </row>
    <row r="663" spans="1:17" hidden="1" x14ac:dyDescent="0.3">
      <c r="A663">
        <v>9002</v>
      </c>
      <c r="B663">
        <v>643</v>
      </c>
      <c r="C663">
        <v>176</v>
      </c>
      <c r="D663" t="s">
        <v>23</v>
      </c>
      <c r="E663" t="s">
        <v>20</v>
      </c>
      <c r="F663" t="s">
        <v>17</v>
      </c>
      <c r="G663" t="s">
        <v>25</v>
      </c>
      <c r="H663">
        <v>274.5</v>
      </c>
      <c r="I663">
        <v>261.5</v>
      </c>
      <c r="J663">
        <v>100.7</v>
      </c>
      <c r="K663">
        <v>67</v>
      </c>
      <c r="L663">
        <v>26.6</v>
      </c>
      <c r="M663">
        <v>10</v>
      </c>
      <c r="N663">
        <v>0.113798010767609</v>
      </c>
      <c r="O663">
        <v>0.39327266982812298</v>
      </c>
      <c r="P663" t="str">
        <f t="shared" si="20"/>
        <v>F</v>
      </c>
      <c r="Q663" t="str">
        <f t="shared" si="21"/>
        <v>F</v>
      </c>
    </row>
    <row r="664" spans="1:17" hidden="1" x14ac:dyDescent="0.3">
      <c r="A664">
        <v>9003</v>
      </c>
      <c r="B664">
        <v>643</v>
      </c>
      <c r="C664">
        <v>176</v>
      </c>
      <c r="D664" t="s">
        <v>23</v>
      </c>
      <c r="E664" t="s">
        <v>20</v>
      </c>
      <c r="F664" t="s">
        <v>17</v>
      </c>
      <c r="G664" t="s">
        <v>25</v>
      </c>
      <c r="H664">
        <v>274.5</v>
      </c>
      <c r="I664">
        <v>261.5</v>
      </c>
      <c r="J664">
        <v>100.7</v>
      </c>
      <c r="K664">
        <v>67</v>
      </c>
      <c r="L664">
        <v>26.6</v>
      </c>
      <c r="M664">
        <v>10</v>
      </c>
      <c r="N664">
        <v>0.119267301603148</v>
      </c>
      <c r="O664">
        <v>0.39576348930116401</v>
      </c>
      <c r="P664" t="str">
        <f t="shared" si="20"/>
        <v>F</v>
      </c>
      <c r="Q664" t="str">
        <f t="shared" si="21"/>
        <v>F</v>
      </c>
    </row>
    <row r="665" spans="1:17" hidden="1" x14ac:dyDescent="0.3">
      <c r="A665">
        <v>9004</v>
      </c>
      <c r="B665">
        <v>643</v>
      </c>
      <c r="C665">
        <v>176</v>
      </c>
      <c r="D665" t="s">
        <v>23</v>
      </c>
      <c r="E665" t="s">
        <v>20</v>
      </c>
      <c r="F665" t="s">
        <v>17</v>
      </c>
      <c r="G665" t="s">
        <v>25</v>
      </c>
      <c r="H665">
        <v>274.5</v>
      </c>
      <c r="I665">
        <v>261.5</v>
      </c>
      <c r="J665">
        <v>100.7</v>
      </c>
      <c r="K665">
        <v>67</v>
      </c>
      <c r="L665">
        <v>26.6</v>
      </c>
      <c r="M665">
        <v>10</v>
      </c>
      <c r="N665">
        <v>0.149077270601394</v>
      </c>
      <c r="O665">
        <v>0.41372354018769503</v>
      </c>
      <c r="P665" t="str">
        <f t="shared" si="20"/>
        <v>F</v>
      </c>
      <c r="Q665" t="str">
        <f t="shared" si="21"/>
        <v>F</v>
      </c>
    </row>
    <row r="666" spans="1:17" hidden="1" x14ac:dyDescent="0.3">
      <c r="A666">
        <v>9005</v>
      </c>
      <c r="B666">
        <v>643</v>
      </c>
      <c r="C666">
        <v>176</v>
      </c>
      <c r="D666" t="s">
        <v>23</v>
      </c>
      <c r="E666" t="s">
        <v>20</v>
      </c>
      <c r="F666" t="s">
        <v>17</v>
      </c>
      <c r="G666" t="s">
        <v>25</v>
      </c>
      <c r="H666">
        <v>274.5</v>
      </c>
      <c r="I666">
        <v>261.5</v>
      </c>
      <c r="J666">
        <v>100.7</v>
      </c>
      <c r="K666">
        <v>67</v>
      </c>
      <c r="L666">
        <v>26.6</v>
      </c>
      <c r="M666">
        <v>10</v>
      </c>
      <c r="N666">
        <v>0.14155648351363101</v>
      </c>
      <c r="O666">
        <v>0.41718650629142201</v>
      </c>
      <c r="P666" t="str">
        <f t="shared" si="20"/>
        <v>F</v>
      </c>
      <c r="Q666" t="str">
        <f t="shared" si="21"/>
        <v>F</v>
      </c>
    </row>
    <row r="667" spans="1:17" hidden="1" x14ac:dyDescent="0.3">
      <c r="A667">
        <v>9065</v>
      </c>
      <c r="B667">
        <v>659</v>
      </c>
      <c r="C667">
        <v>42</v>
      </c>
      <c r="D667" t="s">
        <v>23</v>
      </c>
      <c r="E667" t="s">
        <v>20</v>
      </c>
      <c r="F667" t="s">
        <v>17</v>
      </c>
      <c r="G667" t="s">
        <v>25</v>
      </c>
      <c r="H667">
        <v>280.10000000000002</v>
      </c>
      <c r="I667">
        <v>241.5</v>
      </c>
      <c r="J667">
        <v>94.5</v>
      </c>
      <c r="K667">
        <v>66</v>
      </c>
      <c r="L667">
        <v>29.4</v>
      </c>
      <c r="M667">
        <v>8.5</v>
      </c>
      <c r="N667">
        <v>6.1173890750089201E-2</v>
      </c>
      <c r="O667">
        <v>0.392840425109311</v>
      </c>
      <c r="P667" t="str">
        <f t="shared" si="20"/>
        <v>T</v>
      </c>
      <c r="Q667" t="str">
        <f t="shared" si="21"/>
        <v>F</v>
      </c>
    </row>
    <row r="668" spans="1:17" hidden="1" x14ac:dyDescent="0.3">
      <c r="A668">
        <v>9068</v>
      </c>
      <c r="B668">
        <v>659</v>
      </c>
      <c r="C668">
        <v>42</v>
      </c>
      <c r="D668" t="s">
        <v>23</v>
      </c>
      <c r="E668" t="s">
        <v>20</v>
      </c>
      <c r="F668" t="s">
        <v>17</v>
      </c>
      <c r="G668" t="s">
        <v>25</v>
      </c>
      <c r="H668">
        <v>280.10000000000002</v>
      </c>
      <c r="I668">
        <v>241.5</v>
      </c>
      <c r="J668">
        <v>94.5</v>
      </c>
      <c r="K668">
        <v>66</v>
      </c>
      <c r="L668">
        <v>29.4</v>
      </c>
      <c r="M668">
        <v>8.5</v>
      </c>
      <c r="N668">
        <v>3.9627010815026197E-2</v>
      </c>
      <c r="O668">
        <v>0.37299637943694303</v>
      </c>
      <c r="P668" t="str">
        <f t="shared" si="20"/>
        <v>T</v>
      </c>
      <c r="Q668" t="str">
        <f t="shared" si="21"/>
        <v>F</v>
      </c>
    </row>
    <row r="669" spans="1:17" hidden="1" x14ac:dyDescent="0.3">
      <c r="A669">
        <v>9069</v>
      </c>
      <c r="B669">
        <v>659</v>
      </c>
      <c r="C669">
        <v>42</v>
      </c>
      <c r="D669" t="s">
        <v>23</v>
      </c>
      <c r="E669" t="s">
        <v>20</v>
      </c>
      <c r="F669" t="s">
        <v>17</v>
      </c>
      <c r="G669" t="s">
        <v>25</v>
      </c>
      <c r="H669">
        <v>280.10000000000002</v>
      </c>
      <c r="I669">
        <v>241.5</v>
      </c>
      <c r="J669">
        <v>94.5</v>
      </c>
      <c r="K669">
        <v>66</v>
      </c>
      <c r="L669">
        <v>29.4</v>
      </c>
      <c r="M669">
        <v>8.5</v>
      </c>
      <c r="N669">
        <v>5.7609753227294003E-2</v>
      </c>
      <c r="O669">
        <v>0.38969953625341403</v>
      </c>
      <c r="P669" t="str">
        <f t="shared" si="20"/>
        <v>T</v>
      </c>
      <c r="Q669" t="str">
        <f t="shared" si="21"/>
        <v>F</v>
      </c>
    </row>
    <row r="670" spans="1:17" hidden="1" x14ac:dyDescent="0.3">
      <c r="A670">
        <v>9075</v>
      </c>
      <c r="B670">
        <v>662</v>
      </c>
      <c r="C670">
        <v>95</v>
      </c>
      <c r="D670" t="s">
        <v>23</v>
      </c>
      <c r="E670" t="s">
        <v>20</v>
      </c>
      <c r="F670" t="s">
        <v>21</v>
      </c>
      <c r="G670" t="s">
        <v>25</v>
      </c>
      <c r="H670">
        <v>276.60000000000002</v>
      </c>
      <c r="I670">
        <v>250.5</v>
      </c>
      <c r="J670">
        <v>100</v>
      </c>
      <c r="K670">
        <v>67</v>
      </c>
      <c r="L670">
        <v>28.2</v>
      </c>
      <c r="M670">
        <v>6.5</v>
      </c>
      <c r="N670">
        <v>0.104279334463389</v>
      </c>
      <c r="O670">
        <v>0.339900305298514</v>
      </c>
      <c r="P670" t="str">
        <f t="shared" si="20"/>
        <v>F</v>
      </c>
      <c r="Q670" t="str">
        <f t="shared" si="21"/>
        <v>F</v>
      </c>
    </row>
    <row r="671" spans="1:17" hidden="1" x14ac:dyDescent="0.3">
      <c r="A671">
        <v>9076</v>
      </c>
      <c r="B671">
        <v>662</v>
      </c>
      <c r="C671">
        <v>95</v>
      </c>
      <c r="D671" t="s">
        <v>23</v>
      </c>
      <c r="E671" t="s">
        <v>20</v>
      </c>
      <c r="F671" t="s">
        <v>21</v>
      </c>
      <c r="G671" t="s">
        <v>25</v>
      </c>
      <c r="H671">
        <v>276.60000000000002</v>
      </c>
      <c r="I671">
        <v>250.5</v>
      </c>
      <c r="J671">
        <v>100</v>
      </c>
      <c r="K671">
        <v>67</v>
      </c>
      <c r="L671">
        <v>28.2</v>
      </c>
      <c r="M671">
        <v>6.5</v>
      </c>
      <c r="N671">
        <v>9.63496136892108E-2</v>
      </c>
      <c r="O671">
        <v>0.35088316259286001</v>
      </c>
      <c r="P671" t="str">
        <f t="shared" si="20"/>
        <v>T</v>
      </c>
      <c r="Q671" t="str">
        <f t="shared" si="21"/>
        <v>F</v>
      </c>
    </row>
    <row r="672" spans="1:17" hidden="1" x14ac:dyDescent="0.3">
      <c r="A672">
        <v>9077</v>
      </c>
      <c r="B672">
        <v>662</v>
      </c>
      <c r="C672">
        <v>95</v>
      </c>
      <c r="D672" t="s">
        <v>23</v>
      </c>
      <c r="E672" t="s">
        <v>20</v>
      </c>
      <c r="F672" t="s">
        <v>21</v>
      </c>
      <c r="G672" t="s">
        <v>25</v>
      </c>
      <c r="H672">
        <v>276.60000000000002</v>
      </c>
      <c r="I672">
        <v>250.5</v>
      </c>
      <c r="J672">
        <v>100</v>
      </c>
      <c r="K672">
        <v>67</v>
      </c>
      <c r="L672">
        <v>28.2</v>
      </c>
      <c r="M672">
        <v>6.5</v>
      </c>
      <c r="N672">
        <v>8.8537334607845297E-2</v>
      </c>
      <c r="O672">
        <v>0.31457023704749698</v>
      </c>
      <c r="P672" t="str">
        <f t="shared" si="20"/>
        <v>T</v>
      </c>
      <c r="Q672" t="str">
        <f t="shared" si="21"/>
        <v>F</v>
      </c>
    </row>
    <row r="673" spans="1:17" hidden="1" x14ac:dyDescent="0.3">
      <c r="A673">
        <v>9078</v>
      </c>
      <c r="B673">
        <v>662</v>
      </c>
      <c r="C673">
        <v>95</v>
      </c>
      <c r="D673" t="s">
        <v>23</v>
      </c>
      <c r="E673" t="s">
        <v>20</v>
      </c>
      <c r="F673" t="s">
        <v>21</v>
      </c>
      <c r="G673" t="s">
        <v>25</v>
      </c>
      <c r="H673">
        <v>276.60000000000002</v>
      </c>
      <c r="I673">
        <v>250.5</v>
      </c>
      <c r="J673">
        <v>100</v>
      </c>
      <c r="K673">
        <v>67</v>
      </c>
      <c r="L673">
        <v>28.2</v>
      </c>
      <c r="M673">
        <v>6.5</v>
      </c>
      <c r="N673">
        <v>0.102681009641264</v>
      </c>
      <c r="O673">
        <v>0.34274309081437798</v>
      </c>
      <c r="P673" t="str">
        <f t="shared" si="20"/>
        <v>F</v>
      </c>
      <c r="Q673" t="str">
        <f t="shared" si="21"/>
        <v>F</v>
      </c>
    </row>
    <row r="674" spans="1:17" hidden="1" x14ac:dyDescent="0.3">
      <c r="A674">
        <v>9079</v>
      </c>
      <c r="B674">
        <v>662</v>
      </c>
      <c r="C674">
        <v>95</v>
      </c>
      <c r="D674" t="s">
        <v>23</v>
      </c>
      <c r="E674" t="s">
        <v>20</v>
      </c>
      <c r="F674" t="s">
        <v>21</v>
      </c>
      <c r="G674" t="s">
        <v>25</v>
      </c>
      <c r="H674">
        <v>276.60000000000002</v>
      </c>
      <c r="I674">
        <v>250.5</v>
      </c>
      <c r="J674">
        <v>100</v>
      </c>
      <c r="K674">
        <v>67</v>
      </c>
      <c r="L674">
        <v>28.2</v>
      </c>
      <c r="M674">
        <v>6.5</v>
      </c>
      <c r="N674">
        <v>0.117742306400067</v>
      </c>
      <c r="O674">
        <v>0.35123906354085399</v>
      </c>
      <c r="P674" t="str">
        <f t="shared" si="20"/>
        <v>F</v>
      </c>
      <c r="Q674" t="str">
        <f t="shared" si="21"/>
        <v>F</v>
      </c>
    </row>
    <row r="675" spans="1:17" hidden="1" x14ac:dyDescent="0.3">
      <c r="A675">
        <v>9080</v>
      </c>
      <c r="B675">
        <v>663</v>
      </c>
      <c r="C675">
        <v>71</v>
      </c>
      <c r="D675" t="s">
        <v>23</v>
      </c>
      <c r="E675" t="s">
        <v>20</v>
      </c>
      <c r="F675" t="s">
        <v>17</v>
      </c>
      <c r="G675" t="s">
        <v>22</v>
      </c>
      <c r="H675">
        <v>281</v>
      </c>
      <c r="I675">
        <v>265.5</v>
      </c>
      <c r="J675">
        <v>100.2</v>
      </c>
      <c r="K675">
        <v>66.5</v>
      </c>
      <c r="L675">
        <v>25.2</v>
      </c>
      <c r="M675">
        <v>8</v>
      </c>
      <c r="N675">
        <v>0.16142512639539799</v>
      </c>
      <c r="O675">
        <v>0.14969413287257599</v>
      </c>
      <c r="P675" t="str">
        <f t="shared" si="20"/>
        <v>F</v>
      </c>
      <c r="Q675" t="str">
        <f t="shared" si="21"/>
        <v>T</v>
      </c>
    </row>
    <row r="676" spans="1:17" hidden="1" x14ac:dyDescent="0.3">
      <c r="A676">
        <v>9083</v>
      </c>
      <c r="B676">
        <v>663</v>
      </c>
      <c r="C676">
        <v>71</v>
      </c>
      <c r="D676" t="s">
        <v>23</v>
      </c>
      <c r="E676" t="s">
        <v>20</v>
      </c>
      <c r="F676" t="s">
        <v>17</v>
      </c>
      <c r="G676" t="s">
        <v>22</v>
      </c>
      <c r="H676">
        <v>281</v>
      </c>
      <c r="I676">
        <v>265.5</v>
      </c>
      <c r="J676">
        <v>100.2</v>
      </c>
      <c r="K676">
        <v>66.5</v>
      </c>
      <c r="L676">
        <v>25.2</v>
      </c>
      <c r="M676">
        <v>8</v>
      </c>
      <c r="N676">
        <v>0.16671723250487999</v>
      </c>
      <c r="O676">
        <v>0.15442127846037901</v>
      </c>
      <c r="P676" t="str">
        <f t="shared" si="20"/>
        <v>F</v>
      </c>
      <c r="Q676" t="str">
        <f t="shared" si="21"/>
        <v>T</v>
      </c>
    </row>
    <row r="677" spans="1:17" hidden="1" x14ac:dyDescent="0.3">
      <c r="A677">
        <v>9097</v>
      </c>
      <c r="B677">
        <v>670</v>
      </c>
      <c r="C677">
        <v>71</v>
      </c>
      <c r="D677" t="s">
        <v>23</v>
      </c>
      <c r="E677" t="s">
        <v>20</v>
      </c>
      <c r="F677" t="s">
        <v>21</v>
      </c>
      <c r="G677" t="s">
        <v>26</v>
      </c>
      <c r="H677">
        <v>281</v>
      </c>
      <c r="I677">
        <v>265.5</v>
      </c>
      <c r="J677">
        <v>100.2</v>
      </c>
      <c r="K677">
        <v>66.5</v>
      </c>
      <c r="L677">
        <v>25.2</v>
      </c>
      <c r="M677">
        <v>8</v>
      </c>
      <c r="N677">
        <v>0.18965392858765401</v>
      </c>
      <c r="O677">
        <v>0.15316840409985699</v>
      </c>
      <c r="P677" t="str">
        <f t="shared" si="20"/>
        <v>F</v>
      </c>
      <c r="Q677" t="str">
        <f t="shared" si="21"/>
        <v>T</v>
      </c>
    </row>
    <row r="678" spans="1:17" hidden="1" x14ac:dyDescent="0.3">
      <c r="A678">
        <v>9098</v>
      </c>
      <c r="B678">
        <v>670</v>
      </c>
      <c r="C678">
        <v>71</v>
      </c>
      <c r="D678" t="s">
        <v>23</v>
      </c>
      <c r="E678" t="s">
        <v>20</v>
      </c>
      <c r="F678" t="s">
        <v>21</v>
      </c>
      <c r="G678" t="s">
        <v>26</v>
      </c>
      <c r="H678">
        <v>281</v>
      </c>
      <c r="I678">
        <v>265.5</v>
      </c>
      <c r="J678">
        <v>100.2</v>
      </c>
      <c r="K678">
        <v>66.5</v>
      </c>
      <c r="L678">
        <v>25.2</v>
      </c>
      <c r="M678">
        <v>8</v>
      </c>
      <c r="N678">
        <v>0.16273568897940799</v>
      </c>
      <c r="O678">
        <v>0.16097667696756701</v>
      </c>
      <c r="P678" t="str">
        <f t="shared" si="20"/>
        <v>F</v>
      </c>
      <c r="Q678" t="str">
        <f t="shared" si="21"/>
        <v>T</v>
      </c>
    </row>
    <row r="679" spans="1:17" hidden="1" x14ac:dyDescent="0.3">
      <c r="A679">
        <v>9136</v>
      </c>
      <c r="B679">
        <v>684</v>
      </c>
      <c r="C679">
        <v>61</v>
      </c>
      <c r="D679" t="s">
        <v>23</v>
      </c>
      <c r="E679" t="s">
        <v>20</v>
      </c>
      <c r="F679" t="s">
        <v>21</v>
      </c>
      <c r="G679" t="s">
        <v>24</v>
      </c>
      <c r="H679">
        <v>272.3</v>
      </c>
      <c r="I679">
        <v>239</v>
      </c>
      <c r="J679">
        <v>94.1</v>
      </c>
      <c r="K679">
        <v>68</v>
      </c>
      <c r="L679">
        <v>23.9</v>
      </c>
      <c r="M679">
        <v>4.5</v>
      </c>
      <c r="N679">
        <v>0.30544700013742698</v>
      </c>
      <c r="O679">
        <v>0.39041774417221198</v>
      </c>
      <c r="P679" t="str">
        <f t="shared" si="20"/>
        <v>F</v>
      </c>
      <c r="Q679" t="str">
        <f t="shared" si="21"/>
        <v>F</v>
      </c>
    </row>
    <row r="680" spans="1:17" hidden="1" x14ac:dyDescent="0.3">
      <c r="A680">
        <v>9210</v>
      </c>
      <c r="B680">
        <v>713</v>
      </c>
      <c r="C680">
        <v>395</v>
      </c>
      <c r="D680" t="s">
        <v>23</v>
      </c>
      <c r="E680" t="s">
        <v>20</v>
      </c>
      <c r="F680" t="s">
        <v>21</v>
      </c>
      <c r="G680" t="s">
        <v>22</v>
      </c>
      <c r="H680">
        <v>273.60000000000002</v>
      </c>
      <c r="I680">
        <v>247</v>
      </c>
      <c r="J680">
        <v>94</v>
      </c>
      <c r="K680">
        <v>68</v>
      </c>
      <c r="L680">
        <v>26.7</v>
      </c>
      <c r="M680">
        <v>7.5</v>
      </c>
      <c r="N680">
        <v>0.18319549808199301</v>
      </c>
      <c r="O680">
        <v>0.35209324305280698</v>
      </c>
      <c r="P680" t="str">
        <f t="shared" si="20"/>
        <v>F</v>
      </c>
      <c r="Q680" t="str">
        <f t="shared" si="21"/>
        <v>F</v>
      </c>
    </row>
    <row r="681" spans="1:17" hidden="1" x14ac:dyDescent="0.3">
      <c r="A681">
        <v>9211</v>
      </c>
      <c r="B681">
        <v>713</v>
      </c>
      <c r="C681">
        <v>395</v>
      </c>
      <c r="D681" t="s">
        <v>23</v>
      </c>
      <c r="E681" t="s">
        <v>20</v>
      </c>
      <c r="F681" t="s">
        <v>21</v>
      </c>
      <c r="G681" t="s">
        <v>22</v>
      </c>
      <c r="H681">
        <v>273.60000000000002</v>
      </c>
      <c r="I681">
        <v>247</v>
      </c>
      <c r="J681">
        <v>94</v>
      </c>
      <c r="K681">
        <v>68</v>
      </c>
      <c r="L681">
        <v>26.7</v>
      </c>
      <c r="M681">
        <v>7.5</v>
      </c>
      <c r="N681">
        <v>0.173220189533701</v>
      </c>
      <c r="O681">
        <v>0.35026193487352902</v>
      </c>
      <c r="P681" t="str">
        <f t="shared" si="20"/>
        <v>F</v>
      </c>
      <c r="Q681" t="str">
        <f t="shared" si="21"/>
        <v>F</v>
      </c>
    </row>
    <row r="682" spans="1:17" hidden="1" x14ac:dyDescent="0.3">
      <c r="A682">
        <v>9246</v>
      </c>
      <c r="B682">
        <v>725</v>
      </c>
      <c r="C682">
        <v>26</v>
      </c>
      <c r="D682" t="s">
        <v>23</v>
      </c>
      <c r="E682" t="s">
        <v>20</v>
      </c>
      <c r="F682" t="s">
        <v>17</v>
      </c>
      <c r="G682" t="s">
        <v>24</v>
      </c>
      <c r="H682">
        <v>270.5</v>
      </c>
      <c r="I682">
        <v>243.5</v>
      </c>
      <c r="J682">
        <v>95.9</v>
      </c>
      <c r="K682">
        <v>66</v>
      </c>
      <c r="L682">
        <v>26.9</v>
      </c>
      <c r="M682">
        <v>6</v>
      </c>
      <c r="N682">
        <v>0.18664227189422</v>
      </c>
      <c r="O682">
        <v>0.36002208379707601</v>
      </c>
      <c r="P682" t="str">
        <f t="shared" si="20"/>
        <v>F</v>
      </c>
      <c r="Q682" t="str">
        <f t="shared" si="21"/>
        <v>F</v>
      </c>
    </row>
    <row r="683" spans="1:17" hidden="1" x14ac:dyDescent="0.3">
      <c r="A683">
        <v>9247</v>
      </c>
      <c r="B683">
        <v>725</v>
      </c>
      <c r="C683">
        <v>26</v>
      </c>
      <c r="D683" t="s">
        <v>23</v>
      </c>
      <c r="E683" t="s">
        <v>20</v>
      </c>
      <c r="F683" t="s">
        <v>17</v>
      </c>
      <c r="G683" t="s">
        <v>24</v>
      </c>
      <c r="H683">
        <v>270.5</v>
      </c>
      <c r="I683">
        <v>243.5</v>
      </c>
      <c r="J683">
        <v>95.9</v>
      </c>
      <c r="K683">
        <v>66</v>
      </c>
      <c r="L683">
        <v>26.9</v>
      </c>
      <c r="M683">
        <v>6</v>
      </c>
      <c r="N683">
        <v>0.20409168641888001</v>
      </c>
      <c r="O683">
        <v>0.36369274812430502</v>
      </c>
      <c r="P683" t="str">
        <f t="shared" si="20"/>
        <v>F</v>
      </c>
      <c r="Q683" t="str">
        <f t="shared" si="21"/>
        <v>F</v>
      </c>
    </row>
    <row r="684" spans="1:17" hidden="1" x14ac:dyDescent="0.3">
      <c r="A684">
        <v>9248</v>
      </c>
      <c r="B684">
        <v>725</v>
      </c>
      <c r="C684">
        <v>26</v>
      </c>
      <c r="D684" t="s">
        <v>23</v>
      </c>
      <c r="E684" t="s">
        <v>20</v>
      </c>
      <c r="F684" t="s">
        <v>17</v>
      </c>
      <c r="G684" t="s">
        <v>24</v>
      </c>
      <c r="H684">
        <v>270.5</v>
      </c>
      <c r="I684">
        <v>243.5</v>
      </c>
      <c r="J684">
        <v>95.9</v>
      </c>
      <c r="K684">
        <v>66</v>
      </c>
      <c r="L684">
        <v>26.9</v>
      </c>
      <c r="M684">
        <v>6</v>
      </c>
      <c r="N684">
        <v>0.183693793905021</v>
      </c>
      <c r="O684">
        <v>0.39119880925452899</v>
      </c>
      <c r="P684" t="str">
        <f t="shared" si="20"/>
        <v>F</v>
      </c>
      <c r="Q684" t="str">
        <f t="shared" si="21"/>
        <v>F</v>
      </c>
    </row>
    <row r="685" spans="1:17" hidden="1" x14ac:dyDescent="0.3">
      <c r="A685">
        <v>9249</v>
      </c>
      <c r="B685">
        <v>725</v>
      </c>
      <c r="C685">
        <v>26</v>
      </c>
      <c r="D685" t="s">
        <v>23</v>
      </c>
      <c r="E685" t="s">
        <v>20</v>
      </c>
      <c r="F685" t="s">
        <v>17</v>
      </c>
      <c r="G685" t="s">
        <v>24</v>
      </c>
      <c r="H685">
        <v>270.5</v>
      </c>
      <c r="I685">
        <v>243.5</v>
      </c>
      <c r="J685">
        <v>95.9</v>
      </c>
      <c r="K685">
        <v>66</v>
      </c>
      <c r="L685">
        <v>26.9</v>
      </c>
      <c r="M685">
        <v>6</v>
      </c>
      <c r="N685">
        <v>0.20193145865790199</v>
      </c>
      <c r="O685">
        <v>0.36504925612685701</v>
      </c>
      <c r="P685" t="str">
        <f t="shared" si="20"/>
        <v>F</v>
      </c>
      <c r="Q685" t="str">
        <f t="shared" si="21"/>
        <v>F</v>
      </c>
    </row>
    <row r="686" spans="1:17" hidden="1" x14ac:dyDescent="0.3">
      <c r="A686">
        <v>9259</v>
      </c>
      <c r="B686">
        <v>73</v>
      </c>
      <c r="C686">
        <v>395</v>
      </c>
      <c r="D686" t="s">
        <v>23</v>
      </c>
      <c r="E686" t="s">
        <v>20</v>
      </c>
      <c r="F686" t="s">
        <v>17</v>
      </c>
      <c r="G686" t="s">
        <v>18</v>
      </c>
      <c r="H686">
        <v>273.60000000000002</v>
      </c>
      <c r="I686">
        <v>247</v>
      </c>
      <c r="J686">
        <v>94</v>
      </c>
      <c r="K686">
        <v>68</v>
      </c>
      <c r="L686">
        <v>26.7</v>
      </c>
      <c r="M686">
        <v>7.5</v>
      </c>
      <c r="N686">
        <v>0.14760977326538899</v>
      </c>
      <c r="O686">
        <v>0.32832460834912602</v>
      </c>
      <c r="P686" t="str">
        <f t="shared" si="20"/>
        <v>F</v>
      </c>
      <c r="Q686" t="str">
        <f t="shared" si="21"/>
        <v>F</v>
      </c>
    </row>
    <row r="687" spans="1:17" hidden="1" x14ac:dyDescent="0.3">
      <c r="A687">
        <v>9260</v>
      </c>
      <c r="B687">
        <v>73</v>
      </c>
      <c r="C687">
        <v>395</v>
      </c>
      <c r="D687" t="s">
        <v>23</v>
      </c>
      <c r="E687" t="s">
        <v>20</v>
      </c>
      <c r="F687" t="s">
        <v>17</v>
      </c>
      <c r="G687" t="s">
        <v>18</v>
      </c>
      <c r="H687">
        <v>273.60000000000002</v>
      </c>
      <c r="I687">
        <v>247</v>
      </c>
      <c r="J687">
        <v>94</v>
      </c>
      <c r="K687">
        <v>68</v>
      </c>
      <c r="L687">
        <v>26.7</v>
      </c>
      <c r="M687">
        <v>7.5</v>
      </c>
      <c r="N687">
        <v>0.15622264616009701</v>
      </c>
      <c r="O687">
        <v>0.348778392056737</v>
      </c>
      <c r="P687" t="str">
        <f t="shared" si="20"/>
        <v>F</v>
      </c>
      <c r="Q687" t="str">
        <f t="shared" si="21"/>
        <v>F</v>
      </c>
    </row>
    <row r="688" spans="1:17" hidden="1" x14ac:dyDescent="0.3">
      <c r="A688">
        <v>9298</v>
      </c>
      <c r="B688">
        <v>744</v>
      </c>
      <c r="C688">
        <v>66</v>
      </c>
      <c r="D688" t="s">
        <v>23</v>
      </c>
      <c r="E688" t="s">
        <v>20</v>
      </c>
      <c r="F688" t="s">
        <v>21</v>
      </c>
      <c r="G688" t="s">
        <v>25</v>
      </c>
      <c r="H688">
        <v>276.2</v>
      </c>
      <c r="I688">
        <v>258</v>
      </c>
      <c r="J688">
        <v>95.8</v>
      </c>
      <c r="K688">
        <v>63.5</v>
      </c>
      <c r="L688">
        <v>26.4</v>
      </c>
      <c r="M688">
        <v>7</v>
      </c>
      <c r="N688">
        <v>0.18357612678402099</v>
      </c>
      <c r="O688">
        <v>0.27995636198989499</v>
      </c>
      <c r="P688" t="str">
        <f t="shared" si="20"/>
        <v>F</v>
      </c>
      <c r="Q688" t="str">
        <f t="shared" si="21"/>
        <v>F</v>
      </c>
    </row>
    <row r="689" spans="1:17" hidden="1" x14ac:dyDescent="0.3">
      <c r="A689">
        <v>9299</v>
      </c>
      <c r="B689">
        <v>744</v>
      </c>
      <c r="C689">
        <v>66</v>
      </c>
      <c r="D689" t="s">
        <v>23</v>
      </c>
      <c r="E689" t="s">
        <v>20</v>
      </c>
      <c r="F689" t="s">
        <v>21</v>
      </c>
      <c r="G689" t="s">
        <v>25</v>
      </c>
      <c r="H689">
        <v>276.2</v>
      </c>
      <c r="I689">
        <v>258</v>
      </c>
      <c r="J689">
        <v>95.8</v>
      </c>
      <c r="K689">
        <v>63.5</v>
      </c>
      <c r="L689">
        <v>26.4</v>
      </c>
      <c r="M689">
        <v>7</v>
      </c>
      <c r="N689">
        <v>0.186386877047342</v>
      </c>
      <c r="O689">
        <v>0.275099115342189</v>
      </c>
      <c r="P689" t="str">
        <f t="shared" si="20"/>
        <v>F</v>
      </c>
      <c r="Q689" t="str">
        <f t="shared" si="21"/>
        <v>F</v>
      </c>
    </row>
    <row r="690" spans="1:17" hidden="1" x14ac:dyDescent="0.3">
      <c r="A690">
        <v>9300</v>
      </c>
      <c r="B690">
        <v>744</v>
      </c>
      <c r="C690">
        <v>66</v>
      </c>
      <c r="D690" t="s">
        <v>23</v>
      </c>
      <c r="E690" t="s">
        <v>20</v>
      </c>
      <c r="F690" t="s">
        <v>21</v>
      </c>
      <c r="G690" t="s">
        <v>25</v>
      </c>
      <c r="H690">
        <v>276.2</v>
      </c>
      <c r="I690">
        <v>258</v>
      </c>
      <c r="J690">
        <v>95.8</v>
      </c>
      <c r="K690">
        <v>63.5</v>
      </c>
      <c r="L690">
        <v>26.4</v>
      </c>
      <c r="M690">
        <v>7</v>
      </c>
      <c r="N690">
        <v>0.179571045596958</v>
      </c>
      <c r="O690">
        <v>0.24485738796819501</v>
      </c>
      <c r="P690" t="str">
        <f t="shared" si="20"/>
        <v>F</v>
      </c>
      <c r="Q690" t="str">
        <f t="shared" si="21"/>
        <v>T</v>
      </c>
    </row>
    <row r="691" spans="1:17" hidden="1" x14ac:dyDescent="0.3">
      <c r="A691">
        <v>9301</v>
      </c>
      <c r="B691">
        <v>744</v>
      </c>
      <c r="C691">
        <v>66</v>
      </c>
      <c r="D691" t="s">
        <v>23</v>
      </c>
      <c r="E691" t="s">
        <v>20</v>
      </c>
      <c r="F691" t="s">
        <v>21</v>
      </c>
      <c r="G691" t="s">
        <v>25</v>
      </c>
      <c r="H691">
        <v>276.2</v>
      </c>
      <c r="I691">
        <v>258</v>
      </c>
      <c r="J691">
        <v>95.8</v>
      </c>
      <c r="K691">
        <v>63.5</v>
      </c>
      <c r="L691">
        <v>26.4</v>
      </c>
      <c r="M691">
        <v>7</v>
      </c>
      <c r="N691">
        <v>0.187112504595047</v>
      </c>
      <c r="O691">
        <v>0.27034787073759597</v>
      </c>
      <c r="P691" t="str">
        <f t="shared" si="20"/>
        <v>F</v>
      </c>
      <c r="Q691" t="str">
        <f t="shared" si="21"/>
        <v>F</v>
      </c>
    </row>
    <row r="692" spans="1:17" hidden="1" x14ac:dyDescent="0.3">
      <c r="A692">
        <v>9343</v>
      </c>
      <c r="B692">
        <v>76</v>
      </c>
      <c r="C692">
        <v>466</v>
      </c>
      <c r="D692" t="s">
        <v>23</v>
      </c>
      <c r="E692" t="s">
        <v>20</v>
      </c>
      <c r="F692" t="s">
        <v>21</v>
      </c>
      <c r="G692" t="s">
        <v>22</v>
      </c>
      <c r="H692">
        <v>282.10000000000002</v>
      </c>
      <c r="I692">
        <v>257</v>
      </c>
      <c r="J692">
        <v>100.3</v>
      </c>
      <c r="K692">
        <v>68.5</v>
      </c>
      <c r="L692">
        <v>27.5</v>
      </c>
      <c r="M692">
        <v>11</v>
      </c>
      <c r="N692">
        <v>6.0387161276551103E-2</v>
      </c>
      <c r="O692">
        <v>0.30185296790249599</v>
      </c>
      <c r="P692" t="str">
        <f t="shared" si="20"/>
        <v>T</v>
      </c>
      <c r="Q692" t="str">
        <f t="shared" si="21"/>
        <v>F</v>
      </c>
    </row>
    <row r="693" spans="1:17" hidden="1" x14ac:dyDescent="0.3">
      <c r="A693">
        <v>9344</v>
      </c>
      <c r="B693">
        <v>76</v>
      </c>
      <c r="C693">
        <v>466</v>
      </c>
      <c r="D693" t="s">
        <v>23</v>
      </c>
      <c r="E693" t="s">
        <v>20</v>
      </c>
      <c r="F693" t="s">
        <v>21</v>
      </c>
      <c r="G693" t="s">
        <v>22</v>
      </c>
      <c r="H693">
        <v>282.10000000000002</v>
      </c>
      <c r="I693">
        <v>257</v>
      </c>
      <c r="J693">
        <v>100.3</v>
      </c>
      <c r="K693">
        <v>68.5</v>
      </c>
      <c r="L693">
        <v>27.5</v>
      </c>
      <c r="M693">
        <v>11</v>
      </c>
      <c r="N693">
        <v>6.7573091404221394E-2</v>
      </c>
      <c r="O693">
        <v>0.296738818808095</v>
      </c>
      <c r="P693" t="str">
        <f t="shared" si="20"/>
        <v>T</v>
      </c>
      <c r="Q693" t="str">
        <f t="shared" si="21"/>
        <v>F</v>
      </c>
    </row>
    <row r="694" spans="1:17" hidden="1" x14ac:dyDescent="0.3">
      <c r="A694">
        <v>9345</v>
      </c>
      <c r="B694">
        <v>76</v>
      </c>
      <c r="C694">
        <v>466</v>
      </c>
      <c r="D694" t="s">
        <v>23</v>
      </c>
      <c r="E694" t="s">
        <v>20</v>
      </c>
      <c r="F694" t="s">
        <v>21</v>
      </c>
      <c r="G694" t="s">
        <v>22</v>
      </c>
      <c r="H694">
        <v>282.10000000000002</v>
      </c>
      <c r="I694">
        <v>257</v>
      </c>
      <c r="J694">
        <v>100.3</v>
      </c>
      <c r="K694">
        <v>68.5</v>
      </c>
      <c r="L694">
        <v>27.5</v>
      </c>
      <c r="M694">
        <v>11</v>
      </c>
      <c r="N694">
        <v>4.7031132324168598E-2</v>
      </c>
      <c r="O694">
        <v>0.26986630403850698</v>
      </c>
      <c r="P694" t="str">
        <f t="shared" si="20"/>
        <v>T</v>
      </c>
      <c r="Q694" t="str">
        <f t="shared" si="21"/>
        <v>F</v>
      </c>
    </row>
    <row r="695" spans="1:17" hidden="1" x14ac:dyDescent="0.3">
      <c r="A695">
        <v>9346</v>
      </c>
      <c r="B695">
        <v>760</v>
      </c>
      <c r="C695">
        <v>71</v>
      </c>
      <c r="D695" t="s">
        <v>23</v>
      </c>
      <c r="E695" t="s">
        <v>20</v>
      </c>
      <c r="F695" t="s">
        <v>21</v>
      </c>
      <c r="G695" t="s">
        <v>26</v>
      </c>
      <c r="H695">
        <v>281</v>
      </c>
      <c r="I695">
        <v>265.5</v>
      </c>
      <c r="J695">
        <v>100.2</v>
      </c>
      <c r="K695">
        <v>66.5</v>
      </c>
      <c r="L695">
        <v>25.2</v>
      </c>
      <c r="M695">
        <v>8</v>
      </c>
      <c r="N695">
        <v>0.16626580114636699</v>
      </c>
      <c r="O695">
        <v>0.136782980406603</v>
      </c>
      <c r="P695" t="str">
        <f t="shared" si="20"/>
        <v>F</v>
      </c>
      <c r="Q695" t="str">
        <f t="shared" si="21"/>
        <v>T</v>
      </c>
    </row>
    <row r="696" spans="1:17" hidden="1" x14ac:dyDescent="0.3">
      <c r="A696">
        <v>9495</v>
      </c>
      <c r="B696">
        <v>816</v>
      </c>
      <c r="C696">
        <v>483</v>
      </c>
      <c r="D696" t="s">
        <v>23</v>
      </c>
      <c r="E696" t="s">
        <v>20</v>
      </c>
      <c r="F696" t="s">
        <v>21</v>
      </c>
      <c r="G696" t="s">
        <v>22</v>
      </c>
      <c r="H696">
        <v>271.89999999999998</v>
      </c>
      <c r="I696">
        <v>246</v>
      </c>
      <c r="J696">
        <v>94.4</v>
      </c>
      <c r="K696">
        <v>60.5</v>
      </c>
      <c r="L696">
        <v>27.6</v>
      </c>
      <c r="M696">
        <v>13.5</v>
      </c>
      <c r="N696">
        <v>0.113359389719696</v>
      </c>
      <c r="O696">
        <v>0.19598579177485501</v>
      </c>
      <c r="P696" t="str">
        <f t="shared" si="20"/>
        <v>F</v>
      </c>
      <c r="Q696" t="str">
        <f t="shared" si="21"/>
        <v>T</v>
      </c>
    </row>
    <row r="697" spans="1:17" hidden="1" x14ac:dyDescent="0.3">
      <c r="A697">
        <v>9496</v>
      </c>
      <c r="B697">
        <v>816</v>
      </c>
      <c r="C697">
        <v>483</v>
      </c>
      <c r="D697" t="s">
        <v>23</v>
      </c>
      <c r="E697" t="s">
        <v>20</v>
      </c>
      <c r="F697" t="s">
        <v>21</v>
      </c>
      <c r="G697" t="s">
        <v>22</v>
      </c>
      <c r="H697">
        <v>271.89999999999998</v>
      </c>
      <c r="I697">
        <v>246</v>
      </c>
      <c r="J697">
        <v>94.4</v>
      </c>
      <c r="K697">
        <v>60.5</v>
      </c>
      <c r="L697">
        <v>27.6</v>
      </c>
      <c r="M697">
        <v>13.5</v>
      </c>
      <c r="N697">
        <v>0.13274070278963401</v>
      </c>
      <c r="O697">
        <v>0.20005808936153599</v>
      </c>
      <c r="P697" t="str">
        <f t="shared" si="20"/>
        <v>F</v>
      </c>
      <c r="Q697" t="str">
        <f t="shared" si="21"/>
        <v>T</v>
      </c>
    </row>
    <row r="698" spans="1:17" hidden="1" x14ac:dyDescent="0.3">
      <c r="A698">
        <v>9537</v>
      </c>
      <c r="B698">
        <v>833</v>
      </c>
      <c r="C698">
        <v>98</v>
      </c>
      <c r="D698" t="s">
        <v>23</v>
      </c>
      <c r="E698" t="s">
        <v>20</v>
      </c>
      <c r="F698" t="s">
        <v>17</v>
      </c>
      <c r="G698" t="s">
        <v>25</v>
      </c>
      <c r="H698">
        <v>276.60000000000002</v>
      </c>
      <c r="I698">
        <v>257.5</v>
      </c>
      <c r="J698">
        <v>95.2</v>
      </c>
      <c r="K698">
        <v>67.5</v>
      </c>
      <c r="L698">
        <v>24.1</v>
      </c>
      <c r="M698">
        <v>9.5</v>
      </c>
      <c r="N698">
        <v>0.20101448909994599</v>
      </c>
      <c r="O698">
        <v>0.36607587511462902</v>
      </c>
      <c r="P698" t="str">
        <f t="shared" si="20"/>
        <v>F</v>
      </c>
      <c r="Q698" t="str">
        <f t="shared" si="21"/>
        <v>F</v>
      </c>
    </row>
    <row r="699" spans="1:17" hidden="1" x14ac:dyDescent="0.3">
      <c r="A699">
        <v>9538</v>
      </c>
      <c r="B699">
        <v>833</v>
      </c>
      <c r="C699">
        <v>98</v>
      </c>
      <c r="D699" t="s">
        <v>23</v>
      </c>
      <c r="E699" t="s">
        <v>20</v>
      </c>
      <c r="F699" t="s">
        <v>17</v>
      </c>
      <c r="G699" t="s">
        <v>25</v>
      </c>
      <c r="H699">
        <v>276.60000000000002</v>
      </c>
      <c r="I699">
        <v>257.5</v>
      </c>
      <c r="J699">
        <v>95.2</v>
      </c>
      <c r="K699">
        <v>67.5</v>
      </c>
      <c r="L699">
        <v>24.1</v>
      </c>
      <c r="M699">
        <v>9.5</v>
      </c>
      <c r="N699">
        <v>0.19376041223044299</v>
      </c>
      <c r="O699">
        <v>0.38437141097605199</v>
      </c>
      <c r="P699" t="str">
        <f t="shared" si="20"/>
        <v>F</v>
      </c>
      <c r="Q699" t="str">
        <f t="shared" si="21"/>
        <v>F</v>
      </c>
    </row>
    <row r="700" spans="1:17" hidden="1" x14ac:dyDescent="0.3">
      <c r="A700">
        <v>9539</v>
      </c>
      <c r="B700">
        <v>833</v>
      </c>
      <c r="C700">
        <v>98</v>
      </c>
      <c r="D700" t="s">
        <v>23</v>
      </c>
      <c r="E700" t="s">
        <v>20</v>
      </c>
      <c r="F700" t="s">
        <v>17</v>
      </c>
      <c r="G700" t="s">
        <v>25</v>
      </c>
      <c r="H700">
        <v>276.60000000000002</v>
      </c>
      <c r="I700">
        <v>257.5</v>
      </c>
      <c r="J700">
        <v>95.2</v>
      </c>
      <c r="K700">
        <v>67.5</v>
      </c>
      <c r="L700">
        <v>24.1</v>
      </c>
      <c r="M700">
        <v>9.5</v>
      </c>
      <c r="N700">
        <v>0.179396198299766</v>
      </c>
      <c r="O700">
        <v>0.366001826257351</v>
      </c>
      <c r="P700" t="str">
        <f t="shared" si="20"/>
        <v>F</v>
      </c>
      <c r="Q700" t="str">
        <f t="shared" si="21"/>
        <v>F</v>
      </c>
    </row>
    <row r="701" spans="1:17" hidden="1" x14ac:dyDescent="0.3">
      <c r="A701">
        <v>9551</v>
      </c>
      <c r="B701">
        <v>838</v>
      </c>
      <c r="C701">
        <v>71</v>
      </c>
      <c r="D701" t="s">
        <v>23</v>
      </c>
      <c r="E701" t="s">
        <v>20</v>
      </c>
      <c r="F701" t="s">
        <v>21</v>
      </c>
      <c r="G701" t="s">
        <v>18</v>
      </c>
      <c r="H701">
        <v>281</v>
      </c>
      <c r="I701">
        <v>265.5</v>
      </c>
      <c r="J701">
        <v>100.2</v>
      </c>
      <c r="K701">
        <v>66.5</v>
      </c>
      <c r="L701">
        <v>25.2</v>
      </c>
      <c r="M701">
        <v>8</v>
      </c>
      <c r="N701">
        <v>0.18093796990210301</v>
      </c>
      <c r="O701">
        <v>0.15819963648090801</v>
      </c>
      <c r="P701" t="str">
        <f t="shared" si="20"/>
        <v>F</v>
      </c>
      <c r="Q701" t="str">
        <f t="shared" si="21"/>
        <v>T</v>
      </c>
    </row>
    <row r="702" spans="1:17" hidden="1" x14ac:dyDescent="0.3">
      <c r="A702">
        <v>9552</v>
      </c>
      <c r="B702">
        <v>838</v>
      </c>
      <c r="C702">
        <v>71</v>
      </c>
      <c r="D702" t="s">
        <v>23</v>
      </c>
      <c r="E702" t="s">
        <v>20</v>
      </c>
      <c r="F702" t="s">
        <v>21</v>
      </c>
      <c r="G702" t="s">
        <v>18</v>
      </c>
      <c r="H702">
        <v>281</v>
      </c>
      <c r="I702">
        <v>265.5</v>
      </c>
      <c r="J702">
        <v>100.2</v>
      </c>
      <c r="K702">
        <v>66.5</v>
      </c>
      <c r="L702">
        <v>25.2</v>
      </c>
      <c r="M702">
        <v>8</v>
      </c>
      <c r="N702">
        <v>0.154724032846037</v>
      </c>
      <c r="O702">
        <v>0.15324741598778499</v>
      </c>
      <c r="P702" t="str">
        <f t="shared" si="20"/>
        <v>F</v>
      </c>
      <c r="Q702" t="str">
        <f t="shared" si="21"/>
        <v>T</v>
      </c>
    </row>
    <row r="703" spans="1:17" hidden="1" x14ac:dyDescent="0.3">
      <c r="A703">
        <v>9588</v>
      </c>
      <c r="B703">
        <v>856</v>
      </c>
      <c r="C703">
        <v>337</v>
      </c>
      <c r="D703" t="s">
        <v>23</v>
      </c>
      <c r="E703" t="s">
        <v>20</v>
      </c>
      <c r="F703" t="s">
        <v>21</v>
      </c>
      <c r="G703" t="s">
        <v>24</v>
      </c>
      <c r="H703">
        <v>279.7</v>
      </c>
      <c r="I703">
        <v>255</v>
      </c>
      <c r="J703">
        <v>95.2</v>
      </c>
      <c r="K703">
        <v>68</v>
      </c>
      <c r="L703">
        <v>25.3</v>
      </c>
      <c r="M703">
        <v>5.5</v>
      </c>
      <c r="N703">
        <v>0.214867630301976</v>
      </c>
      <c r="O703">
        <v>0.35284813701330298</v>
      </c>
      <c r="P703" t="str">
        <f t="shared" si="20"/>
        <v>F</v>
      </c>
      <c r="Q703" t="str">
        <f t="shared" si="21"/>
        <v>F</v>
      </c>
    </row>
    <row r="704" spans="1:17" hidden="1" x14ac:dyDescent="0.3">
      <c r="A704">
        <v>9589</v>
      </c>
      <c r="B704">
        <v>856</v>
      </c>
      <c r="C704">
        <v>337</v>
      </c>
      <c r="D704" t="s">
        <v>23</v>
      </c>
      <c r="E704" t="s">
        <v>20</v>
      </c>
      <c r="F704" t="s">
        <v>21</v>
      </c>
      <c r="G704" t="s">
        <v>24</v>
      </c>
      <c r="H704">
        <v>279.7</v>
      </c>
      <c r="I704">
        <v>255</v>
      </c>
      <c r="J704">
        <v>95.2</v>
      </c>
      <c r="K704">
        <v>68</v>
      </c>
      <c r="L704">
        <v>25.3</v>
      </c>
      <c r="M704">
        <v>5.5</v>
      </c>
      <c r="N704">
        <v>0.21456731746979499</v>
      </c>
      <c r="O704">
        <v>0.384823817890247</v>
      </c>
      <c r="P704" t="str">
        <f t="shared" si="20"/>
        <v>F</v>
      </c>
      <c r="Q704" t="str">
        <f t="shared" si="21"/>
        <v>F</v>
      </c>
    </row>
    <row r="705" spans="1:17" hidden="1" x14ac:dyDescent="0.3">
      <c r="A705">
        <v>9590</v>
      </c>
      <c r="B705">
        <v>856</v>
      </c>
      <c r="C705">
        <v>337</v>
      </c>
      <c r="D705" t="s">
        <v>23</v>
      </c>
      <c r="E705" t="s">
        <v>20</v>
      </c>
      <c r="F705" t="s">
        <v>21</v>
      </c>
      <c r="G705" t="s">
        <v>24</v>
      </c>
      <c r="H705">
        <v>279.7</v>
      </c>
      <c r="I705">
        <v>255</v>
      </c>
      <c r="J705">
        <v>95.2</v>
      </c>
      <c r="K705">
        <v>68</v>
      </c>
      <c r="L705">
        <v>25.3</v>
      </c>
      <c r="M705">
        <v>5.5</v>
      </c>
      <c r="N705">
        <v>0.20883923519188999</v>
      </c>
      <c r="O705">
        <v>0.35610337552143401</v>
      </c>
      <c r="P705" t="str">
        <f t="shared" si="20"/>
        <v>F</v>
      </c>
      <c r="Q705" t="str">
        <f t="shared" si="21"/>
        <v>F</v>
      </c>
    </row>
    <row r="706" spans="1:17" hidden="1" x14ac:dyDescent="0.3">
      <c r="A706">
        <v>9619</v>
      </c>
      <c r="B706">
        <v>868</v>
      </c>
      <c r="C706">
        <v>95</v>
      </c>
      <c r="D706" t="s">
        <v>23</v>
      </c>
      <c r="E706" t="s">
        <v>20</v>
      </c>
      <c r="F706" t="s">
        <v>17</v>
      </c>
      <c r="G706" t="s">
        <v>18</v>
      </c>
      <c r="H706">
        <v>276.60000000000002</v>
      </c>
      <c r="I706">
        <v>250.5</v>
      </c>
      <c r="J706">
        <v>100</v>
      </c>
      <c r="K706">
        <v>67</v>
      </c>
      <c r="L706">
        <v>28.2</v>
      </c>
      <c r="M706">
        <v>6.5</v>
      </c>
      <c r="N706">
        <v>9.4628980158947495E-2</v>
      </c>
      <c r="O706">
        <v>0.32328275443813498</v>
      </c>
      <c r="P706" t="str">
        <f t="shared" ref="P706:P731" si="22">IF(N706&lt;0.100978, "T", "F")</f>
        <v>T</v>
      </c>
      <c r="Q706" t="str">
        <f t="shared" ref="Q706:Q731" si="23">IF(O706&lt;0.268491, "T", "F")</f>
        <v>F</v>
      </c>
    </row>
    <row r="707" spans="1:17" hidden="1" x14ac:dyDescent="0.3">
      <c r="A707">
        <v>9620</v>
      </c>
      <c r="B707">
        <v>868</v>
      </c>
      <c r="C707">
        <v>95</v>
      </c>
      <c r="D707" t="s">
        <v>23</v>
      </c>
      <c r="E707" t="s">
        <v>20</v>
      </c>
      <c r="F707" t="s">
        <v>17</v>
      </c>
      <c r="G707" t="s">
        <v>18</v>
      </c>
      <c r="H707">
        <v>276.60000000000002</v>
      </c>
      <c r="I707">
        <v>250.5</v>
      </c>
      <c r="J707">
        <v>100</v>
      </c>
      <c r="K707">
        <v>67</v>
      </c>
      <c r="L707">
        <v>28.2</v>
      </c>
      <c r="M707">
        <v>6.5</v>
      </c>
      <c r="N707">
        <v>0.101144490156339</v>
      </c>
      <c r="O707">
        <v>0.31305980118194299</v>
      </c>
      <c r="P707" t="str">
        <f t="shared" si="22"/>
        <v>F</v>
      </c>
      <c r="Q707" t="str">
        <f t="shared" si="23"/>
        <v>F</v>
      </c>
    </row>
    <row r="708" spans="1:17" hidden="1" x14ac:dyDescent="0.3">
      <c r="A708">
        <v>9621</v>
      </c>
      <c r="B708">
        <v>868</v>
      </c>
      <c r="C708">
        <v>95</v>
      </c>
      <c r="D708" t="s">
        <v>23</v>
      </c>
      <c r="E708" t="s">
        <v>20</v>
      </c>
      <c r="F708" t="s">
        <v>17</v>
      </c>
      <c r="G708" t="s">
        <v>18</v>
      </c>
      <c r="H708">
        <v>276.60000000000002</v>
      </c>
      <c r="I708">
        <v>250.5</v>
      </c>
      <c r="J708">
        <v>100</v>
      </c>
      <c r="K708">
        <v>67</v>
      </c>
      <c r="L708">
        <v>28.2</v>
      </c>
      <c r="M708">
        <v>6.5</v>
      </c>
      <c r="N708">
        <v>0.102741342173677</v>
      </c>
      <c r="O708">
        <v>0.30493387281818102</v>
      </c>
      <c r="P708" t="str">
        <f t="shared" si="22"/>
        <v>F</v>
      </c>
      <c r="Q708" t="str">
        <f t="shared" si="23"/>
        <v>F</v>
      </c>
    </row>
    <row r="709" spans="1:17" hidden="1" x14ac:dyDescent="0.3">
      <c r="A709">
        <v>9622</v>
      </c>
      <c r="B709">
        <v>868</v>
      </c>
      <c r="C709">
        <v>95</v>
      </c>
      <c r="D709" t="s">
        <v>23</v>
      </c>
      <c r="E709" t="s">
        <v>20</v>
      </c>
      <c r="F709" t="s">
        <v>17</v>
      </c>
      <c r="G709" t="s">
        <v>18</v>
      </c>
      <c r="H709">
        <v>276.60000000000002</v>
      </c>
      <c r="I709">
        <v>250.5</v>
      </c>
      <c r="J709">
        <v>100</v>
      </c>
      <c r="K709">
        <v>67</v>
      </c>
      <c r="L709">
        <v>28.2</v>
      </c>
      <c r="M709">
        <v>6.5</v>
      </c>
      <c r="N709">
        <v>9.6760713465575895E-2</v>
      </c>
      <c r="O709">
        <v>0.341940160515874</v>
      </c>
      <c r="P709" t="str">
        <f t="shared" si="22"/>
        <v>T</v>
      </c>
      <c r="Q709" t="str">
        <f t="shared" si="23"/>
        <v>F</v>
      </c>
    </row>
    <row r="710" spans="1:17" hidden="1" x14ac:dyDescent="0.3">
      <c r="A710">
        <v>9623</v>
      </c>
      <c r="B710">
        <v>868</v>
      </c>
      <c r="C710">
        <v>95</v>
      </c>
      <c r="D710" t="s">
        <v>23</v>
      </c>
      <c r="E710" t="s">
        <v>20</v>
      </c>
      <c r="F710" t="s">
        <v>17</v>
      </c>
      <c r="G710" t="s">
        <v>18</v>
      </c>
      <c r="H710">
        <v>276.60000000000002</v>
      </c>
      <c r="I710">
        <v>250.5</v>
      </c>
      <c r="J710">
        <v>100</v>
      </c>
      <c r="K710">
        <v>67</v>
      </c>
      <c r="L710">
        <v>28.2</v>
      </c>
      <c r="M710">
        <v>6.5</v>
      </c>
      <c r="N710">
        <v>0.113190527606827</v>
      </c>
      <c r="O710">
        <v>0.30391270120745201</v>
      </c>
      <c r="P710" t="str">
        <f t="shared" si="22"/>
        <v>F</v>
      </c>
      <c r="Q710" t="str">
        <f t="shared" si="23"/>
        <v>F</v>
      </c>
    </row>
    <row r="711" spans="1:17" hidden="1" x14ac:dyDescent="0.3">
      <c r="A711">
        <v>9624</v>
      </c>
      <c r="B711">
        <v>868</v>
      </c>
      <c r="C711">
        <v>95</v>
      </c>
      <c r="D711" t="s">
        <v>23</v>
      </c>
      <c r="E711" t="s">
        <v>20</v>
      </c>
      <c r="F711" t="s">
        <v>17</v>
      </c>
      <c r="G711" t="s">
        <v>18</v>
      </c>
      <c r="H711">
        <v>276.60000000000002</v>
      </c>
      <c r="I711">
        <v>250.5</v>
      </c>
      <c r="J711">
        <v>100</v>
      </c>
      <c r="K711">
        <v>67</v>
      </c>
      <c r="L711">
        <v>28.2</v>
      </c>
      <c r="M711">
        <v>6.5</v>
      </c>
      <c r="N711">
        <v>9.5697029743570902E-2</v>
      </c>
      <c r="O711">
        <v>0.30736843596033903</v>
      </c>
      <c r="P711" t="str">
        <f t="shared" si="22"/>
        <v>T</v>
      </c>
      <c r="Q711" t="str">
        <f t="shared" si="23"/>
        <v>F</v>
      </c>
    </row>
    <row r="712" spans="1:17" hidden="1" x14ac:dyDescent="0.3">
      <c r="A712">
        <v>9671</v>
      </c>
      <c r="B712">
        <v>885</v>
      </c>
      <c r="C712">
        <v>122</v>
      </c>
      <c r="D712" t="s">
        <v>23</v>
      </c>
      <c r="E712" t="s">
        <v>20</v>
      </c>
      <c r="F712" t="s">
        <v>21</v>
      </c>
      <c r="G712" t="s">
        <v>18</v>
      </c>
      <c r="H712">
        <v>276.60000000000002</v>
      </c>
      <c r="I712">
        <v>246.5</v>
      </c>
      <c r="J712">
        <v>96.7</v>
      </c>
      <c r="K712">
        <v>65.5</v>
      </c>
      <c r="L712">
        <v>30.9</v>
      </c>
      <c r="M712">
        <v>8.5</v>
      </c>
      <c r="N712">
        <v>5.47275028456344E-2</v>
      </c>
      <c r="O712">
        <v>0.28509617052724101</v>
      </c>
      <c r="P712" t="str">
        <f t="shared" si="22"/>
        <v>T</v>
      </c>
      <c r="Q712" t="str">
        <f t="shared" si="23"/>
        <v>F</v>
      </c>
    </row>
    <row r="713" spans="1:17" hidden="1" x14ac:dyDescent="0.3">
      <c r="A713">
        <v>9689</v>
      </c>
      <c r="B713">
        <v>891</v>
      </c>
      <c r="C713">
        <v>483</v>
      </c>
      <c r="D713" t="s">
        <v>23</v>
      </c>
      <c r="E713" t="s">
        <v>20</v>
      </c>
      <c r="F713" t="s">
        <v>17</v>
      </c>
      <c r="G713" t="s">
        <v>18</v>
      </c>
      <c r="H713">
        <v>271.89999999999998</v>
      </c>
      <c r="I713">
        <v>246</v>
      </c>
      <c r="J713">
        <v>94.4</v>
      </c>
      <c r="K713">
        <v>60.5</v>
      </c>
      <c r="L713">
        <v>27.6</v>
      </c>
      <c r="M713">
        <v>13.5</v>
      </c>
      <c r="N713">
        <v>0.108641303602121</v>
      </c>
      <c r="O713">
        <v>0.19259872393503699</v>
      </c>
      <c r="P713" t="str">
        <f t="shared" si="22"/>
        <v>F</v>
      </c>
      <c r="Q713" t="str">
        <f t="shared" si="23"/>
        <v>T</v>
      </c>
    </row>
    <row r="714" spans="1:17" hidden="1" x14ac:dyDescent="0.3">
      <c r="A714">
        <v>9731</v>
      </c>
      <c r="B714">
        <v>904</v>
      </c>
      <c r="C714">
        <v>80</v>
      </c>
      <c r="D714" t="s">
        <v>23</v>
      </c>
      <c r="E714" t="s">
        <v>20</v>
      </c>
      <c r="F714" t="s">
        <v>21</v>
      </c>
      <c r="G714" t="s">
        <v>18</v>
      </c>
      <c r="H714">
        <v>279</v>
      </c>
      <c r="I714">
        <v>254</v>
      </c>
      <c r="J714">
        <v>97.1</v>
      </c>
      <c r="K714">
        <v>67</v>
      </c>
      <c r="L714">
        <v>24.6</v>
      </c>
      <c r="M714">
        <v>7</v>
      </c>
      <c r="N714">
        <v>0.22269632417726101</v>
      </c>
      <c r="O714">
        <v>0.33084672772606599</v>
      </c>
      <c r="P714" t="str">
        <f t="shared" si="22"/>
        <v>F</v>
      </c>
      <c r="Q714" t="str">
        <f t="shared" si="23"/>
        <v>F</v>
      </c>
    </row>
    <row r="715" spans="1:17" hidden="1" x14ac:dyDescent="0.3">
      <c r="A715">
        <v>9732</v>
      </c>
      <c r="B715">
        <v>904</v>
      </c>
      <c r="C715">
        <v>80</v>
      </c>
      <c r="D715" t="s">
        <v>23</v>
      </c>
      <c r="E715" t="s">
        <v>20</v>
      </c>
      <c r="F715" t="s">
        <v>21</v>
      </c>
      <c r="G715" t="s">
        <v>18</v>
      </c>
      <c r="H715">
        <v>279</v>
      </c>
      <c r="I715">
        <v>254</v>
      </c>
      <c r="J715">
        <v>97.1</v>
      </c>
      <c r="K715">
        <v>67</v>
      </c>
      <c r="L715">
        <v>24.6</v>
      </c>
      <c r="M715">
        <v>7</v>
      </c>
      <c r="N715">
        <v>0.196141435487799</v>
      </c>
      <c r="O715">
        <v>0.342540284523353</v>
      </c>
      <c r="P715" t="str">
        <f t="shared" si="22"/>
        <v>F</v>
      </c>
      <c r="Q715" t="str">
        <f t="shared" si="23"/>
        <v>F</v>
      </c>
    </row>
    <row r="716" spans="1:17" hidden="1" x14ac:dyDescent="0.3">
      <c r="A716">
        <v>9733</v>
      </c>
      <c r="B716">
        <v>904</v>
      </c>
      <c r="C716">
        <v>80</v>
      </c>
      <c r="D716" t="s">
        <v>23</v>
      </c>
      <c r="E716" t="s">
        <v>20</v>
      </c>
      <c r="F716" t="s">
        <v>21</v>
      </c>
      <c r="G716" t="s">
        <v>18</v>
      </c>
      <c r="H716">
        <v>279</v>
      </c>
      <c r="I716">
        <v>254</v>
      </c>
      <c r="J716">
        <v>97.1</v>
      </c>
      <c r="K716">
        <v>67</v>
      </c>
      <c r="L716">
        <v>24.6</v>
      </c>
      <c r="M716">
        <v>7</v>
      </c>
      <c r="N716">
        <v>0.20429898415523701</v>
      </c>
      <c r="O716">
        <v>0.36251040973249798</v>
      </c>
      <c r="P716" t="str">
        <f t="shared" si="22"/>
        <v>F</v>
      </c>
      <c r="Q716" t="str">
        <f t="shared" si="23"/>
        <v>F</v>
      </c>
    </row>
    <row r="717" spans="1:17" hidden="1" x14ac:dyDescent="0.3">
      <c r="A717">
        <v>9734</v>
      </c>
      <c r="B717">
        <v>904</v>
      </c>
      <c r="C717">
        <v>80</v>
      </c>
      <c r="D717" t="s">
        <v>23</v>
      </c>
      <c r="E717" t="s">
        <v>20</v>
      </c>
      <c r="F717" t="s">
        <v>21</v>
      </c>
      <c r="G717" t="s">
        <v>18</v>
      </c>
      <c r="H717">
        <v>279</v>
      </c>
      <c r="I717">
        <v>254</v>
      </c>
      <c r="J717">
        <v>97.1</v>
      </c>
      <c r="K717">
        <v>67</v>
      </c>
      <c r="L717">
        <v>24.6</v>
      </c>
      <c r="M717">
        <v>7</v>
      </c>
      <c r="N717">
        <v>0.22043714084302399</v>
      </c>
      <c r="O717">
        <v>0.35480219857448397</v>
      </c>
      <c r="P717" t="str">
        <f t="shared" si="22"/>
        <v>F</v>
      </c>
      <c r="Q717" t="str">
        <f t="shared" si="23"/>
        <v>F</v>
      </c>
    </row>
    <row r="718" spans="1:17" hidden="1" x14ac:dyDescent="0.3">
      <c r="A718">
        <v>9742</v>
      </c>
      <c r="B718">
        <v>907</v>
      </c>
      <c r="C718">
        <v>98</v>
      </c>
      <c r="D718" t="s">
        <v>23</v>
      </c>
      <c r="E718" t="s">
        <v>20</v>
      </c>
      <c r="F718" t="s">
        <v>17</v>
      </c>
      <c r="G718" t="s">
        <v>25</v>
      </c>
      <c r="H718">
        <v>276.60000000000002</v>
      </c>
      <c r="I718">
        <v>257.5</v>
      </c>
      <c r="J718">
        <v>95.2</v>
      </c>
      <c r="K718">
        <v>67.5</v>
      </c>
      <c r="L718">
        <v>24.1</v>
      </c>
      <c r="M718">
        <v>9.5</v>
      </c>
      <c r="N718">
        <v>0.180793475458456</v>
      </c>
      <c r="O718">
        <v>0.36338755696966402</v>
      </c>
      <c r="P718" t="str">
        <f t="shared" si="22"/>
        <v>F</v>
      </c>
      <c r="Q718" t="str">
        <f t="shared" si="23"/>
        <v>F</v>
      </c>
    </row>
    <row r="719" spans="1:17" hidden="1" x14ac:dyDescent="0.3">
      <c r="A719">
        <v>9743</v>
      </c>
      <c r="B719">
        <v>907</v>
      </c>
      <c r="C719">
        <v>98</v>
      </c>
      <c r="D719" t="s">
        <v>23</v>
      </c>
      <c r="E719" t="s">
        <v>20</v>
      </c>
      <c r="F719" t="s">
        <v>17</v>
      </c>
      <c r="G719" t="s">
        <v>25</v>
      </c>
      <c r="H719">
        <v>276.60000000000002</v>
      </c>
      <c r="I719">
        <v>257.5</v>
      </c>
      <c r="J719">
        <v>95.2</v>
      </c>
      <c r="K719">
        <v>67.5</v>
      </c>
      <c r="L719">
        <v>24.1</v>
      </c>
      <c r="M719">
        <v>9.5</v>
      </c>
      <c r="N719">
        <v>0.18516479597848401</v>
      </c>
      <c r="O719">
        <v>0.37131832552601302</v>
      </c>
      <c r="P719" t="str">
        <f t="shared" si="22"/>
        <v>F</v>
      </c>
      <c r="Q719" t="str">
        <f t="shared" si="23"/>
        <v>F</v>
      </c>
    </row>
    <row r="720" spans="1:17" hidden="1" x14ac:dyDescent="0.3">
      <c r="A720">
        <v>9797</v>
      </c>
      <c r="B720">
        <v>928</v>
      </c>
      <c r="C720">
        <v>289</v>
      </c>
      <c r="D720" t="s">
        <v>23</v>
      </c>
      <c r="E720" t="s">
        <v>20</v>
      </c>
      <c r="F720" t="s">
        <v>17</v>
      </c>
      <c r="G720" t="s">
        <v>18</v>
      </c>
      <c r="H720">
        <v>279.39999999999998</v>
      </c>
      <c r="I720">
        <v>256</v>
      </c>
      <c r="J720">
        <v>95.5</v>
      </c>
      <c r="K720">
        <v>69.5</v>
      </c>
      <c r="L720">
        <v>26.8</v>
      </c>
      <c r="M720">
        <v>13</v>
      </c>
      <c r="N720">
        <v>0.122121731628156</v>
      </c>
      <c r="O720">
        <v>0.44816937870013801</v>
      </c>
      <c r="P720" t="str">
        <f t="shared" si="22"/>
        <v>F</v>
      </c>
      <c r="Q720" t="str">
        <f t="shared" si="23"/>
        <v>F</v>
      </c>
    </row>
    <row r="721" spans="1:17" hidden="1" x14ac:dyDescent="0.3">
      <c r="A721">
        <v>9809</v>
      </c>
      <c r="B721">
        <v>932</v>
      </c>
      <c r="C721">
        <v>267</v>
      </c>
      <c r="D721" t="s">
        <v>23</v>
      </c>
      <c r="E721" t="s">
        <v>20</v>
      </c>
      <c r="F721" t="s">
        <v>21</v>
      </c>
      <c r="G721" t="s">
        <v>25</v>
      </c>
      <c r="H721">
        <v>275.39999999999998</v>
      </c>
      <c r="I721">
        <v>244.5</v>
      </c>
      <c r="J721">
        <v>95.4</v>
      </c>
      <c r="K721">
        <v>67</v>
      </c>
      <c r="L721">
        <v>22.2</v>
      </c>
      <c r="M721">
        <v>9.5</v>
      </c>
      <c r="N721">
        <v>0.24263978310505199</v>
      </c>
      <c r="O721">
        <v>0.21152636055979501</v>
      </c>
      <c r="P721" t="str">
        <f t="shared" si="22"/>
        <v>F</v>
      </c>
      <c r="Q721" t="str">
        <f t="shared" si="23"/>
        <v>T</v>
      </c>
    </row>
    <row r="722" spans="1:17" hidden="1" x14ac:dyDescent="0.3">
      <c r="A722">
        <v>9818</v>
      </c>
      <c r="B722">
        <v>938</v>
      </c>
      <c r="C722">
        <v>289</v>
      </c>
      <c r="D722" t="s">
        <v>23</v>
      </c>
      <c r="E722" t="s">
        <v>20</v>
      </c>
      <c r="F722" t="s">
        <v>21</v>
      </c>
      <c r="G722" t="s">
        <v>26</v>
      </c>
      <c r="H722">
        <v>279.39999999999998</v>
      </c>
      <c r="I722">
        <v>256</v>
      </c>
      <c r="J722">
        <v>95.5</v>
      </c>
      <c r="K722">
        <v>69.5</v>
      </c>
      <c r="L722">
        <v>26.8</v>
      </c>
      <c r="M722">
        <v>13</v>
      </c>
      <c r="N722">
        <v>0.110799608039013</v>
      </c>
      <c r="O722">
        <v>0.44000454275358097</v>
      </c>
      <c r="P722" t="str">
        <f t="shared" si="22"/>
        <v>F</v>
      </c>
      <c r="Q722" t="str">
        <f t="shared" si="23"/>
        <v>F</v>
      </c>
    </row>
    <row r="723" spans="1:17" hidden="1" x14ac:dyDescent="0.3">
      <c r="A723">
        <v>9820</v>
      </c>
      <c r="B723">
        <v>94</v>
      </c>
      <c r="C723">
        <v>80</v>
      </c>
      <c r="D723" t="s">
        <v>23</v>
      </c>
      <c r="E723" t="s">
        <v>20</v>
      </c>
      <c r="F723" t="s">
        <v>21</v>
      </c>
      <c r="G723" t="s">
        <v>24</v>
      </c>
      <c r="H723">
        <v>279</v>
      </c>
      <c r="I723">
        <v>254</v>
      </c>
      <c r="J723">
        <v>97.1</v>
      </c>
      <c r="K723">
        <v>67</v>
      </c>
      <c r="L723">
        <v>24.6</v>
      </c>
      <c r="M723">
        <v>7</v>
      </c>
      <c r="N723">
        <v>0.219096697088735</v>
      </c>
      <c r="O723">
        <v>0.35794432664451897</v>
      </c>
      <c r="P723" t="str">
        <f t="shared" si="22"/>
        <v>F</v>
      </c>
      <c r="Q723" t="str">
        <f t="shared" si="23"/>
        <v>F</v>
      </c>
    </row>
    <row r="724" spans="1:17" hidden="1" x14ac:dyDescent="0.3">
      <c r="A724">
        <v>9841</v>
      </c>
      <c r="B724">
        <v>949</v>
      </c>
      <c r="C724">
        <v>122</v>
      </c>
      <c r="D724" t="s">
        <v>23</v>
      </c>
      <c r="E724" t="s">
        <v>20</v>
      </c>
      <c r="F724" t="s">
        <v>21</v>
      </c>
      <c r="G724" t="s">
        <v>26</v>
      </c>
      <c r="H724">
        <v>276.60000000000002</v>
      </c>
      <c r="I724">
        <v>246.5</v>
      </c>
      <c r="J724">
        <v>96.7</v>
      </c>
      <c r="K724">
        <v>65.5</v>
      </c>
      <c r="L724">
        <v>30.9</v>
      </c>
      <c r="M724">
        <v>8.5</v>
      </c>
      <c r="N724">
        <v>5.8311442576385202E-2</v>
      </c>
      <c r="O724">
        <v>0.28706430756849199</v>
      </c>
      <c r="P724" t="str">
        <f t="shared" si="22"/>
        <v>T</v>
      </c>
      <c r="Q724" t="str">
        <f t="shared" si="23"/>
        <v>F</v>
      </c>
    </row>
    <row r="725" spans="1:17" hidden="1" x14ac:dyDescent="0.3">
      <c r="A725">
        <v>9842</v>
      </c>
      <c r="B725">
        <v>949</v>
      </c>
      <c r="C725">
        <v>122</v>
      </c>
      <c r="D725" t="s">
        <v>23</v>
      </c>
      <c r="E725" t="s">
        <v>20</v>
      </c>
      <c r="F725" t="s">
        <v>21</v>
      </c>
      <c r="G725" t="s">
        <v>26</v>
      </c>
      <c r="H725">
        <v>276.60000000000002</v>
      </c>
      <c r="I725">
        <v>246.5</v>
      </c>
      <c r="J725">
        <v>96.7</v>
      </c>
      <c r="K725">
        <v>65.5</v>
      </c>
      <c r="L725">
        <v>30.9</v>
      </c>
      <c r="M725">
        <v>8.5</v>
      </c>
      <c r="N725">
        <v>5.1119883865178198E-2</v>
      </c>
      <c r="O725">
        <v>0.29915974713739701</v>
      </c>
      <c r="P725" t="str">
        <f t="shared" si="22"/>
        <v>T</v>
      </c>
      <c r="Q725" t="str">
        <f t="shared" si="23"/>
        <v>F</v>
      </c>
    </row>
    <row r="726" spans="1:17" hidden="1" x14ac:dyDescent="0.3">
      <c r="A726">
        <v>9843</v>
      </c>
      <c r="B726">
        <v>949</v>
      </c>
      <c r="C726">
        <v>122</v>
      </c>
      <c r="D726" t="s">
        <v>23</v>
      </c>
      <c r="E726" t="s">
        <v>20</v>
      </c>
      <c r="F726" t="s">
        <v>21</v>
      </c>
      <c r="G726" t="s">
        <v>26</v>
      </c>
      <c r="H726">
        <v>276.60000000000002</v>
      </c>
      <c r="I726">
        <v>246.5</v>
      </c>
      <c r="J726">
        <v>96.7</v>
      </c>
      <c r="K726">
        <v>65.5</v>
      </c>
      <c r="L726">
        <v>30.9</v>
      </c>
      <c r="M726">
        <v>8.5</v>
      </c>
      <c r="N726">
        <v>6.6870334556736993E-2</v>
      </c>
      <c r="O726">
        <v>0.29183594596048201</v>
      </c>
      <c r="P726" t="str">
        <f t="shared" si="22"/>
        <v>T</v>
      </c>
      <c r="Q726" t="str">
        <f t="shared" si="23"/>
        <v>F</v>
      </c>
    </row>
    <row r="727" spans="1:17" hidden="1" x14ac:dyDescent="0.3">
      <c r="A727">
        <v>9956</v>
      </c>
      <c r="B727">
        <v>984</v>
      </c>
      <c r="C727">
        <v>340</v>
      </c>
      <c r="D727" t="s">
        <v>23</v>
      </c>
      <c r="E727" t="s">
        <v>20</v>
      </c>
      <c r="F727" t="s">
        <v>17</v>
      </c>
      <c r="G727" t="s">
        <v>26</v>
      </c>
      <c r="H727">
        <v>274.60000000000002</v>
      </c>
      <c r="I727">
        <v>261.5</v>
      </c>
      <c r="J727">
        <v>96.7</v>
      </c>
      <c r="K727">
        <v>62</v>
      </c>
      <c r="L727">
        <v>28.9</v>
      </c>
      <c r="M727">
        <v>10.5</v>
      </c>
      <c r="N727">
        <v>6.2214916437595601E-2</v>
      </c>
      <c r="O727">
        <v>0.38270397866295502</v>
      </c>
      <c r="P727" t="str">
        <f t="shared" si="22"/>
        <v>T</v>
      </c>
      <c r="Q727" t="str">
        <f t="shared" si="23"/>
        <v>F</v>
      </c>
    </row>
    <row r="728" spans="1:17" hidden="1" x14ac:dyDescent="0.3">
      <c r="A728">
        <v>9984</v>
      </c>
      <c r="B728">
        <v>994</v>
      </c>
      <c r="C728">
        <v>395</v>
      </c>
      <c r="D728" t="s">
        <v>23</v>
      </c>
      <c r="E728" t="s">
        <v>20</v>
      </c>
      <c r="F728" t="s">
        <v>21</v>
      </c>
      <c r="G728" t="s">
        <v>18</v>
      </c>
      <c r="H728">
        <v>273.60000000000002</v>
      </c>
      <c r="I728">
        <v>247</v>
      </c>
      <c r="J728">
        <v>94</v>
      </c>
      <c r="K728">
        <v>68</v>
      </c>
      <c r="L728">
        <v>26.7</v>
      </c>
      <c r="M728">
        <v>7.5</v>
      </c>
      <c r="N728">
        <v>0.15349303773078299</v>
      </c>
      <c r="O728">
        <v>0.34916871277017802</v>
      </c>
      <c r="P728" t="str">
        <f t="shared" si="22"/>
        <v>F</v>
      </c>
      <c r="Q728" t="str">
        <f t="shared" si="23"/>
        <v>F</v>
      </c>
    </row>
    <row r="729" spans="1:17" hidden="1" x14ac:dyDescent="0.3">
      <c r="A729">
        <v>9985</v>
      </c>
      <c r="B729">
        <v>994</v>
      </c>
      <c r="C729">
        <v>395</v>
      </c>
      <c r="D729" t="s">
        <v>23</v>
      </c>
      <c r="E729" t="s">
        <v>20</v>
      </c>
      <c r="F729" t="s">
        <v>21</v>
      </c>
      <c r="G729" t="s">
        <v>18</v>
      </c>
      <c r="H729">
        <v>273.60000000000002</v>
      </c>
      <c r="I729">
        <v>247</v>
      </c>
      <c r="J729">
        <v>94</v>
      </c>
      <c r="K729">
        <v>68</v>
      </c>
      <c r="L729">
        <v>26.7</v>
      </c>
      <c r="M729">
        <v>7.5</v>
      </c>
      <c r="N729">
        <v>0.184649342416457</v>
      </c>
      <c r="O729">
        <v>0.37397036816478701</v>
      </c>
      <c r="P729" t="str">
        <f t="shared" si="22"/>
        <v>F</v>
      </c>
      <c r="Q729" t="str">
        <f t="shared" si="23"/>
        <v>F</v>
      </c>
    </row>
    <row r="730" spans="1:17" hidden="1" x14ac:dyDescent="0.3">
      <c r="A730">
        <v>9986</v>
      </c>
      <c r="B730">
        <v>994</v>
      </c>
      <c r="C730">
        <v>395</v>
      </c>
      <c r="D730" t="s">
        <v>23</v>
      </c>
      <c r="E730" t="s">
        <v>20</v>
      </c>
      <c r="F730" t="s">
        <v>21</v>
      </c>
      <c r="G730" t="s">
        <v>18</v>
      </c>
      <c r="H730">
        <v>273.60000000000002</v>
      </c>
      <c r="I730">
        <v>247</v>
      </c>
      <c r="J730">
        <v>94</v>
      </c>
      <c r="K730">
        <v>68</v>
      </c>
      <c r="L730">
        <v>26.7</v>
      </c>
      <c r="M730">
        <v>7.5</v>
      </c>
      <c r="N730">
        <v>0.15448705062582099</v>
      </c>
      <c r="O730">
        <v>0.36889168362991498</v>
      </c>
      <c r="P730" t="str">
        <f t="shared" si="22"/>
        <v>F</v>
      </c>
      <c r="Q730" t="str">
        <f t="shared" si="23"/>
        <v>F</v>
      </c>
    </row>
    <row r="731" spans="1:17" hidden="1" x14ac:dyDescent="0.3">
      <c r="A731">
        <v>9987</v>
      </c>
      <c r="B731">
        <v>994</v>
      </c>
      <c r="C731">
        <v>395</v>
      </c>
      <c r="D731" t="s">
        <v>23</v>
      </c>
      <c r="E731" t="s">
        <v>20</v>
      </c>
      <c r="F731" t="s">
        <v>21</v>
      </c>
      <c r="G731" t="s">
        <v>18</v>
      </c>
      <c r="H731">
        <v>273.60000000000002</v>
      </c>
      <c r="I731">
        <v>247</v>
      </c>
      <c r="J731">
        <v>94</v>
      </c>
      <c r="K731">
        <v>68</v>
      </c>
      <c r="L731">
        <v>26.7</v>
      </c>
      <c r="M731">
        <v>7.5</v>
      </c>
      <c r="N731">
        <v>0.17740657050348799</v>
      </c>
      <c r="O731">
        <v>0.33918103281229001</v>
      </c>
      <c r="P731" t="str">
        <f t="shared" si="22"/>
        <v>F</v>
      </c>
      <c r="Q731" t="str">
        <f t="shared" si="23"/>
        <v>F</v>
      </c>
    </row>
  </sheetData>
  <autoFilter ref="A1:Q731" xr:uid="{C4D2540A-CFBA-442E-A754-EE8B4AF741F1}">
    <filterColumn colId="15">
      <filters>
        <filter val="T"/>
      </filters>
    </filterColumn>
    <filterColumn colId="16">
      <filters>
        <filter val="T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C5AD2-DCA2-4BDE-A8EC-9354F8D4B485}">
  <sheetPr filterMode="1"/>
  <dimension ref="A1:Q261"/>
  <sheetViews>
    <sheetView tabSelected="1" zoomScale="90" zoomScaleNormal="90" workbookViewId="0">
      <selection activeCell="F273" sqref="F273"/>
    </sheetView>
  </sheetViews>
  <sheetFormatPr defaultRowHeight="14.55" x14ac:dyDescent="0.3"/>
  <cols>
    <col min="1" max="1" width="9.44140625" bestFit="1" customWidth="1"/>
    <col min="2" max="2" width="9.109375" bestFit="1" customWidth="1"/>
    <col min="3" max="3" width="7.109375" bestFit="1" customWidth="1"/>
    <col min="4" max="4" width="16.77734375" bestFit="1" customWidth="1"/>
    <col min="5" max="5" width="11.21875" bestFit="1" customWidth="1"/>
    <col min="6" max="6" width="10.21875" bestFit="1" customWidth="1"/>
    <col min="7" max="7" width="14.21875" bestFit="1" customWidth="1"/>
    <col min="8" max="8" width="12.77734375" bestFit="1" customWidth="1"/>
    <col min="9" max="9" width="9.6640625" bestFit="1" customWidth="1"/>
    <col min="10" max="10" width="10.44140625" bestFit="1" customWidth="1"/>
    <col min="11" max="11" width="10.5546875" bestFit="1" customWidth="1"/>
    <col min="12" max="12" width="10.109375" bestFit="1" customWidth="1"/>
    <col min="13" max="13" width="11.21875" bestFit="1" customWidth="1"/>
    <col min="14" max="15" width="13.33203125" bestFit="1" customWidth="1"/>
    <col min="16" max="16" width="15.5546875" bestFit="1" customWidth="1"/>
    <col min="17" max="17" width="1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27</v>
      </c>
      <c r="Q1" t="s">
        <v>28</v>
      </c>
    </row>
    <row r="2" spans="1:17" hidden="1" x14ac:dyDescent="0.3">
      <c r="A2">
        <v>25</v>
      </c>
      <c r="B2">
        <v>1005</v>
      </c>
      <c r="C2">
        <v>306</v>
      </c>
      <c r="D2" t="s">
        <v>23</v>
      </c>
      <c r="E2" t="s">
        <v>16</v>
      </c>
      <c r="F2" t="s">
        <v>17</v>
      </c>
      <c r="G2" t="s">
        <v>24</v>
      </c>
      <c r="H2">
        <v>274.39999999999998</v>
      </c>
      <c r="I2">
        <v>249</v>
      </c>
      <c r="J2">
        <v>95.3</v>
      </c>
      <c r="K2">
        <v>69.5</v>
      </c>
      <c r="L2">
        <v>27.8</v>
      </c>
      <c r="M2">
        <v>5.5</v>
      </c>
      <c r="N2">
        <v>0.13592232090480399</v>
      </c>
      <c r="O2">
        <v>0.41020713905608602</v>
      </c>
      <c r="P2" t="str">
        <f>IF(N2&lt;0.140836, "T", "F")</f>
        <v>T</v>
      </c>
      <c r="Q2" t="str">
        <f>IF(O2&lt;0.245351, "T", "F")</f>
        <v>F</v>
      </c>
    </row>
    <row r="3" spans="1:17" hidden="1" x14ac:dyDescent="0.3">
      <c r="A3">
        <v>26</v>
      </c>
      <c r="B3">
        <v>1005</v>
      </c>
      <c r="C3">
        <v>306</v>
      </c>
      <c r="D3" t="s">
        <v>23</v>
      </c>
      <c r="E3" t="s">
        <v>16</v>
      </c>
      <c r="F3" t="s">
        <v>17</v>
      </c>
      <c r="G3" t="s">
        <v>24</v>
      </c>
      <c r="H3">
        <v>274.39999999999998</v>
      </c>
      <c r="I3">
        <v>249</v>
      </c>
      <c r="J3">
        <v>95.3</v>
      </c>
      <c r="K3">
        <v>69.5</v>
      </c>
      <c r="L3">
        <v>27.8</v>
      </c>
      <c r="M3">
        <v>5.5</v>
      </c>
      <c r="N3">
        <v>0.14899611447851499</v>
      </c>
      <c r="O3">
        <v>0.39083480473807503</v>
      </c>
      <c r="P3" t="str">
        <f t="shared" ref="P3:P66" si="0">IF(N3&lt;0.140836, "T", "F")</f>
        <v>F</v>
      </c>
      <c r="Q3" t="str">
        <f t="shared" ref="Q3:Q66" si="1">IF(O3&lt;0.245351, "T", "F")</f>
        <v>F</v>
      </c>
    </row>
    <row r="4" spans="1:17" hidden="1" x14ac:dyDescent="0.3">
      <c r="A4">
        <v>152</v>
      </c>
      <c r="B4">
        <v>1051</v>
      </c>
      <c r="C4">
        <v>350</v>
      </c>
      <c r="D4" t="s">
        <v>23</v>
      </c>
      <c r="E4" t="s">
        <v>16</v>
      </c>
      <c r="F4" t="s">
        <v>21</v>
      </c>
      <c r="G4" t="s">
        <v>26</v>
      </c>
      <c r="H4">
        <v>271.60000000000002</v>
      </c>
      <c r="I4">
        <v>240.5</v>
      </c>
      <c r="J4">
        <v>93.3</v>
      </c>
      <c r="K4">
        <v>65</v>
      </c>
      <c r="L4">
        <v>23.4</v>
      </c>
      <c r="M4">
        <v>7.5</v>
      </c>
      <c r="N4">
        <v>0.27580868078966497</v>
      </c>
      <c r="O4">
        <v>0.38388481776600097</v>
      </c>
      <c r="P4" t="str">
        <f t="shared" si="0"/>
        <v>F</v>
      </c>
      <c r="Q4" t="str">
        <f t="shared" si="1"/>
        <v>F</v>
      </c>
    </row>
    <row r="5" spans="1:17" hidden="1" x14ac:dyDescent="0.3">
      <c r="A5">
        <v>584</v>
      </c>
      <c r="B5">
        <v>121</v>
      </c>
      <c r="C5">
        <v>306</v>
      </c>
      <c r="D5" t="s">
        <v>23</v>
      </c>
      <c r="E5" t="s">
        <v>16</v>
      </c>
      <c r="F5" t="s">
        <v>17</v>
      </c>
      <c r="G5" t="s">
        <v>25</v>
      </c>
      <c r="H5">
        <v>274.39999999999998</v>
      </c>
      <c r="I5">
        <v>249</v>
      </c>
      <c r="J5">
        <v>95.3</v>
      </c>
      <c r="K5">
        <v>69.5</v>
      </c>
      <c r="L5">
        <v>27.8</v>
      </c>
      <c r="M5">
        <v>5.5</v>
      </c>
      <c r="N5">
        <v>0.14312520297724901</v>
      </c>
      <c r="O5">
        <v>0.42511135502041503</v>
      </c>
      <c r="P5" t="str">
        <f t="shared" si="0"/>
        <v>F</v>
      </c>
      <c r="Q5" t="str">
        <f t="shared" si="1"/>
        <v>F</v>
      </c>
    </row>
    <row r="6" spans="1:17" hidden="1" x14ac:dyDescent="0.3">
      <c r="A6">
        <v>585</v>
      </c>
      <c r="B6">
        <v>121</v>
      </c>
      <c r="C6">
        <v>306</v>
      </c>
      <c r="D6" t="s">
        <v>23</v>
      </c>
      <c r="E6" t="s">
        <v>16</v>
      </c>
      <c r="F6" t="s">
        <v>17</v>
      </c>
      <c r="G6" t="s">
        <v>25</v>
      </c>
      <c r="H6">
        <v>274.39999999999998</v>
      </c>
      <c r="I6">
        <v>249</v>
      </c>
      <c r="J6">
        <v>95.3</v>
      </c>
      <c r="K6">
        <v>69.5</v>
      </c>
      <c r="L6">
        <v>27.8</v>
      </c>
      <c r="M6">
        <v>5.5</v>
      </c>
      <c r="N6">
        <v>0.15376539679390799</v>
      </c>
      <c r="O6">
        <v>0.42413815546256001</v>
      </c>
      <c r="P6" t="str">
        <f t="shared" si="0"/>
        <v>F</v>
      </c>
      <c r="Q6" t="str">
        <f t="shared" si="1"/>
        <v>F</v>
      </c>
    </row>
    <row r="7" spans="1:17" hidden="1" x14ac:dyDescent="0.3">
      <c r="A7">
        <v>867</v>
      </c>
      <c r="B7">
        <v>1311</v>
      </c>
      <c r="C7">
        <v>461</v>
      </c>
      <c r="D7" t="s">
        <v>23</v>
      </c>
      <c r="E7" t="s">
        <v>16</v>
      </c>
      <c r="F7" t="s">
        <v>17</v>
      </c>
      <c r="G7" t="s">
        <v>22</v>
      </c>
      <c r="H7">
        <v>276.60000000000002</v>
      </c>
      <c r="I7">
        <v>260.5</v>
      </c>
      <c r="J7">
        <v>98.2</v>
      </c>
      <c r="K7">
        <v>68</v>
      </c>
      <c r="L7">
        <v>26.5</v>
      </c>
      <c r="M7">
        <v>6</v>
      </c>
      <c r="N7">
        <v>0.20137067402752001</v>
      </c>
      <c r="O7">
        <v>0.269921614283964</v>
      </c>
      <c r="P7" t="str">
        <f t="shared" si="0"/>
        <v>F</v>
      </c>
      <c r="Q7" t="str">
        <f t="shared" si="1"/>
        <v>F</v>
      </c>
    </row>
    <row r="8" spans="1:17" hidden="1" x14ac:dyDescent="0.3">
      <c r="A8">
        <v>868</v>
      </c>
      <c r="B8">
        <v>1311</v>
      </c>
      <c r="C8">
        <v>461</v>
      </c>
      <c r="D8" t="s">
        <v>23</v>
      </c>
      <c r="E8" t="s">
        <v>16</v>
      </c>
      <c r="F8" t="s">
        <v>17</v>
      </c>
      <c r="G8" t="s">
        <v>22</v>
      </c>
      <c r="H8">
        <v>276.60000000000002</v>
      </c>
      <c r="I8">
        <v>260.5</v>
      </c>
      <c r="J8">
        <v>98.2</v>
      </c>
      <c r="K8">
        <v>68</v>
      </c>
      <c r="L8">
        <v>26.5</v>
      </c>
      <c r="M8">
        <v>6</v>
      </c>
      <c r="N8">
        <v>0.19503085648605001</v>
      </c>
      <c r="O8">
        <v>0.249888214825467</v>
      </c>
      <c r="P8" t="str">
        <f t="shared" si="0"/>
        <v>F</v>
      </c>
      <c r="Q8" t="str">
        <f t="shared" si="1"/>
        <v>F</v>
      </c>
    </row>
    <row r="9" spans="1:17" hidden="1" x14ac:dyDescent="0.3">
      <c r="A9">
        <v>990</v>
      </c>
      <c r="B9">
        <v>1353</v>
      </c>
      <c r="C9">
        <v>350</v>
      </c>
      <c r="D9" t="s">
        <v>23</v>
      </c>
      <c r="E9" t="s">
        <v>16</v>
      </c>
      <c r="F9" t="s">
        <v>17</v>
      </c>
      <c r="G9" t="s">
        <v>25</v>
      </c>
      <c r="H9">
        <v>271.60000000000002</v>
      </c>
      <c r="I9">
        <v>240.5</v>
      </c>
      <c r="J9">
        <v>93.3</v>
      </c>
      <c r="K9">
        <v>65</v>
      </c>
      <c r="L9">
        <v>23.4</v>
      </c>
      <c r="M9">
        <v>7.5</v>
      </c>
      <c r="N9">
        <v>0.24652438835843399</v>
      </c>
      <c r="O9">
        <v>0.40471178060738999</v>
      </c>
      <c r="P9" t="str">
        <f t="shared" si="0"/>
        <v>F</v>
      </c>
      <c r="Q9" t="str">
        <f t="shared" si="1"/>
        <v>F</v>
      </c>
    </row>
    <row r="10" spans="1:17" hidden="1" x14ac:dyDescent="0.3">
      <c r="A10">
        <v>1129</v>
      </c>
      <c r="B10">
        <v>1407</v>
      </c>
      <c r="C10">
        <v>279</v>
      </c>
      <c r="D10" t="s">
        <v>23</v>
      </c>
      <c r="E10" t="s">
        <v>16</v>
      </c>
      <c r="F10" t="s">
        <v>21</v>
      </c>
      <c r="G10" t="s">
        <v>18</v>
      </c>
      <c r="H10">
        <v>273.8</v>
      </c>
      <c r="I10">
        <v>248.5</v>
      </c>
      <c r="J10">
        <v>97.9</v>
      </c>
      <c r="K10">
        <v>65.5</v>
      </c>
      <c r="L10">
        <v>24.9</v>
      </c>
      <c r="M10">
        <v>4</v>
      </c>
      <c r="N10">
        <v>0.25531863681129402</v>
      </c>
      <c r="O10">
        <v>0.37849558272428202</v>
      </c>
      <c r="P10" t="str">
        <f t="shared" si="0"/>
        <v>F</v>
      </c>
      <c r="Q10" t="str">
        <f t="shared" si="1"/>
        <v>F</v>
      </c>
    </row>
    <row r="11" spans="1:17" hidden="1" x14ac:dyDescent="0.3">
      <c r="A11">
        <v>1233</v>
      </c>
      <c r="B11">
        <v>1449</v>
      </c>
      <c r="C11">
        <v>246</v>
      </c>
      <c r="D11" t="s">
        <v>23</v>
      </c>
      <c r="E11" t="s">
        <v>16</v>
      </c>
      <c r="F11" t="s">
        <v>21</v>
      </c>
      <c r="G11" t="s">
        <v>25</v>
      </c>
      <c r="H11">
        <v>278.2</v>
      </c>
      <c r="I11">
        <v>257</v>
      </c>
      <c r="J11">
        <v>97.9</v>
      </c>
      <c r="K11">
        <v>67</v>
      </c>
      <c r="L11">
        <v>24.3</v>
      </c>
      <c r="M11">
        <v>12.5</v>
      </c>
      <c r="N11">
        <v>0.16259752213986101</v>
      </c>
      <c r="O11">
        <v>0.40382768687360099</v>
      </c>
      <c r="P11" t="str">
        <f t="shared" si="0"/>
        <v>F</v>
      </c>
      <c r="Q11" t="str">
        <f t="shared" si="1"/>
        <v>F</v>
      </c>
    </row>
    <row r="12" spans="1:17" hidden="1" x14ac:dyDescent="0.3">
      <c r="A12">
        <v>1234</v>
      </c>
      <c r="B12">
        <v>1449</v>
      </c>
      <c r="C12">
        <v>246</v>
      </c>
      <c r="D12" t="s">
        <v>23</v>
      </c>
      <c r="E12" t="s">
        <v>16</v>
      </c>
      <c r="F12" t="s">
        <v>21</v>
      </c>
      <c r="G12" t="s">
        <v>25</v>
      </c>
      <c r="H12">
        <v>278.2</v>
      </c>
      <c r="I12">
        <v>257</v>
      </c>
      <c r="J12">
        <v>97.9</v>
      </c>
      <c r="K12">
        <v>67</v>
      </c>
      <c r="L12">
        <v>24.3</v>
      </c>
      <c r="M12">
        <v>12.5</v>
      </c>
      <c r="N12">
        <v>0.186300971060646</v>
      </c>
      <c r="O12">
        <v>0.40215672883076597</v>
      </c>
      <c r="P12" t="str">
        <f t="shared" si="0"/>
        <v>F</v>
      </c>
      <c r="Q12" t="str">
        <f t="shared" si="1"/>
        <v>F</v>
      </c>
    </row>
    <row r="13" spans="1:17" hidden="1" x14ac:dyDescent="0.3">
      <c r="A13">
        <v>1276</v>
      </c>
      <c r="B13">
        <v>1466</v>
      </c>
      <c r="C13">
        <v>350</v>
      </c>
      <c r="D13" t="s">
        <v>23</v>
      </c>
      <c r="E13" t="s">
        <v>16</v>
      </c>
      <c r="F13" t="s">
        <v>17</v>
      </c>
      <c r="G13" t="s">
        <v>18</v>
      </c>
      <c r="H13">
        <v>271.60000000000002</v>
      </c>
      <c r="I13">
        <v>240.5</v>
      </c>
      <c r="J13">
        <v>93.3</v>
      </c>
      <c r="K13">
        <v>65</v>
      </c>
      <c r="L13">
        <v>23.4</v>
      </c>
      <c r="M13">
        <v>7.5</v>
      </c>
      <c r="N13">
        <v>0.24996255122644201</v>
      </c>
      <c r="O13">
        <v>0.366691878362222</v>
      </c>
      <c r="P13" t="str">
        <f t="shared" si="0"/>
        <v>F</v>
      </c>
      <c r="Q13" t="str">
        <f t="shared" si="1"/>
        <v>F</v>
      </c>
    </row>
    <row r="14" spans="1:17" hidden="1" x14ac:dyDescent="0.3">
      <c r="A14">
        <v>1277</v>
      </c>
      <c r="B14">
        <v>1466</v>
      </c>
      <c r="C14">
        <v>350</v>
      </c>
      <c r="D14" t="s">
        <v>23</v>
      </c>
      <c r="E14" t="s">
        <v>16</v>
      </c>
      <c r="F14" t="s">
        <v>17</v>
      </c>
      <c r="G14" t="s">
        <v>18</v>
      </c>
      <c r="H14">
        <v>271.60000000000002</v>
      </c>
      <c r="I14">
        <v>240.5</v>
      </c>
      <c r="J14">
        <v>93.3</v>
      </c>
      <c r="K14">
        <v>65</v>
      </c>
      <c r="L14">
        <v>23.4</v>
      </c>
      <c r="M14">
        <v>7.5</v>
      </c>
      <c r="N14">
        <v>0.26350915783100598</v>
      </c>
      <c r="O14">
        <v>0.38376299760156901</v>
      </c>
      <c r="P14" t="str">
        <f t="shared" si="0"/>
        <v>F</v>
      </c>
      <c r="Q14" t="str">
        <f t="shared" si="1"/>
        <v>F</v>
      </c>
    </row>
    <row r="15" spans="1:17" hidden="1" x14ac:dyDescent="0.3">
      <c r="A15">
        <v>1278</v>
      </c>
      <c r="B15">
        <v>1466</v>
      </c>
      <c r="C15">
        <v>350</v>
      </c>
      <c r="D15" t="s">
        <v>23</v>
      </c>
      <c r="E15" t="s">
        <v>16</v>
      </c>
      <c r="F15" t="s">
        <v>17</v>
      </c>
      <c r="G15" t="s">
        <v>18</v>
      </c>
      <c r="H15">
        <v>271.60000000000002</v>
      </c>
      <c r="I15">
        <v>240.5</v>
      </c>
      <c r="J15">
        <v>93.3</v>
      </c>
      <c r="K15">
        <v>65</v>
      </c>
      <c r="L15">
        <v>23.4</v>
      </c>
      <c r="M15">
        <v>7.5</v>
      </c>
      <c r="N15">
        <v>0.26057516335898701</v>
      </c>
      <c r="O15">
        <v>0.38854963483665</v>
      </c>
      <c r="P15" t="str">
        <f t="shared" si="0"/>
        <v>F</v>
      </c>
      <c r="Q15" t="str">
        <f t="shared" si="1"/>
        <v>F</v>
      </c>
    </row>
    <row r="16" spans="1:17" hidden="1" x14ac:dyDescent="0.3">
      <c r="A16">
        <v>1279</v>
      </c>
      <c r="B16">
        <v>1466</v>
      </c>
      <c r="C16">
        <v>350</v>
      </c>
      <c r="D16" t="s">
        <v>23</v>
      </c>
      <c r="E16" t="s">
        <v>16</v>
      </c>
      <c r="F16" t="s">
        <v>17</v>
      </c>
      <c r="G16" t="s">
        <v>18</v>
      </c>
      <c r="H16">
        <v>271.60000000000002</v>
      </c>
      <c r="I16">
        <v>240.5</v>
      </c>
      <c r="J16">
        <v>93.3</v>
      </c>
      <c r="K16">
        <v>65</v>
      </c>
      <c r="L16">
        <v>23.4</v>
      </c>
      <c r="M16">
        <v>7.5</v>
      </c>
      <c r="N16">
        <v>0.266985461571837</v>
      </c>
      <c r="O16">
        <v>0.40240175772331799</v>
      </c>
      <c r="P16" t="str">
        <f t="shared" si="0"/>
        <v>F</v>
      </c>
      <c r="Q16" t="str">
        <f t="shared" si="1"/>
        <v>F</v>
      </c>
    </row>
    <row r="17" spans="1:17" hidden="1" x14ac:dyDescent="0.3">
      <c r="A17">
        <v>1351</v>
      </c>
      <c r="B17">
        <v>1494</v>
      </c>
      <c r="C17">
        <v>279</v>
      </c>
      <c r="D17" t="s">
        <v>23</v>
      </c>
      <c r="E17" t="s">
        <v>16</v>
      </c>
      <c r="F17" t="s">
        <v>21</v>
      </c>
      <c r="G17" t="s">
        <v>25</v>
      </c>
      <c r="H17">
        <v>273.8</v>
      </c>
      <c r="I17">
        <v>248.5</v>
      </c>
      <c r="J17">
        <v>97.9</v>
      </c>
      <c r="K17">
        <v>65.5</v>
      </c>
      <c r="L17">
        <v>24.9</v>
      </c>
      <c r="M17">
        <v>4</v>
      </c>
      <c r="N17">
        <v>0.24385444775704501</v>
      </c>
      <c r="O17">
        <v>0.374981299956193</v>
      </c>
      <c r="P17" t="str">
        <f t="shared" si="0"/>
        <v>F</v>
      </c>
      <c r="Q17" t="str">
        <f t="shared" si="1"/>
        <v>F</v>
      </c>
    </row>
    <row r="18" spans="1:17" hidden="1" x14ac:dyDescent="0.3">
      <c r="A18">
        <v>1352</v>
      </c>
      <c r="B18">
        <v>1494</v>
      </c>
      <c r="C18">
        <v>279</v>
      </c>
      <c r="D18" t="s">
        <v>23</v>
      </c>
      <c r="E18" t="s">
        <v>16</v>
      </c>
      <c r="F18" t="s">
        <v>21</v>
      </c>
      <c r="G18" t="s">
        <v>25</v>
      </c>
      <c r="H18">
        <v>273.8</v>
      </c>
      <c r="I18">
        <v>248.5</v>
      </c>
      <c r="J18">
        <v>97.9</v>
      </c>
      <c r="K18">
        <v>65.5</v>
      </c>
      <c r="L18">
        <v>24.9</v>
      </c>
      <c r="M18">
        <v>4</v>
      </c>
      <c r="N18">
        <v>0.239574937380091</v>
      </c>
      <c r="O18">
        <v>0.39946520171983702</v>
      </c>
      <c r="P18" t="str">
        <f t="shared" si="0"/>
        <v>F</v>
      </c>
      <c r="Q18" t="str">
        <f t="shared" si="1"/>
        <v>F</v>
      </c>
    </row>
    <row r="19" spans="1:17" hidden="1" x14ac:dyDescent="0.3">
      <c r="A19">
        <v>1353</v>
      </c>
      <c r="B19">
        <v>1494</v>
      </c>
      <c r="C19">
        <v>279</v>
      </c>
      <c r="D19" t="s">
        <v>23</v>
      </c>
      <c r="E19" t="s">
        <v>16</v>
      </c>
      <c r="F19" t="s">
        <v>21</v>
      </c>
      <c r="G19" t="s">
        <v>25</v>
      </c>
      <c r="H19">
        <v>273.8</v>
      </c>
      <c r="I19">
        <v>248.5</v>
      </c>
      <c r="J19">
        <v>97.9</v>
      </c>
      <c r="K19">
        <v>65.5</v>
      </c>
      <c r="L19">
        <v>24.9</v>
      </c>
      <c r="M19">
        <v>4</v>
      </c>
      <c r="N19">
        <v>0.22576205761529</v>
      </c>
      <c r="O19">
        <v>0.37523447236979002</v>
      </c>
      <c r="P19" t="str">
        <f t="shared" si="0"/>
        <v>F</v>
      </c>
      <c r="Q19" t="str">
        <f t="shared" si="1"/>
        <v>F</v>
      </c>
    </row>
    <row r="20" spans="1:17" hidden="1" x14ac:dyDescent="0.3">
      <c r="A20">
        <v>1391</v>
      </c>
      <c r="B20">
        <v>1511</v>
      </c>
      <c r="C20">
        <v>143</v>
      </c>
      <c r="D20" t="s">
        <v>23</v>
      </c>
      <c r="E20" t="s">
        <v>16</v>
      </c>
      <c r="F20" t="s">
        <v>21</v>
      </c>
      <c r="G20" t="s">
        <v>18</v>
      </c>
      <c r="H20">
        <v>274</v>
      </c>
      <c r="I20">
        <v>250</v>
      </c>
      <c r="J20">
        <v>95</v>
      </c>
      <c r="K20">
        <v>65</v>
      </c>
      <c r="L20">
        <v>25.9</v>
      </c>
      <c r="M20">
        <v>7.5</v>
      </c>
      <c r="N20">
        <v>0.197807764790118</v>
      </c>
      <c r="O20">
        <v>0.260626067010097</v>
      </c>
      <c r="P20" t="str">
        <f t="shared" si="0"/>
        <v>F</v>
      </c>
      <c r="Q20" t="str">
        <f t="shared" si="1"/>
        <v>F</v>
      </c>
    </row>
    <row r="21" spans="1:17" hidden="1" x14ac:dyDescent="0.3">
      <c r="A21">
        <v>1392</v>
      </c>
      <c r="B21">
        <v>1511</v>
      </c>
      <c r="C21">
        <v>143</v>
      </c>
      <c r="D21" t="s">
        <v>23</v>
      </c>
      <c r="E21" t="s">
        <v>16</v>
      </c>
      <c r="F21" t="s">
        <v>21</v>
      </c>
      <c r="G21" t="s">
        <v>18</v>
      </c>
      <c r="H21">
        <v>274</v>
      </c>
      <c r="I21">
        <v>250</v>
      </c>
      <c r="J21">
        <v>95</v>
      </c>
      <c r="K21">
        <v>65</v>
      </c>
      <c r="L21">
        <v>25.9</v>
      </c>
      <c r="M21">
        <v>7.5</v>
      </c>
      <c r="N21">
        <v>0.17854272362363499</v>
      </c>
      <c r="O21">
        <v>0.24241439528782799</v>
      </c>
      <c r="P21" t="str">
        <f t="shared" si="0"/>
        <v>F</v>
      </c>
      <c r="Q21" t="str">
        <f t="shared" si="1"/>
        <v>T</v>
      </c>
    </row>
    <row r="22" spans="1:17" hidden="1" x14ac:dyDescent="0.3">
      <c r="A22">
        <v>1393</v>
      </c>
      <c r="B22">
        <v>1511</v>
      </c>
      <c r="C22">
        <v>143</v>
      </c>
      <c r="D22" t="s">
        <v>23</v>
      </c>
      <c r="E22" t="s">
        <v>16</v>
      </c>
      <c r="F22" t="s">
        <v>21</v>
      </c>
      <c r="G22" t="s">
        <v>18</v>
      </c>
      <c r="H22">
        <v>274</v>
      </c>
      <c r="I22">
        <v>250</v>
      </c>
      <c r="J22">
        <v>95</v>
      </c>
      <c r="K22">
        <v>65</v>
      </c>
      <c r="L22">
        <v>25.9</v>
      </c>
      <c r="M22">
        <v>7.5</v>
      </c>
      <c r="N22">
        <v>0.202087859134125</v>
      </c>
      <c r="O22">
        <v>0.24622417635357199</v>
      </c>
      <c r="P22" t="str">
        <f t="shared" si="0"/>
        <v>F</v>
      </c>
      <c r="Q22" t="str">
        <f t="shared" si="1"/>
        <v>F</v>
      </c>
    </row>
    <row r="23" spans="1:17" hidden="1" x14ac:dyDescent="0.3">
      <c r="A23">
        <v>1444</v>
      </c>
      <c r="B23">
        <v>1534</v>
      </c>
      <c r="C23">
        <v>135</v>
      </c>
      <c r="D23" t="s">
        <v>23</v>
      </c>
      <c r="E23" t="s">
        <v>16</v>
      </c>
      <c r="F23" t="s">
        <v>21</v>
      </c>
      <c r="G23" t="s">
        <v>25</v>
      </c>
      <c r="H23">
        <v>272.89999999999998</v>
      </c>
      <c r="I23">
        <v>240</v>
      </c>
      <c r="J23">
        <v>92.6</v>
      </c>
      <c r="K23">
        <v>67</v>
      </c>
      <c r="L23">
        <v>26.5</v>
      </c>
      <c r="M23">
        <v>12</v>
      </c>
      <c r="N23">
        <v>0.16740810932553399</v>
      </c>
      <c r="O23">
        <v>0.166464407665294</v>
      </c>
      <c r="P23" t="str">
        <f t="shared" si="0"/>
        <v>F</v>
      </c>
      <c r="Q23" t="str">
        <f t="shared" si="1"/>
        <v>T</v>
      </c>
    </row>
    <row r="24" spans="1:17" hidden="1" x14ac:dyDescent="0.3">
      <c r="A24">
        <v>1445</v>
      </c>
      <c r="B24">
        <v>1534</v>
      </c>
      <c r="C24">
        <v>135</v>
      </c>
      <c r="D24" t="s">
        <v>23</v>
      </c>
      <c r="E24" t="s">
        <v>16</v>
      </c>
      <c r="F24" t="s">
        <v>21</v>
      </c>
      <c r="G24" t="s">
        <v>25</v>
      </c>
      <c r="H24">
        <v>272.89999999999998</v>
      </c>
      <c r="I24">
        <v>240</v>
      </c>
      <c r="J24">
        <v>92.6</v>
      </c>
      <c r="K24">
        <v>67</v>
      </c>
      <c r="L24">
        <v>26.5</v>
      </c>
      <c r="M24">
        <v>12</v>
      </c>
      <c r="N24">
        <v>0.17759844470283701</v>
      </c>
      <c r="O24">
        <v>0.16630124416407899</v>
      </c>
      <c r="P24" t="str">
        <f t="shared" si="0"/>
        <v>F</v>
      </c>
      <c r="Q24" t="str">
        <f t="shared" si="1"/>
        <v>T</v>
      </c>
    </row>
    <row r="25" spans="1:17" hidden="1" x14ac:dyDescent="0.3">
      <c r="A25">
        <v>1446</v>
      </c>
      <c r="B25">
        <v>1534</v>
      </c>
      <c r="C25">
        <v>135</v>
      </c>
      <c r="D25" t="s">
        <v>23</v>
      </c>
      <c r="E25" t="s">
        <v>16</v>
      </c>
      <c r="F25" t="s">
        <v>21</v>
      </c>
      <c r="G25" t="s">
        <v>25</v>
      </c>
      <c r="H25">
        <v>272.89999999999998</v>
      </c>
      <c r="I25">
        <v>240</v>
      </c>
      <c r="J25">
        <v>92.6</v>
      </c>
      <c r="K25">
        <v>67</v>
      </c>
      <c r="L25">
        <v>26.5</v>
      </c>
      <c r="M25">
        <v>12</v>
      </c>
      <c r="N25">
        <v>0.17310719231673599</v>
      </c>
      <c r="O25">
        <v>0.16561119235146801</v>
      </c>
      <c r="P25" t="str">
        <f t="shared" si="0"/>
        <v>F</v>
      </c>
      <c r="Q25" t="str">
        <f t="shared" si="1"/>
        <v>T</v>
      </c>
    </row>
    <row r="26" spans="1:17" hidden="1" x14ac:dyDescent="0.3">
      <c r="A26">
        <v>1592</v>
      </c>
      <c r="B26">
        <v>1583</v>
      </c>
      <c r="C26">
        <v>31</v>
      </c>
      <c r="D26" t="s">
        <v>23</v>
      </c>
      <c r="E26" t="s">
        <v>16</v>
      </c>
      <c r="F26" t="s">
        <v>17</v>
      </c>
      <c r="G26" t="s">
        <v>26</v>
      </c>
      <c r="H26">
        <v>274</v>
      </c>
      <c r="I26">
        <v>250</v>
      </c>
      <c r="J26">
        <v>99.4</v>
      </c>
      <c r="K26">
        <v>68.5</v>
      </c>
      <c r="L26">
        <v>23.2</v>
      </c>
      <c r="M26">
        <v>10</v>
      </c>
      <c r="N26">
        <v>0.185486631521807</v>
      </c>
      <c r="O26">
        <v>0.17825483516395699</v>
      </c>
      <c r="P26" t="str">
        <f t="shared" si="0"/>
        <v>F</v>
      </c>
      <c r="Q26" t="str">
        <f t="shared" si="1"/>
        <v>T</v>
      </c>
    </row>
    <row r="27" spans="1:17" hidden="1" x14ac:dyDescent="0.3">
      <c r="A27">
        <v>1648</v>
      </c>
      <c r="B27">
        <v>1605</v>
      </c>
      <c r="C27">
        <v>246</v>
      </c>
      <c r="D27" t="s">
        <v>23</v>
      </c>
      <c r="E27" t="s">
        <v>16</v>
      </c>
      <c r="F27" t="s">
        <v>21</v>
      </c>
      <c r="G27" t="s">
        <v>24</v>
      </c>
      <c r="H27">
        <v>278.2</v>
      </c>
      <c r="I27">
        <v>257</v>
      </c>
      <c r="J27">
        <v>97.9</v>
      </c>
      <c r="K27">
        <v>67</v>
      </c>
      <c r="L27">
        <v>24.3</v>
      </c>
      <c r="M27">
        <v>12.5</v>
      </c>
      <c r="N27">
        <v>0.16973925053838701</v>
      </c>
      <c r="O27">
        <v>0.38570881733441797</v>
      </c>
      <c r="P27" t="str">
        <f t="shared" si="0"/>
        <v>F</v>
      </c>
      <c r="Q27" t="str">
        <f t="shared" si="1"/>
        <v>F</v>
      </c>
    </row>
    <row r="28" spans="1:17" hidden="1" x14ac:dyDescent="0.3">
      <c r="A28">
        <v>1649</v>
      </c>
      <c r="B28">
        <v>1605</v>
      </c>
      <c r="C28">
        <v>246</v>
      </c>
      <c r="D28" t="s">
        <v>23</v>
      </c>
      <c r="E28" t="s">
        <v>16</v>
      </c>
      <c r="F28" t="s">
        <v>21</v>
      </c>
      <c r="G28" t="s">
        <v>24</v>
      </c>
      <c r="H28">
        <v>278.2</v>
      </c>
      <c r="I28">
        <v>257</v>
      </c>
      <c r="J28">
        <v>97.9</v>
      </c>
      <c r="K28">
        <v>67</v>
      </c>
      <c r="L28">
        <v>24.3</v>
      </c>
      <c r="M28">
        <v>12.5</v>
      </c>
      <c r="N28">
        <v>0.18380663516436399</v>
      </c>
      <c r="O28">
        <v>0.39246098599756601</v>
      </c>
      <c r="P28" t="str">
        <f t="shared" si="0"/>
        <v>F</v>
      </c>
      <c r="Q28" t="str">
        <f t="shared" si="1"/>
        <v>F</v>
      </c>
    </row>
    <row r="29" spans="1:17" hidden="1" x14ac:dyDescent="0.3">
      <c r="A29">
        <v>1781</v>
      </c>
      <c r="B29">
        <v>1662</v>
      </c>
      <c r="C29">
        <v>20</v>
      </c>
      <c r="D29" t="s">
        <v>23</v>
      </c>
      <c r="E29" t="s">
        <v>16</v>
      </c>
      <c r="F29" t="s">
        <v>21</v>
      </c>
      <c r="G29" t="s">
        <v>22</v>
      </c>
      <c r="H29">
        <v>282.7</v>
      </c>
      <c r="I29">
        <v>260</v>
      </c>
      <c r="J29">
        <v>103.8</v>
      </c>
      <c r="K29">
        <v>68</v>
      </c>
      <c r="L29">
        <v>26.4</v>
      </c>
      <c r="M29">
        <v>11.5</v>
      </c>
      <c r="N29">
        <v>8.6629730287089299E-2</v>
      </c>
      <c r="O29">
        <v>0.257146891525868</v>
      </c>
      <c r="P29" t="str">
        <f t="shared" si="0"/>
        <v>T</v>
      </c>
      <c r="Q29" t="str">
        <f t="shared" si="1"/>
        <v>F</v>
      </c>
    </row>
    <row r="30" spans="1:17" hidden="1" x14ac:dyDescent="0.3">
      <c r="A30">
        <v>1782</v>
      </c>
      <c r="B30">
        <v>1662</v>
      </c>
      <c r="C30">
        <v>20</v>
      </c>
      <c r="D30" t="s">
        <v>23</v>
      </c>
      <c r="E30" t="s">
        <v>16</v>
      </c>
      <c r="F30" t="s">
        <v>21</v>
      </c>
      <c r="G30" t="s">
        <v>22</v>
      </c>
      <c r="H30">
        <v>282.7</v>
      </c>
      <c r="I30">
        <v>260</v>
      </c>
      <c r="J30">
        <v>103.8</v>
      </c>
      <c r="K30">
        <v>68</v>
      </c>
      <c r="L30">
        <v>26.4</v>
      </c>
      <c r="M30">
        <v>11.5</v>
      </c>
      <c r="N30">
        <v>7.3619285066933507E-2</v>
      </c>
      <c r="O30">
        <v>0.282954396489697</v>
      </c>
      <c r="P30" t="str">
        <f t="shared" si="0"/>
        <v>T</v>
      </c>
      <c r="Q30" t="str">
        <f t="shared" si="1"/>
        <v>F</v>
      </c>
    </row>
    <row r="31" spans="1:17" hidden="1" x14ac:dyDescent="0.3">
      <c r="A31">
        <v>1892</v>
      </c>
      <c r="B31">
        <v>1700</v>
      </c>
      <c r="C31">
        <v>246</v>
      </c>
      <c r="D31" t="s">
        <v>23</v>
      </c>
      <c r="E31" t="s">
        <v>16</v>
      </c>
      <c r="F31" t="s">
        <v>21</v>
      </c>
      <c r="G31" t="s">
        <v>24</v>
      </c>
      <c r="H31">
        <v>278.2</v>
      </c>
      <c r="I31">
        <v>257</v>
      </c>
      <c r="J31">
        <v>97.9</v>
      </c>
      <c r="K31">
        <v>67</v>
      </c>
      <c r="L31">
        <v>24.3</v>
      </c>
      <c r="M31">
        <v>12.5</v>
      </c>
      <c r="N31">
        <v>0.15556760609147399</v>
      </c>
      <c r="O31">
        <v>0.41852200265607098</v>
      </c>
      <c r="P31" t="str">
        <f t="shared" si="0"/>
        <v>F</v>
      </c>
      <c r="Q31" t="str">
        <f t="shared" si="1"/>
        <v>F</v>
      </c>
    </row>
    <row r="32" spans="1:17" hidden="1" x14ac:dyDescent="0.3">
      <c r="A32">
        <v>1893</v>
      </c>
      <c r="B32">
        <v>1700</v>
      </c>
      <c r="C32">
        <v>246</v>
      </c>
      <c r="D32" t="s">
        <v>23</v>
      </c>
      <c r="E32" t="s">
        <v>16</v>
      </c>
      <c r="F32" t="s">
        <v>21</v>
      </c>
      <c r="G32" t="s">
        <v>24</v>
      </c>
      <c r="H32">
        <v>278.2</v>
      </c>
      <c r="I32">
        <v>257</v>
      </c>
      <c r="J32">
        <v>97.9</v>
      </c>
      <c r="K32">
        <v>67</v>
      </c>
      <c r="L32">
        <v>24.3</v>
      </c>
      <c r="M32">
        <v>12.5</v>
      </c>
      <c r="N32">
        <v>0.18610079140895799</v>
      </c>
      <c r="O32">
        <v>0.39996543449131799</v>
      </c>
      <c r="P32" t="str">
        <f t="shared" si="0"/>
        <v>F</v>
      </c>
      <c r="Q32" t="str">
        <f t="shared" si="1"/>
        <v>F</v>
      </c>
    </row>
    <row r="33" spans="1:17" hidden="1" x14ac:dyDescent="0.3">
      <c r="A33">
        <v>1894</v>
      </c>
      <c r="B33">
        <v>1700</v>
      </c>
      <c r="C33">
        <v>246</v>
      </c>
      <c r="D33" t="s">
        <v>23</v>
      </c>
      <c r="E33" t="s">
        <v>16</v>
      </c>
      <c r="F33" t="s">
        <v>21</v>
      </c>
      <c r="G33" t="s">
        <v>24</v>
      </c>
      <c r="H33">
        <v>278.2</v>
      </c>
      <c r="I33">
        <v>257</v>
      </c>
      <c r="J33">
        <v>97.9</v>
      </c>
      <c r="K33">
        <v>67</v>
      </c>
      <c r="L33">
        <v>24.3</v>
      </c>
      <c r="M33">
        <v>12.5</v>
      </c>
      <c r="N33">
        <v>0.18187253251086899</v>
      </c>
      <c r="O33">
        <v>0.418317322735834</v>
      </c>
      <c r="P33" t="str">
        <f t="shared" si="0"/>
        <v>F</v>
      </c>
      <c r="Q33" t="str">
        <f t="shared" si="1"/>
        <v>F</v>
      </c>
    </row>
    <row r="34" spans="1:17" hidden="1" x14ac:dyDescent="0.3">
      <c r="A34">
        <v>1918</v>
      </c>
      <c r="B34">
        <v>1708</v>
      </c>
      <c r="C34">
        <v>454</v>
      </c>
      <c r="D34" t="s">
        <v>23</v>
      </c>
      <c r="E34" t="s">
        <v>16</v>
      </c>
      <c r="F34" t="s">
        <v>17</v>
      </c>
      <c r="G34" t="s">
        <v>18</v>
      </c>
      <c r="H34">
        <v>272.8</v>
      </c>
      <c r="I34">
        <v>242.5</v>
      </c>
      <c r="J34">
        <v>92.2</v>
      </c>
      <c r="K34">
        <v>67</v>
      </c>
      <c r="L34">
        <v>26.4</v>
      </c>
      <c r="M34">
        <v>6</v>
      </c>
      <c r="N34">
        <v>0.19689844888456901</v>
      </c>
      <c r="O34">
        <v>0.33200629383187902</v>
      </c>
      <c r="P34" t="str">
        <f t="shared" si="0"/>
        <v>F</v>
      </c>
      <c r="Q34" t="str">
        <f t="shared" si="1"/>
        <v>F</v>
      </c>
    </row>
    <row r="35" spans="1:17" hidden="1" x14ac:dyDescent="0.3">
      <c r="A35">
        <v>1919</v>
      </c>
      <c r="B35">
        <v>1708</v>
      </c>
      <c r="C35">
        <v>454</v>
      </c>
      <c r="D35" t="s">
        <v>23</v>
      </c>
      <c r="E35" t="s">
        <v>16</v>
      </c>
      <c r="F35" t="s">
        <v>17</v>
      </c>
      <c r="G35" t="s">
        <v>18</v>
      </c>
      <c r="H35">
        <v>272.8</v>
      </c>
      <c r="I35">
        <v>242.5</v>
      </c>
      <c r="J35">
        <v>92.2</v>
      </c>
      <c r="K35">
        <v>67</v>
      </c>
      <c r="L35">
        <v>26.4</v>
      </c>
      <c r="M35">
        <v>6</v>
      </c>
      <c r="N35">
        <v>0.20392884808822101</v>
      </c>
      <c r="O35">
        <v>0.31617285146411001</v>
      </c>
      <c r="P35" t="str">
        <f t="shared" si="0"/>
        <v>F</v>
      </c>
      <c r="Q35" t="str">
        <f t="shared" si="1"/>
        <v>F</v>
      </c>
    </row>
    <row r="36" spans="1:17" hidden="1" x14ac:dyDescent="0.3">
      <c r="A36">
        <v>1920</v>
      </c>
      <c r="B36">
        <v>1708</v>
      </c>
      <c r="C36">
        <v>454</v>
      </c>
      <c r="D36" t="s">
        <v>23</v>
      </c>
      <c r="E36" t="s">
        <v>16</v>
      </c>
      <c r="F36" t="s">
        <v>17</v>
      </c>
      <c r="G36" t="s">
        <v>18</v>
      </c>
      <c r="H36">
        <v>272.8</v>
      </c>
      <c r="I36">
        <v>242.5</v>
      </c>
      <c r="J36">
        <v>92.2</v>
      </c>
      <c r="K36">
        <v>67</v>
      </c>
      <c r="L36">
        <v>26.4</v>
      </c>
      <c r="M36">
        <v>6</v>
      </c>
      <c r="N36">
        <v>0.20512107320839701</v>
      </c>
      <c r="O36">
        <v>0.32738137577325399</v>
      </c>
      <c r="P36" t="str">
        <f t="shared" si="0"/>
        <v>F</v>
      </c>
      <c r="Q36" t="str">
        <f t="shared" si="1"/>
        <v>F</v>
      </c>
    </row>
    <row r="37" spans="1:17" hidden="1" x14ac:dyDescent="0.3">
      <c r="A37">
        <v>1921</v>
      </c>
      <c r="B37">
        <v>1708</v>
      </c>
      <c r="C37">
        <v>454</v>
      </c>
      <c r="D37" t="s">
        <v>23</v>
      </c>
      <c r="E37" t="s">
        <v>16</v>
      </c>
      <c r="F37" t="s">
        <v>17</v>
      </c>
      <c r="G37" t="s">
        <v>18</v>
      </c>
      <c r="H37">
        <v>272.8</v>
      </c>
      <c r="I37">
        <v>242.5</v>
      </c>
      <c r="J37">
        <v>92.2</v>
      </c>
      <c r="K37">
        <v>67</v>
      </c>
      <c r="L37">
        <v>26.4</v>
      </c>
      <c r="M37">
        <v>6</v>
      </c>
      <c r="N37">
        <v>0.20427597298873601</v>
      </c>
      <c r="O37">
        <v>0.32967579515080703</v>
      </c>
      <c r="P37" t="str">
        <f t="shared" si="0"/>
        <v>F</v>
      </c>
      <c r="Q37" t="str">
        <f t="shared" si="1"/>
        <v>F</v>
      </c>
    </row>
    <row r="38" spans="1:17" hidden="1" x14ac:dyDescent="0.3">
      <c r="A38">
        <v>1922</v>
      </c>
      <c r="B38">
        <v>1708</v>
      </c>
      <c r="C38">
        <v>454</v>
      </c>
      <c r="D38" t="s">
        <v>23</v>
      </c>
      <c r="E38" t="s">
        <v>16</v>
      </c>
      <c r="F38" t="s">
        <v>17</v>
      </c>
      <c r="G38" t="s">
        <v>18</v>
      </c>
      <c r="H38">
        <v>272.8</v>
      </c>
      <c r="I38">
        <v>242.5</v>
      </c>
      <c r="J38">
        <v>92.2</v>
      </c>
      <c r="K38">
        <v>67</v>
      </c>
      <c r="L38">
        <v>26.4</v>
      </c>
      <c r="M38">
        <v>6</v>
      </c>
      <c r="N38">
        <v>0.199051908281214</v>
      </c>
      <c r="O38">
        <v>0.32902680562869002</v>
      </c>
      <c r="P38" t="str">
        <f t="shared" si="0"/>
        <v>F</v>
      </c>
      <c r="Q38" t="str">
        <f t="shared" si="1"/>
        <v>F</v>
      </c>
    </row>
    <row r="39" spans="1:17" hidden="1" x14ac:dyDescent="0.3">
      <c r="A39">
        <v>1923</v>
      </c>
      <c r="B39">
        <v>1708</v>
      </c>
      <c r="C39">
        <v>454</v>
      </c>
      <c r="D39" t="s">
        <v>23</v>
      </c>
      <c r="E39" t="s">
        <v>16</v>
      </c>
      <c r="F39" t="s">
        <v>17</v>
      </c>
      <c r="G39" t="s">
        <v>18</v>
      </c>
      <c r="H39">
        <v>272.8</v>
      </c>
      <c r="I39">
        <v>242.5</v>
      </c>
      <c r="J39">
        <v>92.2</v>
      </c>
      <c r="K39">
        <v>67</v>
      </c>
      <c r="L39">
        <v>26.4</v>
      </c>
      <c r="M39">
        <v>6</v>
      </c>
      <c r="N39">
        <v>0.20888322726029099</v>
      </c>
      <c r="O39">
        <v>0.31182107848510898</v>
      </c>
      <c r="P39" t="str">
        <f t="shared" si="0"/>
        <v>F</v>
      </c>
      <c r="Q39" t="str">
        <f t="shared" si="1"/>
        <v>F</v>
      </c>
    </row>
    <row r="40" spans="1:17" hidden="1" x14ac:dyDescent="0.3">
      <c r="A40">
        <v>1970</v>
      </c>
      <c r="B40">
        <v>1725</v>
      </c>
      <c r="C40">
        <v>306</v>
      </c>
      <c r="D40" t="s">
        <v>23</v>
      </c>
      <c r="E40" t="s">
        <v>16</v>
      </c>
      <c r="F40" t="s">
        <v>21</v>
      </c>
      <c r="G40" t="s">
        <v>25</v>
      </c>
      <c r="H40">
        <v>274.39999999999998</v>
      </c>
      <c r="I40">
        <v>249</v>
      </c>
      <c r="J40">
        <v>95.3</v>
      </c>
      <c r="K40">
        <v>69.5</v>
      </c>
      <c r="L40">
        <v>27.8</v>
      </c>
      <c r="M40">
        <v>5.5</v>
      </c>
      <c r="N40">
        <v>0.16353342482171301</v>
      </c>
      <c r="O40">
        <v>0.42676105397378999</v>
      </c>
      <c r="P40" t="str">
        <f t="shared" si="0"/>
        <v>F</v>
      </c>
      <c r="Q40" t="str">
        <f t="shared" si="1"/>
        <v>F</v>
      </c>
    </row>
    <row r="41" spans="1:17" hidden="1" x14ac:dyDescent="0.3">
      <c r="A41">
        <v>1971</v>
      </c>
      <c r="B41">
        <v>1725</v>
      </c>
      <c r="C41">
        <v>306</v>
      </c>
      <c r="D41" t="s">
        <v>23</v>
      </c>
      <c r="E41" t="s">
        <v>16</v>
      </c>
      <c r="F41" t="s">
        <v>21</v>
      </c>
      <c r="G41" t="s">
        <v>25</v>
      </c>
      <c r="H41">
        <v>274.39999999999998</v>
      </c>
      <c r="I41">
        <v>249</v>
      </c>
      <c r="J41">
        <v>95.3</v>
      </c>
      <c r="K41">
        <v>69.5</v>
      </c>
      <c r="L41">
        <v>27.8</v>
      </c>
      <c r="M41">
        <v>5.5</v>
      </c>
      <c r="N41">
        <v>0.15287725094222801</v>
      </c>
      <c r="O41">
        <v>0.4035959067305</v>
      </c>
      <c r="P41" t="str">
        <f t="shared" si="0"/>
        <v>F</v>
      </c>
      <c r="Q41" t="str">
        <f t="shared" si="1"/>
        <v>F</v>
      </c>
    </row>
    <row r="42" spans="1:17" hidden="1" x14ac:dyDescent="0.3">
      <c r="A42">
        <v>2000</v>
      </c>
      <c r="B42">
        <v>1742</v>
      </c>
      <c r="C42">
        <v>31</v>
      </c>
      <c r="D42" t="s">
        <v>23</v>
      </c>
      <c r="E42" t="s">
        <v>16</v>
      </c>
      <c r="F42" t="s">
        <v>17</v>
      </c>
      <c r="G42" t="s">
        <v>24</v>
      </c>
      <c r="H42">
        <v>274</v>
      </c>
      <c r="I42">
        <v>250</v>
      </c>
      <c r="J42">
        <v>99.4</v>
      </c>
      <c r="K42">
        <v>68.5</v>
      </c>
      <c r="L42">
        <v>23.2</v>
      </c>
      <c r="M42">
        <v>10</v>
      </c>
      <c r="N42">
        <v>0.21302937061753399</v>
      </c>
      <c r="O42">
        <v>0.17777945180357399</v>
      </c>
      <c r="P42" t="str">
        <f t="shared" si="0"/>
        <v>F</v>
      </c>
      <c r="Q42" t="str">
        <f t="shared" si="1"/>
        <v>T</v>
      </c>
    </row>
    <row r="43" spans="1:17" hidden="1" x14ac:dyDescent="0.3">
      <c r="A43">
        <v>2001</v>
      </c>
      <c r="B43">
        <v>1742</v>
      </c>
      <c r="C43">
        <v>31</v>
      </c>
      <c r="D43" t="s">
        <v>23</v>
      </c>
      <c r="E43" t="s">
        <v>16</v>
      </c>
      <c r="F43" t="s">
        <v>17</v>
      </c>
      <c r="G43" t="s">
        <v>24</v>
      </c>
      <c r="H43">
        <v>274</v>
      </c>
      <c r="I43">
        <v>250</v>
      </c>
      <c r="J43">
        <v>99.4</v>
      </c>
      <c r="K43">
        <v>68.5</v>
      </c>
      <c r="L43">
        <v>23.2</v>
      </c>
      <c r="M43">
        <v>10</v>
      </c>
      <c r="N43">
        <v>0.19566592341922101</v>
      </c>
      <c r="O43">
        <v>0.16171652006113901</v>
      </c>
      <c r="P43" t="str">
        <f t="shared" si="0"/>
        <v>F</v>
      </c>
      <c r="Q43" t="str">
        <f t="shared" si="1"/>
        <v>T</v>
      </c>
    </row>
    <row r="44" spans="1:17" hidden="1" x14ac:dyDescent="0.3">
      <c r="A44">
        <v>2002</v>
      </c>
      <c r="B44">
        <v>1742</v>
      </c>
      <c r="C44">
        <v>31</v>
      </c>
      <c r="D44" t="s">
        <v>23</v>
      </c>
      <c r="E44" t="s">
        <v>16</v>
      </c>
      <c r="F44" t="s">
        <v>17</v>
      </c>
      <c r="G44" t="s">
        <v>24</v>
      </c>
      <c r="H44">
        <v>274</v>
      </c>
      <c r="I44">
        <v>250</v>
      </c>
      <c r="J44">
        <v>99.4</v>
      </c>
      <c r="K44">
        <v>68.5</v>
      </c>
      <c r="L44">
        <v>23.2</v>
      </c>
      <c r="M44">
        <v>10</v>
      </c>
      <c r="N44">
        <v>0.18868605719550799</v>
      </c>
      <c r="O44">
        <v>0.14113426403698501</v>
      </c>
      <c r="P44" t="str">
        <f t="shared" si="0"/>
        <v>F</v>
      </c>
      <c r="Q44" t="str">
        <f t="shared" si="1"/>
        <v>T</v>
      </c>
    </row>
    <row r="45" spans="1:17" hidden="1" x14ac:dyDescent="0.3">
      <c r="A45">
        <v>2003</v>
      </c>
      <c r="B45">
        <v>1742</v>
      </c>
      <c r="C45">
        <v>31</v>
      </c>
      <c r="D45" t="s">
        <v>23</v>
      </c>
      <c r="E45" t="s">
        <v>16</v>
      </c>
      <c r="F45" t="s">
        <v>17</v>
      </c>
      <c r="G45" t="s">
        <v>24</v>
      </c>
      <c r="H45">
        <v>274</v>
      </c>
      <c r="I45">
        <v>250</v>
      </c>
      <c r="J45">
        <v>99.4</v>
      </c>
      <c r="K45">
        <v>68.5</v>
      </c>
      <c r="L45">
        <v>23.2</v>
      </c>
      <c r="M45">
        <v>10</v>
      </c>
      <c r="N45">
        <v>0.19286357261179701</v>
      </c>
      <c r="O45">
        <v>0.164100785049447</v>
      </c>
      <c r="P45" t="str">
        <f t="shared" si="0"/>
        <v>F</v>
      </c>
      <c r="Q45" t="str">
        <f t="shared" si="1"/>
        <v>T</v>
      </c>
    </row>
    <row r="46" spans="1:17" hidden="1" x14ac:dyDescent="0.3">
      <c r="A46">
        <v>2240</v>
      </c>
      <c r="B46">
        <v>1823</v>
      </c>
      <c r="C46">
        <v>143</v>
      </c>
      <c r="D46" t="s">
        <v>23</v>
      </c>
      <c r="E46" t="s">
        <v>16</v>
      </c>
      <c r="F46" t="s">
        <v>17</v>
      </c>
      <c r="G46" t="s">
        <v>25</v>
      </c>
      <c r="H46">
        <v>274</v>
      </c>
      <c r="I46">
        <v>250</v>
      </c>
      <c r="J46">
        <v>95</v>
      </c>
      <c r="K46">
        <v>65</v>
      </c>
      <c r="L46">
        <v>25.9</v>
      </c>
      <c r="M46">
        <v>7.5</v>
      </c>
      <c r="N46">
        <v>0.17885801690881301</v>
      </c>
      <c r="O46">
        <v>0.24143193946015301</v>
      </c>
      <c r="P46" t="str">
        <f t="shared" si="0"/>
        <v>F</v>
      </c>
      <c r="Q46" t="str">
        <f t="shared" si="1"/>
        <v>T</v>
      </c>
    </row>
    <row r="47" spans="1:17" hidden="1" x14ac:dyDescent="0.3">
      <c r="A47">
        <v>2241</v>
      </c>
      <c r="B47">
        <v>1823</v>
      </c>
      <c r="C47">
        <v>143</v>
      </c>
      <c r="D47" t="s">
        <v>23</v>
      </c>
      <c r="E47" t="s">
        <v>16</v>
      </c>
      <c r="F47" t="s">
        <v>17</v>
      </c>
      <c r="G47" t="s">
        <v>25</v>
      </c>
      <c r="H47">
        <v>274</v>
      </c>
      <c r="I47">
        <v>250</v>
      </c>
      <c r="J47">
        <v>95</v>
      </c>
      <c r="K47">
        <v>65</v>
      </c>
      <c r="L47">
        <v>25.9</v>
      </c>
      <c r="M47">
        <v>7.5</v>
      </c>
      <c r="N47">
        <v>0.16657487534780199</v>
      </c>
      <c r="O47">
        <v>0.242802937309056</v>
      </c>
      <c r="P47" t="str">
        <f t="shared" si="0"/>
        <v>F</v>
      </c>
      <c r="Q47" t="str">
        <f t="shared" si="1"/>
        <v>T</v>
      </c>
    </row>
    <row r="48" spans="1:17" hidden="1" x14ac:dyDescent="0.3">
      <c r="A48">
        <v>2290</v>
      </c>
      <c r="B48">
        <v>1840</v>
      </c>
      <c r="C48">
        <v>31</v>
      </c>
      <c r="D48" t="s">
        <v>23</v>
      </c>
      <c r="E48" t="s">
        <v>16</v>
      </c>
      <c r="F48" t="s">
        <v>21</v>
      </c>
      <c r="G48" t="s">
        <v>25</v>
      </c>
      <c r="H48">
        <v>274</v>
      </c>
      <c r="I48">
        <v>250</v>
      </c>
      <c r="J48">
        <v>99.4</v>
      </c>
      <c r="K48">
        <v>68.5</v>
      </c>
      <c r="L48">
        <v>23.2</v>
      </c>
      <c r="M48">
        <v>10</v>
      </c>
      <c r="N48">
        <v>0.21488267198139999</v>
      </c>
      <c r="O48">
        <v>0.161701026829876</v>
      </c>
      <c r="P48" t="str">
        <f t="shared" si="0"/>
        <v>F</v>
      </c>
      <c r="Q48" t="str">
        <f t="shared" si="1"/>
        <v>T</v>
      </c>
    </row>
    <row r="49" spans="1:17" hidden="1" x14ac:dyDescent="0.3">
      <c r="A49">
        <v>2291</v>
      </c>
      <c r="B49">
        <v>1840</v>
      </c>
      <c r="C49">
        <v>31</v>
      </c>
      <c r="D49" t="s">
        <v>23</v>
      </c>
      <c r="E49" t="s">
        <v>16</v>
      </c>
      <c r="F49" t="s">
        <v>21</v>
      </c>
      <c r="G49" t="s">
        <v>25</v>
      </c>
      <c r="H49">
        <v>274</v>
      </c>
      <c r="I49">
        <v>250</v>
      </c>
      <c r="J49">
        <v>99.4</v>
      </c>
      <c r="K49">
        <v>68.5</v>
      </c>
      <c r="L49">
        <v>23.2</v>
      </c>
      <c r="M49">
        <v>10</v>
      </c>
      <c r="N49">
        <v>0.204120780298609</v>
      </c>
      <c r="O49">
        <v>0.15734122827125499</v>
      </c>
      <c r="P49" t="str">
        <f t="shared" si="0"/>
        <v>F</v>
      </c>
      <c r="Q49" t="str">
        <f t="shared" si="1"/>
        <v>T</v>
      </c>
    </row>
    <row r="50" spans="1:17" hidden="1" x14ac:dyDescent="0.3">
      <c r="A50">
        <v>2292</v>
      </c>
      <c r="B50">
        <v>1841</v>
      </c>
      <c r="C50">
        <v>20</v>
      </c>
      <c r="D50" t="s">
        <v>23</v>
      </c>
      <c r="E50" t="s">
        <v>16</v>
      </c>
      <c r="F50" t="s">
        <v>17</v>
      </c>
      <c r="G50" t="s">
        <v>22</v>
      </c>
      <c r="H50">
        <v>282.7</v>
      </c>
      <c r="I50">
        <v>260</v>
      </c>
      <c r="J50">
        <v>103.8</v>
      </c>
      <c r="K50">
        <v>68</v>
      </c>
      <c r="L50">
        <v>26.4</v>
      </c>
      <c r="M50">
        <v>11.5</v>
      </c>
      <c r="N50">
        <v>8.8884899479297202E-2</v>
      </c>
      <c r="O50">
        <v>0.245469123821699</v>
      </c>
      <c r="P50" t="str">
        <f t="shared" si="0"/>
        <v>T</v>
      </c>
      <c r="Q50" t="str">
        <f t="shared" si="1"/>
        <v>F</v>
      </c>
    </row>
    <row r="51" spans="1:17" hidden="1" x14ac:dyDescent="0.3">
      <c r="A51">
        <v>2293</v>
      </c>
      <c r="B51">
        <v>1841</v>
      </c>
      <c r="C51">
        <v>20</v>
      </c>
      <c r="D51" t="s">
        <v>23</v>
      </c>
      <c r="E51" t="s">
        <v>16</v>
      </c>
      <c r="F51" t="s">
        <v>17</v>
      </c>
      <c r="G51" t="s">
        <v>22</v>
      </c>
      <c r="H51">
        <v>282.7</v>
      </c>
      <c r="I51">
        <v>260</v>
      </c>
      <c r="J51">
        <v>103.8</v>
      </c>
      <c r="K51">
        <v>68</v>
      </c>
      <c r="L51">
        <v>26.4</v>
      </c>
      <c r="M51">
        <v>11.5</v>
      </c>
      <c r="N51">
        <v>7.1740569803396298E-2</v>
      </c>
      <c r="O51">
        <v>0.278949578173323</v>
      </c>
      <c r="P51" t="str">
        <f t="shared" si="0"/>
        <v>T</v>
      </c>
      <c r="Q51" t="str">
        <f t="shared" si="1"/>
        <v>F</v>
      </c>
    </row>
    <row r="52" spans="1:17" hidden="1" x14ac:dyDescent="0.3">
      <c r="A52">
        <v>2294</v>
      </c>
      <c r="B52">
        <v>1841</v>
      </c>
      <c r="C52">
        <v>20</v>
      </c>
      <c r="D52" t="s">
        <v>23</v>
      </c>
      <c r="E52" t="s">
        <v>16</v>
      </c>
      <c r="F52" t="s">
        <v>17</v>
      </c>
      <c r="G52" t="s">
        <v>22</v>
      </c>
      <c r="H52">
        <v>282.7</v>
      </c>
      <c r="I52">
        <v>260</v>
      </c>
      <c r="J52">
        <v>103.8</v>
      </c>
      <c r="K52">
        <v>68</v>
      </c>
      <c r="L52">
        <v>26.4</v>
      </c>
      <c r="M52">
        <v>11.5</v>
      </c>
      <c r="N52">
        <v>7.0807700778538707E-2</v>
      </c>
      <c r="O52">
        <v>0.25234242413195301</v>
      </c>
      <c r="P52" t="str">
        <f t="shared" si="0"/>
        <v>T</v>
      </c>
      <c r="Q52" t="str">
        <f t="shared" si="1"/>
        <v>F</v>
      </c>
    </row>
    <row r="53" spans="1:17" hidden="1" x14ac:dyDescent="0.3">
      <c r="A53">
        <v>2295</v>
      </c>
      <c r="B53">
        <v>1841</v>
      </c>
      <c r="C53">
        <v>20</v>
      </c>
      <c r="D53" t="s">
        <v>23</v>
      </c>
      <c r="E53" t="s">
        <v>16</v>
      </c>
      <c r="F53" t="s">
        <v>17</v>
      </c>
      <c r="G53" t="s">
        <v>22</v>
      </c>
      <c r="H53">
        <v>282.7</v>
      </c>
      <c r="I53">
        <v>260</v>
      </c>
      <c r="J53">
        <v>103.8</v>
      </c>
      <c r="K53">
        <v>68</v>
      </c>
      <c r="L53">
        <v>26.4</v>
      </c>
      <c r="M53">
        <v>11.5</v>
      </c>
      <c r="N53">
        <v>7.5910223041290095E-2</v>
      </c>
      <c r="O53">
        <v>0.27167351243212601</v>
      </c>
      <c r="P53" t="str">
        <f t="shared" si="0"/>
        <v>T</v>
      </c>
      <c r="Q53" t="str">
        <f t="shared" si="1"/>
        <v>F</v>
      </c>
    </row>
    <row r="54" spans="1:17" hidden="1" x14ac:dyDescent="0.3">
      <c r="A54">
        <v>2328</v>
      </c>
      <c r="B54">
        <v>1853</v>
      </c>
      <c r="C54">
        <v>246</v>
      </c>
      <c r="D54" t="s">
        <v>23</v>
      </c>
      <c r="E54" t="s">
        <v>16</v>
      </c>
      <c r="F54" t="s">
        <v>17</v>
      </c>
      <c r="G54" t="s">
        <v>24</v>
      </c>
      <c r="H54">
        <v>278.2</v>
      </c>
      <c r="I54">
        <v>257</v>
      </c>
      <c r="J54">
        <v>97.9</v>
      </c>
      <c r="K54">
        <v>67</v>
      </c>
      <c r="L54">
        <v>24.3</v>
      </c>
      <c r="M54">
        <v>12.5</v>
      </c>
      <c r="N54">
        <v>0.16137671434552101</v>
      </c>
      <c r="O54">
        <v>0.37330152968997699</v>
      </c>
      <c r="P54" t="str">
        <f t="shared" si="0"/>
        <v>F</v>
      </c>
      <c r="Q54" t="str">
        <f t="shared" si="1"/>
        <v>F</v>
      </c>
    </row>
    <row r="55" spans="1:17" hidden="1" x14ac:dyDescent="0.3">
      <c r="A55">
        <v>2329</v>
      </c>
      <c r="B55">
        <v>1853</v>
      </c>
      <c r="C55">
        <v>246</v>
      </c>
      <c r="D55" t="s">
        <v>23</v>
      </c>
      <c r="E55" t="s">
        <v>16</v>
      </c>
      <c r="F55" t="s">
        <v>17</v>
      </c>
      <c r="G55" t="s">
        <v>24</v>
      </c>
      <c r="H55">
        <v>278.2</v>
      </c>
      <c r="I55">
        <v>257</v>
      </c>
      <c r="J55">
        <v>97.9</v>
      </c>
      <c r="K55">
        <v>67</v>
      </c>
      <c r="L55">
        <v>24.3</v>
      </c>
      <c r="M55">
        <v>12.5</v>
      </c>
      <c r="N55">
        <v>0.152681414913825</v>
      </c>
      <c r="O55">
        <v>0.37807164045709402</v>
      </c>
      <c r="P55" t="str">
        <f t="shared" si="0"/>
        <v>F</v>
      </c>
      <c r="Q55" t="str">
        <f t="shared" si="1"/>
        <v>F</v>
      </c>
    </row>
    <row r="56" spans="1:17" hidden="1" x14ac:dyDescent="0.3">
      <c r="A56">
        <v>2330</v>
      </c>
      <c r="B56">
        <v>1853</v>
      </c>
      <c r="C56">
        <v>246</v>
      </c>
      <c r="D56" t="s">
        <v>23</v>
      </c>
      <c r="E56" t="s">
        <v>16</v>
      </c>
      <c r="F56" t="s">
        <v>17</v>
      </c>
      <c r="G56" t="s">
        <v>24</v>
      </c>
      <c r="H56">
        <v>278.2</v>
      </c>
      <c r="I56">
        <v>257</v>
      </c>
      <c r="J56">
        <v>97.9</v>
      </c>
      <c r="K56">
        <v>67</v>
      </c>
      <c r="L56">
        <v>24.3</v>
      </c>
      <c r="M56">
        <v>12.5</v>
      </c>
      <c r="N56">
        <v>0.14703421848166001</v>
      </c>
      <c r="O56">
        <v>0.408758791165171</v>
      </c>
      <c r="P56" t="str">
        <f t="shared" si="0"/>
        <v>F</v>
      </c>
      <c r="Q56" t="str">
        <f t="shared" si="1"/>
        <v>F</v>
      </c>
    </row>
    <row r="57" spans="1:17" hidden="1" x14ac:dyDescent="0.3">
      <c r="A57">
        <v>2331</v>
      </c>
      <c r="B57">
        <v>1853</v>
      </c>
      <c r="C57">
        <v>246</v>
      </c>
      <c r="D57" t="s">
        <v>23</v>
      </c>
      <c r="E57" t="s">
        <v>16</v>
      </c>
      <c r="F57" t="s">
        <v>17</v>
      </c>
      <c r="G57" t="s">
        <v>24</v>
      </c>
      <c r="H57">
        <v>278.2</v>
      </c>
      <c r="I57">
        <v>257</v>
      </c>
      <c r="J57">
        <v>97.9</v>
      </c>
      <c r="K57">
        <v>67</v>
      </c>
      <c r="L57">
        <v>24.3</v>
      </c>
      <c r="M57">
        <v>12.5</v>
      </c>
      <c r="N57">
        <v>0.14707828038265</v>
      </c>
      <c r="O57">
        <v>0.39386073960547702</v>
      </c>
      <c r="P57" t="str">
        <f t="shared" si="0"/>
        <v>F</v>
      </c>
      <c r="Q57" t="str">
        <f t="shared" si="1"/>
        <v>F</v>
      </c>
    </row>
    <row r="58" spans="1:17" hidden="1" x14ac:dyDescent="0.3">
      <c r="A58">
        <v>2332</v>
      </c>
      <c r="B58">
        <v>1853</v>
      </c>
      <c r="C58">
        <v>246</v>
      </c>
      <c r="D58" t="s">
        <v>23</v>
      </c>
      <c r="E58" t="s">
        <v>16</v>
      </c>
      <c r="F58" t="s">
        <v>17</v>
      </c>
      <c r="G58" t="s">
        <v>24</v>
      </c>
      <c r="H58">
        <v>278.2</v>
      </c>
      <c r="I58">
        <v>257</v>
      </c>
      <c r="J58">
        <v>97.9</v>
      </c>
      <c r="K58">
        <v>67</v>
      </c>
      <c r="L58">
        <v>24.3</v>
      </c>
      <c r="M58">
        <v>12.5</v>
      </c>
      <c r="N58">
        <v>0.165461710890321</v>
      </c>
      <c r="O58">
        <v>0.373193611170131</v>
      </c>
      <c r="P58" t="str">
        <f t="shared" si="0"/>
        <v>F</v>
      </c>
      <c r="Q58" t="str">
        <f t="shared" si="1"/>
        <v>F</v>
      </c>
    </row>
    <row r="59" spans="1:17" hidden="1" x14ac:dyDescent="0.3">
      <c r="A59">
        <v>2385</v>
      </c>
      <c r="B59">
        <v>1871</v>
      </c>
      <c r="C59">
        <v>135</v>
      </c>
      <c r="D59" t="s">
        <v>23</v>
      </c>
      <c r="E59" t="s">
        <v>16</v>
      </c>
      <c r="F59" t="s">
        <v>21</v>
      </c>
      <c r="G59" t="s">
        <v>22</v>
      </c>
      <c r="H59">
        <v>272.89999999999998</v>
      </c>
      <c r="I59">
        <v>240</v>
      </c>
      <c r="J59">
        <v>92.6</v>
      </c>
      <c r="K59">
        <v>67</v>
      </c>
      <c r="L59">
        <v>26.5</v>
      </c>
      <c r="M59">
        <v>12</v>
      </c>
      <c r="N59">
        <v>0.15534732458258299</v>
      </c>
      <c r="O59">
        <v>0.16969253632783499</v>
      </c>
      <c r="P59" t="str">
        <f t="shared" si="0"/>
        <v>F</v>
      </c>
      <c r="Q59" t="str">
        <f t="shared" si="1"/>
        <v>T</v>
      </c>
    </row>
    <row r="60" spans="1:17" hidden="1" x14ac:dyDescent="0.3">
      <c r="A60">
        <v>2638</v>
      </c>
      <c r="B60">
        <v>1957</v>
      </c>
      <c r="C60">
        <v>31</v>
      </c>
      <c r="D60" t="s">
        <v>23</v>
      </c>
      <c r="E60" t="s">
        <v>16</v>
      </c>
      <c r="F60" t="s">
        <v>21</v>
      </c>
      <c r="G60" t="s">
        <v>22</v>
      </c>
      <c r="H60">
        <v>274</v>
      </c>
      <c r="I60">
        <v>250</v>
      </c>
      <c r="J60">
        <v>99.4</v>
      </c>
      <c r="K60">
        <v>68.5</v>
      </c>
      <c r="L60">
        <v>23.2</v>
      </c>
      <c r="M60">
        <v>10</v>
      </c>
      <c r="N60">
        <v>0.222283141964809</v>
      </c>
      <c r="O60">
        <v>0.17152764760997299</v>
      </c>
      <c r="P60" t="str">
        <f t="shared" si="0"/>
        <v>F</v>
      </c>
      <c r="Q60" t="str">
        <f t="shared" si="1"/>
        <v>T</v>
      </c>
    </row>
    <row r="61" spans="1:17" hidden="1" x14ac:dyDescent="0.3">
      <c r="A61">
        <v>3050</v>
      </c>
      <c r="B61">
        <v>2101</v>
      </c>
      <c r="C61">
        <v>350</v>
      </c>
      <c r="D61" t="s">
        <v>23</v>
      </c>
      <c r="E61" t="s">
        <v>16</v>
      </c>
      <c r="F61" t="s">
        <v>17</v>
      </c>
      <c r="G61" t="s">
        <v>24</v>
      </c>
      <c r="H61">
        <v>271.60000000000002</v>
      </c>
      <c r="I61">
        <v>240.5</v>
      </c>
      <c r="J61">
        <v>93.3</v>
      </c>
      <c r="K61">
        <v>65</v>
      </c>
      <c r="L61">
        <v>23.4</v>
      </c>
      <c r="M61">
        <v>7.5</v>
      </c>
      <c r="N61">
        <v>0.26037302361619002</v>
      </c>
      <c r="O61">
        <v>0.375839924161192</v>
      </c>
      <c r="P61" t="str">
        <f t="shared" si="0"/>
        <v>F</v>
      </c>
      <c r="Q61" t="str">
        <f t="shared" si="1"/>
        <v>F</v>
      </c>
    </row>
    <row r="62" spans="1:17" hidden="1" x14ac:dyDescent="0.3">
      <c r="A62">
        <v>3051</v>
      </c>
      <c r="B62">
        <v>2101</v>
      </c>
      <c r="C62">
        <v>350</v>
      </c>
      <c r="D62" t="s">
        <v>23</v>
      </c>
      <c r="E62" t="s">
        <v>16</v>
      </c>
      <c r="F62" t="s">
        <v>17</v>
      </c>
      <c r="G62" t="s">
        <v>24</v>
      </c>
      <c r="H62">
        <v>271.60000000000002</v>
      </c>
      <c r="I62">
        <v>240.5</v>
      </c>
      <c r="J62">
        <v>93.3</v>
      </c>
      <c r="K62">
        <v>65</v>
      </c>
      <c r="L62">
        <v>23.4</v>
      </c>
      <c r="M62">
        <v>7.5</v>
      </c>
      <c r="N62">
        <v>0.26721225706965002</v>
      </c>
      <c r="O62">
        <v>0.401193197518246</v>
      </c>
      <c r="P62" t="str">
        <f t="shared" si="0"/>
        <v>F</v>
      </c>
      <c r="Q62" t="str">
        <f t="shared" si="1"/>
        <v>F</v>
      </c>
    </row>
    <row r="63" spans="1:17" hidden="1" x14ac:dyDescent="0.3">
      <c r="A63">
        <v>3052</v>
      </c>
      <c r="B63">
        <v>2101</v>
      </c>
      <c r="C63">
        <v>350</v>
      </c>
      <c r="D63" t="s">
        <v>23</v>
      </c>
      <c r="E63" t="s">
        <v>16</v>
      </c>
      <c r="F63" t="s">
        <v>17</v>
      </c>
      <c r="G63" t="s">
        <v>24</v>
      </c>
      <c r="H63">
        <v>271.60000000000002</v>
      </c>
      <c r="I63">
        <v>240.5</v>
      </c>
      <c r="J63">
        <v>93.3</v>
      </c>
      <c r="K63">
        <v>65</v>
      </c>
      <c r="L63">
        <v>23.4</v>
      </c>
      <c r="M63">
        <v>7.5</v>
      </c>
      <c r="N63">
        <v>0.257737706175793</v>
      </c>
      <c r="O63">
        <v>0.37389863954367503</v>
      </c>
      <c r="P63" t="str">
        <f t="shared" si="0"/>
        <v>F</v>
      </c>
      <c r="Q63" t="str">
        <f t="shared" si="1"/>
        <v>F</v>
      </c>
    </row>
    <row r="64" spans="1:17" hidden="1" x14ac:dyDescent="0.3">
      <c r="A64">
        <v>3053</v>
      </c>
      <c r="B64">
        <v>2101</v>
      </c>
      <c r="C64">
        <v>350</v>
      </c>
      <c r="D64" t="s">
        <v>23</v>
      </c>
      <c r="E64" t="s">
        <v>16</v>
      </c>
      <c r="F64" t="s">
        <v>17</v>
      </c>
      <c r="G64" t="s">
        <v>24</v>
      </c>
      <c r="H64">
        <v>271.60000000000002</v>
      </c>
      <c r="I64">
        <v>240.5</v>
      </c>
      <c r="J64">
        <v>93.3</v>
      </c>
      <c r="K64">
        <v>65</v>
      </c>
      <c r="L64">
        <v>23.4</v>
      </c>
      <c r="M64">
        <v>7.5</v>
      </c>
      <c r="N64">
        <v>0.277136049457684</v>
      </c>
      <c r="O64">
        <v>0.39080705499850599</v>
      </c>
      <c r="P64" t="str">
        <f t="shared" si="0"/>
        <v>F</v>
      </c>
      <c r="Q64" t="str">
        <f t="shared" si="1"/>
        <v>F</v>
      </c>
    </row>
    <row r="65" spans="1:17" hidden="1" x14ac:dyDescent="0.3">
      <c r="A65">
        <v>3054</v>
      </c>
      <c r="B65">
        <v>2101</v>
      </c>
      <c r="C65">
        <v>350</v>
      </c>
      <c r="D65" t="s">
        <v>23</v>
      </c>
      <c r="E65" t="s">
        <v>16</v>
      </c>
      <c r="F65" t="s">
        <v>17</v>
      </c>
      <c r="G65" t="s">
        <v>24</v>
      </c>
      <c r="H65">
        <v>271.60000000000002</v>
      </c>
      <c r="I65">
        <v>240.5</v>
      </c>
      <c r="J65">
        <v>93.3</v>
      </c>
      <c r="K65">
        <v>65</v>
      </c>
      <c r="L65">
        <v>23.4</v>
      </c>
      <c r="M65">
        <v>7.5</v>
      </c>
      <c r="N65">
        <v>0.24693454998042699</v>
      </c>
      <c r="O65">
        <v>0.39834647449762101</v>
      </c>
      <c r="P65" t="str">
        <f t="shared" si="0"/>
        <v>F</v>
      </c>
      <c r="Q65" t="str">
        <f t="shared" si="1"/>
        <v>F</v>
      </c>
    </row>
    <row r="66" spans="1:17" hidden="1" x14ac:dyDescent="0.3">
      <c r="A66">
        <v>3055</v>
      </c>
      <c r="B66">
        <v>2101</v>
      </c>
      <c r="C66">
        <v>350</v>
      </c>
      <c r="D66" t="s">
        <v>23</v>
      </c>
      <c r="E66" t="s">
        <v>16</v>
      </c>
      <c r="F66" t="s">
        <v>17</v>
      </c>
      <c r="G66" t="s">
        <v>24</v>
      </c>
      <c r="H66">
        <v>271.60000000000002</v>
      </c>
      <c r="I66">
        <v>240.5</v>
      </c>
      <c r="J66">
        <v>93.3</v>
      </c>
      <c r="K66">
        <v>65</v>
      </c>
      <c r="L66">
        <v>23.4</v>
      </c>
      <c r="M66">
        <v>7.5</v>
      </c>
      <c r="N66">
        <v>0.26336598361837799</v>
      </c>
      <c r="O66">
        <v>0.36715163831803099</v>
      </c>
      <c r="P66" t="str">
        <f t="shared" si="0"/>
        <v>F</v>
      </c>
      <c r="Q66" t="str">
        <f t="shared" si="1"/>
        <v>F</v>
      </c>
    </row>
    <row r="67" spans="1:17" hidden="1" x14ac:dyDescent="0.3">
      <c r="A67">
        <v>3175</v>
      </c>
      <c r="B67">
        <v>2147</v>
      </c>
      <c r="C67">
        <v>279</v>
      </c>
      <c r="D67" t="s">
        <v>23</v>
      </c>
      <c r="E67" t="s">
        <v>16</v>
      </c>
      <c r="F67" t="s">
        <v>21</v>
      </c>
      <c r="G67" t="s">
        <v>26</v>
      </c>
      <c r="H67">
        <v>273.8</v>
      </c>
      <c r="I67">
        <v>248.5</v>
      </c>
      <c r="J67">
        <v>97.9</v>
      </c>
      <c r="K67">
        <v>65.5</v>
      </c>
      <c r="L67">
        <v>24.9</v>
      </c>
      <c r="M67">
        <v>4</v>
      </c>
      <c r="N67">
        <v>0.229782296978807</v>
      </c>
      <c r="O67">
        <v>0.39533889667245198</v>
      </c>
      <c r="P67" t="str">
        <f t="shared" ref="P67:P130" si="2">IF(N67&lt;0.140836, "T", "F")</f>
        <v>F</v>
      </c>
      <c r="Q67" t="str">
        <f t="shared" ref="Q67:Q130" si="3">IF(O67&lt;0.245351, "T", "F")</f>
        <v>F</v>
      </c>
    </row>
    <row r="68" spans="1:17" hidden="1" x14ac:dyDescent="0.3">
      <c r="A68">
        <v>3176</v>
      </c>
      <c r="B68">
        <v>2147</v>
      </c>
      <c r="C68">
        <v>279</v>
      </c>
      <c r="D68" t="s">
        <v>23</v>
      </c>
      <c r="E68" t="s">
        <v>16</v>
      </c>
      <c r="F68" t="s">
        <v>21</v>
      </c>
      <c r="G68" t="s">
        <v>26</v>
      </c>
      <c r="H68">
        <v>273.8</v>
      </c>
      <c r="I68">
        <v>248.5</v>
      </c>
      <c r="J68">
        <v>97.9</v>
      </c>
      <c r="K68">
        <v>65.5</v>
      </c>
      <c r="L68">
        <v>24.9</v>
      </c>
      <c r="M68">
        <v>4</v>
      </c>
      <c r="N68">
        <v>0.23586678942530301</v>
      </c>
      <c r="O68">
        <v>0.382168337093166</v>
      </c>
      <c r="P68" t="str">
        <f t="shared" si="2"/>
        <v>F</v>
      </c>
      <c r="Q68" t="str">
        <f t="shared" si="3"/>
        <v>F</v>
      </c>
    </row>
    <row r="69" spans="1:17" hidden="1" x14ac:dyDescent="0.3">
      <c r="A69">
        <v>3201</v>
      </c>
      <c r="B69">
        <v>2157</v>
      </c>
      <c r="C69">
        <v>350</v>
      </c>
      <c r="D69" t="s">
        <v>23</v>
      </c>
      <c r="E69" t="s">
        <v>16</v>
      </c>
      <c r="F69" t="s">
        <v>21</v>
      </c>
      <c r="G69" t="s">
        <v>26</v>
      </c>
      <c r="H69">
        <v>271.60000000000002</v>
      </c>
      <c r="I69">
        <v>240.5</v>
      </c>
      <c r="J69">
        <v>93.3</v>
      </c>
      <c r="K69">
        <v>65</v>
      </c>
      <c r="L69">
        <v>23.4</v>
      </c>
      <c r="M69">
        <v>7.5</v>
      </c>
      <c r="N69">
        <v>0.25818760698330301</v>
      </c>
      <c r="O69">
        <v>0.39518300151650199</v>
      </c>
      <c r="P69" t="str">
        <f t="shared" si="2"/>
        <v>F</v>
      </c>
      <c r="Q69" t="str">
        <f t="shared" si="3"/>
        <v>F</v>
      </c>
    </row>
    <row r="70" spans="1:17" hidden="1" x14ac:dyDescent="0.3">
      <c r="A70">
        <v>3205</v>
      </c>
      <c r="B70">
        <v>2159</v>
      </c>
      <c r="C70">
        <v>279</v>
      </c>
      <c r="D70" t="s">
        <v>23</v>
      </c>
      <c r="E70" t="s">
        <v>16</v>
      </c>
      <c r="F70" t="s">
        <v>21</v>
      </c>
      <c r="G70" t="s">
        <v>26</v>
      </c>
      <c r="H70">
        <v>273.8</v>
      </c>
      <c r="I70">
        <v>248.5</v>
      </c>
      <c r="J70">
        <v>97.9</v>
      </c>
      <c r="K70">
        <v>65.5</v>
      </c>
      <c r="L70">
        <v>24.9</v>
      </c>
      <c r="M70">
        <v>4</v>
      </c>
      <c r="N70">
        <v>0.24379796090009001</v>
      </c>
      <c r="O70">
        <v>0.37052502507250201</v>
      </c>
      <c r="P70" t="str">
        <f t="shared" si="2"/>
        <v>F</v>
      </c>
      <c r="Q70" t="str">
        <f t="shared" si="3"/>
        <v>F</v>
      </c>
    </row>
    <row r="71" spans="1:17" hidden="1" x14ac:dyDescent="0.3">
      <c r="A71">
        <v>3206</v>
      </c>
      <c r="B71">
        <v>2159</v>
      </c>
      <c r="C71">
        <v>279</v>
      </c>
      <c r="D71" t="s">
        <v>23</v>
      </c>
      <c r="E71" t="s">
        <v>16</v>
      </c>
      <c r="F71" t="s">
        <v>21</v>
      </c>
      <c r="G71" t="s">
        <v>26</v>
      </c>
      <c r="H71">
        <v>273.8</v>
      </c>
      <c r="I71">
        <v>248.5</v>
      </c>
      <c r="J71">
        <v>97.9</v>
      </c>
      <c r="K71">
        <v>65.5</v>
      </c>
      <c r="L71">
        <v>24.9</v>
      </c>
      <c r="M71">
        <v>4</v>
      </c>
      <c r="N71">
        <v>0.23976089794765401</v>
      </c>
      <c r="O71">
        <v>0.37594466038875801</v>
      </c>
      <c r="P71" t="str">
        <f t="shared" si="2"/>
        <v>F</v>
      </c>
      <c r="Q71" t="str">
        <f t="shared" si="3"/>
        <v>F</v>
      </c>
    </row>
    <row r="72" spans="1:17" hidden="1" x14ac:dyDescent="0.3">
      <c r="A72">
        <v>3207</v>
      </c>
      <c r="B72">
        <v>2159</v>
      </c>
      <c r="C72">
        <v>279</v>
      </c>
      <c r="D72" t="s">
        <v>23</v>
      </c>
      <c r="E72" t="s">
        <v>16</v>
      </c>
      <c r="F72" t="s">
        <v>21</v>
      </c>
      <c r="G72" t="s">
        <v>26</v>
      </c>
      <c r="H72">
        <v>273.8</v>
      </c>
      <c r="I72">
        <v>248.5</v>
      </c>
      <c r="J72">
        <v>97.9</v>
      </c>
      <c r="K72">
        <v>65.5</v>
      </c>
      <c r="L72">
        <v>24.9</v>
      </c>
      <c r="M72">
        <v>4</v>
      </c>
      <c r="N72">
        <v>0.24035860821937499</v>
      </c>
      <c r="O72">
        <v>0.38026938980449898</v>
      </c>
      <c r="P72" t="str">
        <f t="shared" si="2"/>
        <v>F</v>
      </c>
      <c r="Q72" t="str">
        <f t="shared" si="3"/>
        <v>F</v>
      </c>
    </row>
    <row r="73" spans="1:17" hidden="1" x14ac:dyDescent="0.3">
      <c r="A73">
        <v>3208</v>
      </c>
      <c r="B73">
        <v>2159</v>
      </c>
      <c r="C73">
        <v>279</v>
      </c>
      <c r="D73" t="s">
        <v>23</v>
      </c>
      <c r="E73" t="s">
        <v>16</v>
      </c>
      <c r="F73" t="s">
        <v>21</v>
      </c>
      <c r="G73" t="s">
        <v>26</v>
      </c>
      <c r="H73">
        <v>273.8</v>
      </c>
      <c r="I73">
        <v>248.5</v>
      </c>
      <c r="J73">
        <v>97.9</v>
      </c>
      <c r="K73">
        <v>65.5</v>
      </c>
      <c r="L73">
        <v>24.9</v>
      </c>
      <c r="M73">
        <v>4</v>
      </c>
      <c r="N73">
        <v>0.25493972591808201</v>
      </c>
      <c r="O73">
        <v>0.38323883042403101</v>
      </c>
      <c r="P73" t="str">
        <f t="shared" si="2"/>
        <v>F</v>
      </c>
      <c r="Q73" t="str">
        <f t="shared" si="3"/>
        <v>F</v>
      </c>
    </row>
    <row r="74" spans="1:17" hidden="1" x14ac:dyDescent="0.3">
      <c r="A74">
        <v>3209</v>
      </c>
      <c r="B74">
        <v>2159</v>
      </c>
      <c r="C74">
        <v>279</v>
      </c>
      <c r="D74" t="s">
        <v>23</v>
      </c>
      <c r="E74" t="s">
        <v>16</v>
      </c>
      <c r="F74" t="s">
        <v>21</v>
      </c>
      <c r="G74" t="s">
        <v>26</v>
      </c>
      <c r="H74">
        <v>273.8</v>
      </c>
      <c r="I74">
        <v>248.5</v>
      </c>
      <c r="J74">
        <v>97.9</v>
      </c>
      <c r="K74">
        <v>65.5</v>
      </c>
      <c r="L74">
        <v>24.9</v>
      </c>
      <c r="M74">
        <v>4</v>
      </c>
      <c r="N74">
        <v>0.23672756813922399</v>
      </c>
      <c r="O74">
        <v>0.38196744204022698</v>
      </c>
      <c r="P74" t="str">
        <f t="shared" si="2"/>
        <v>F</v>
      </c>
      <c r="Q74" t="str">
        <f t="shared" si="3"/>
        <v>F</v>
      </c>
    </row>
    <row r="75" spans="1:17" hidden="1" x14ac:dyDescent="0.3">
      <c r="A75">
        <v>3217</v>
      </c>
      <c r="B75">
        <v>2163</v>
      </c>
      <c r="C75">
        <v>20</v>
      </c>
      <c r="D75" t="s">
        <v>23</v>
      </c>
      <c r="E75" t="s">
        <v>16</v>
      </c>
      <c r="F75" t="s">
        <v>17</v>
      </c>
      <c r="G75" t="s">
        <v>22</v>
      </c>
      <c r="H75">
        <v>282.7</v>
      </c>
      <c r="I75">
        <v>260</v>
      </c>
      <c r="J75">
        <v>103.8</v>
      </c>
      <c r="K75">
        <v>68</v>
      </c>
      <c r="L75">
        <v>26.4</v>
      </c>
      <c r="M75">
        <v>11.5</v>
      </c>
      <c r="N75">
        <v>9.6336818396392507E-2</v>
      </c>
      <c r="O75">
        <v>0.25733420388475597</v>
      </c>
      <c r="P75" t="str">
        <f t="shared" si="2"/>
        <v>T</v>
      </c>
      <c r="Q75" t="str">
        <f t="shared" si="3"/>
        <v>F</v>
      </c>
    </row>
    <row r="76" spans="1:17" hidden="1" x14ac:dyDescent="0.3">
      <c r="A76">
        <v>3632</v>
      </c>
      <c r="B76">
        <v>2314</v>
      </c>
      <c r="C76">
        <v>31</v>
      </c>
      <c r="D76" t="s">
        <v>23</v>
      </c>
      <c r="E76" t="s">
        <v>16</v>
      </c>
      <c r="F76" t="s">
        <v>17</v>
      </c>
      <c r="G76" t="s">
        <v>25</v>
      </c>
      <c r="H76">
        <v>274</v>
      </c>
      <c r="I76">
        <v>250</v>
      </c>
      <c r="J76">
        <v>99.4</v>
      </c>
      <c r="K76">
        <v>68.5</v>
      </c>
      <c r="L76">
        <v>23.2</v>
      </c>
      <c r="M76">
        <v>10</v>
      </c>
      <c r="N76">
        <v>0.19457100425253801</v>
      </c>
      <c r="O76">
        <v>0.153317375341952</v>
      </c>
      <c r="P76" t="str">
        <f t="shared" si="2"/>
        <v>F</v>
      </c>
      <c r="Q76" t="str">
        <f t="shared" si="3"/>
        <v>T</v>
      </c>
    </row>
    <row r="77" spans="1:17" hidden="1" x14ac:dyDescent="0.3">
      <c r="A77">
        <v>3633</v>
      </c>
      <c r="B77">
        <v>2314</v>
      </c>
      <c r="C77">
        <v>31</v>
      </c>
      <c r="D77" t="s">
        <v>23</v>
      </c>
      <c r="E77" t="s">
        <v>16</v>
      </c>
      <c r="F77" t="s">
        <v>17</v>
      </c>
      <c r="G77" t="s">
        <v>25</v>
      </c>
      <c r="H77">
        <v>274</v>
      </c>
      <c r="I77">
        <v>250</v>
      </c>
      <c r="J77">
        <v>99.4</v>
      </c>
      <c r="K77">
        <v>68.5</v>
      </c>
      <c r="L77">
        <v>23.2</v>
      </c>
      <c r="M77">
        <v>10</v>
      </c>
      <c r="N77">
        <v>0.198137569452151</v>
      </c>
      <c r="O77">
        <v>0.144617126865731</v>
      </c>
      <c r="P77" t="str">
        <f t="shared" si="2"/>
        <v>F</v>
      </c>
      <c r="Q77" t="str">
        <f t="shared" si="3"/>
        <v>T</v>
      </c>
    </row>
    <row r="78" spans="1:17" hidden="1" x14ac:dyDescent="0.3">
      <c r="A78">
        <v>3634</v>
      </c>
      <c r="B78">
        <v>2314</v>
      </c>
      <c r="C78">
        <v>31</v>
      </c>
      <c r="D78" t="s">
        <v>23</v>
      </c>
      <c r="E78" t="s">
        <v>16</v>
      </c>
      <c r="F78" t="s">
        <v>17</v>
      </c>
      <c r="G78" t="s">
        <v>25</v>
      </c>
      <c r="H78">
        <v>274</v>
      </c>
      <c r="I78">
        <v>250</v>
      </c>
      <c r="J78">
        <v>99.4</v>
      </c>
      <c r="K78">
        <v>68.5</v>
      </c>
      <c r="L78">
        <v>23.2</v>
      </c>
      <c r="M78">
        <v>10</v>
      </c>
      <c r="N78">
        <v>0.204094140467142</v>
      </c>
      <c r="O78">
        <v>0.159988824781362</v>
      </c>
      <c r="P78" t="str">
        <f t="shared" si="2"/>
        <v>F</v>
      </c>
      <c r="Q78" t="str">
        <f t="shared" si="3"/>
        <v>T</v>
      </c>
    </row>
    <row r="79" spans="1:17" hidden="1" x14ac:dyDescent="0.3">
      <c r="A79">
        <v>3635</v>
      </c>
      <c r="B79">
        <v>2314</v>
      </c>
      <c r="C79">
        <v>31</v>
      </c>
      <c r="D79" t="s">
        <v>23</v>
      </c>
      <c r="E79" t="s">
        <v>16</v>
      </c>
      <c r="F79" t="s">
        <v>17</v>
      </c>
      <c r="G79" t="s">
        <v>25</v>
      </c>
      <c r="H79">
        <v>274</v>
      </c>
      <c r="I79">
        <v>250</v>
      </c>
      <c r="J79">
        <v>99.4</v>
      </c>
      <c r="K79">
        <v>68.5</v>
      </c>
      <c r="L79">
        <v>23.2</v>
      </c>
      <c r="M79">
        <v>10</v>
      </c>
      <c r="N79">
        <v>0.198179815285458</v>
      </c>
      <c r="O79">
        <v>0.16070241872136101</v>
      </c>
      <c r="P79" t="str">
        <f t="shared" si="2"/>
        <v>F</v>
      </c>
      <c r="Q79" t="str">
        <f t="shared" si="3"/>
        <v>T</v>
      </c>
    </row>
    <row r="80" spans="1:17" hidden="1" x14ac:dyDescent="0.3">
      <c r="A80">
        <v>3636</v>
      </c>
      <c r="B80">
        <v>2315</v>
      </c>
      <c r="C80">
        <v>20</v>
      </c>
      <c r="D80" t="s">
        <v>23</v>
      </c>
      <c r="E80" t="s">
        <v>16</v>
      </c>
      <c r="F80" t="s">
        <v>21</v>
      </c>
      <c r="G80" t="s">
        <v>24</v>
      </c>
      <c r="H80">
        <v>282.7</v>
      </c>
      <c r="I80">
        <v>260</v>
      </c>
      <c r="J80">
        <v>103.8</v>
      </c>
      <c r="K80">
        <v>68</v>
      </c>
      <c r="L80">
        <v>26.4</v>
      </c>
      <c r="M80">
        <v>11.5</v>
      </c>
      <c r="N80">
        <v>6.7725716529069002E-2</v>
      </c>
      <c r="O80">
        <v>0.26684664022374999</v>
      </c>
      <c r="P80" t="str">
        <f t="shared" si="2"/>
        <v>T</v>
      </c>
      <c r="Q80" t="str">
        <f t="shared" si="3"/>
        <v>F</v>
      </c>
    </row>
    <row r="81" spans="1:17" hidden="1" x14ac:dyDescent="0.3">
      <c r="A81">
        <v>3637</v>
      </c>
      <c r="B81">
        <v>2315</v>
      </c>
      <c r="C81">
        <v>20</v>
      </c>
      <c r="D81" t="s">
        <v>23</v>
      </c>
      <c r="E81" t="s">
        <v>16</v>
      </c>
      <c r="F81" t="s">
        <v>21</v>
      </c>
      <c r="G81" t="s">
        <v>24</v>
      </c>
      <c r="H81">
        <v>282.7</v>
      </c>
      <c r="I81">
        <v>260</v>
      </c>
      <c r="J81">
        <v>103.8</v>
      </c>
      <c r="K81">
        <v>68</v>
      </c>
      <c r="L81">
        <v>26.4</v>
      </c>
      <c r="M81">
        <v>11.5</v>
      </c>
      <c r="N81">
        <v>6.9014697562007593E-2</v>
      </c>
      <c r="O81">
        <v>0.251478265733585</v>
      </c>
      <c r="P81" t="str">
        <f t="shared" si="2"/>
        <v>T</v>
      </c>
      <c r="Q81" t="str">
        <f t="shared" si="3"/>
        <v>F</v>
      </c>
    </row>
    <row r="82" spans="1:17" hidden="1" x14ac:dyDescent="0.3">
      <c r="A82">
        <v>3638</v>
      </c>
      <c r="B82">
        <v>2315</v>
      </c>
      <c r="C82">
        <v>20</v>
      </c>
      <c r="D82" t="s">
        <v>23</v>
      </c>
      <c r="E82" t="s">
        <v>16</v>
      </c>
      <c r="F82" t="s">
        <v>21</v>
      </c>
      <c r="G82" t="s">
        <v>24</v>
      </c>
      <c r="H82">
        <v>282.7</v>
      </c>
      <c r="I82">
        <v>260</v>
      </c>
      <c r="J82">
        <v>103.8</v>
      </c>
      <c r="K82">
        <v>68</v>
      </c>
      <c r="L82">
        <v>26.4</v>
      </c>
      <c r="M82">
        <v>11.5</v>
      </c>
      <c r="N82">
        <v>6.57411418164702E-2</v>
      </c>
      <c r="O82">
        <v>0.25045441715982703</v>
      </c>
      <c r="P82" t="str">
        <f t="shared" si="2"/>
        <v>T</v>
      </c>
      <c r="Q82" t="str">
        <f t="shared" si="3"/>
        <v>F</v>
      </c>
    </row>
    <row r="83" spans="1:17" hidden="1" x14ac:dyDescent="0.3">
      <c r="A83">
        <v>3639</v>
      </c>
      <c r="B83">
        <v>2315</v>
      </c>
      <c r="C83">
        <v>20</v>
      </c>
      <c r="D83" t="s">
        <v>23</v>
      </c>
      <c r="E83" t="s">
        <v>16</v>
      </c>
      <c r="F83" t="s">
        <v>21</v>
      </c>
      <c r="G83" t="s">
        <v>24</v>
      </c>
      <c r="H83">
        <v>282.7</v>
      </c>
      <c r="I83">
        <v>260</v>
      </c>
      <c r="J83">
        <v>103.8</v>
      </c>
      <c r="K83">
        <v>68</v>
      </c>
      <c r="L83">
        <v>26.4</v>
      </c>
      <c r="M83">
        <v>11.5</v>
      </c>
      <c r="N83">
        <v>0.102707597029891</v>
      </c>
      <c r="O83">
        <v>0.28228378492412098</v>
      </c>
      <c r="P83" t="str">
        <f t="shared" si="2"/>
        <v>T</v>
      </c>
      <c r="Q83" t="str">
        <f t="shared" si="3"/>
        <v>F</v>
      </c>
    </row>
    <row r="84" spans="1:17" hidden="1" x14ac:dyDescent="0.3">
      <c r="A84">
        <v>3933</v>
      </c>
      <c r="B84">
        <v>2422</v>
      </c>
      <c r="C84">
        <v>256</v>
      </c>
      <c r="D84" t="s">
        <v>23</v>
      </c>
      <c r="E84" t="s">
        <v>16</v>
      </c>
      <c r="F84" t="s">
        <v>17</v>
      </c>
      <c r="G84" t="s">
        <v>25</v>
      </c>
      <c r="H84">
        <v>276.89999999999998</v>
      </c>
      <c r="I84">
        <v>246</v>
      </c>
      <c r="J84">
        <v>94.3</v>
      </c>
      <c r="K84">
        <v>65.5</v>
      </c>
      <c r="L84">
        <v>25.1</v>
      </c>
      <c r="M84">
        <v>6</v>
      </c>
      <c r="N84">
        <v>0.21761638542954501</v>
      </c>
      <c r="O84">
        <v>0.40604907053016598</v>
      </c>
      <c r="P84" t="str">
        <f t="shared" si="2"/>
        <v>F</v>
      </c>
      <c r="Q84" t="str">
        <f t="shared" si="3"/>
        <v>F</v>
      </c>
    </row>
    <row r="85" spans="1:17" hidden="1" x14ac:dyDescent="0.3">
      <c r="A85">
        <v>3986</v>
      </c>
      <c r="B85">
        <v>2444</v>
      </c>
      <c r="C85">
        <v>454</v>
      </c>
      <c r="D85" t="s">
        <v>23</v>
      </c>
      <c r="E85" t="s">
        <v>16</v>
      </c>
      <c r="F85" t="s">
        <v>17</v>
      </c>
      <c r="G85" t="s">
        <v>22</v>
      </c>
      <c r="H85">
        <v>272.8</v>
      </c>
      <c r="I85">
        <v>242.5</v>
      </c>
      <c r="J85">
        <v>92.2</v>
      </c>
      <c r="K85">
        <v>67</v>
      </c>
      <c r="L85">
        <v>26.4</v>
      </c>
      <c r="M85">
        <v>6</v>
      </c>
      <c r="N85">
        <v>0.178234091017483</v>
      </c>
      <c r="O85">
        <v>0.33359411245628101</v>
      </c>
      <c r="P85" t="str">
        <f t="shared" si="2"/>
        <v>F</v>
      </c>
      <c r="Q85" t="str">
        <f t="shared" si="3"/>
        <v>F</v>
      </c>
    </row>
    <row r="86" spans="1:17" hidden="1" x14ac:dyDescent="0.3">
      <c r="A86">
        <v>4292</v>
      </c>
      <c r="B86">
        <v>2562</v>
      </c>
      <c r="C86">
        <v>50</v>
      </c>
      <c r="D86" t="s">
        <v>23</v>
      </c>
      <c r="E86" t="s">
        <v>16</v>
      </c>
      <c r="F86" t="s">
        <v>17</v>
      </c>
      <c r="G86" t="s">
        <v>24</v>
      </c>
      <c r="H86">
        <v>276.7</v>
      </c>
      <c r="I86">
        <v>242</v>
      </c>
      <c r="J86">
        <v>95.6</v>
      </c>
      <c r="K86">
        <v>65</v>
      </c>
      <c r="L86">
        <v>22.2</v>
      </c>
      <c r="M86">
        <v>8</v>
      </c>
      <c r="N86">
        <v>0.25864785615959102</v>
      </c>
      <c r="O86">
        <v>0.27916109564566199</v>
      </c>
      <c r="P86" t="str">
        <f t="shared" si="2"/>
        <v>F</v>
      </c>
      <c r="Q86" t="str">
        <f t="shared" si="3"/>
        <v>F</v>
      </c>
    </row>
    <row r="87" spans="1:17" hidden="1" x14ac:dyDescent="0.3">
      <c r="A87">
        <v>4293</v>
      </c>
      <c r="B87">
        <v>2562</v>
      </c>
      <c r="C87">
        <v>50</v>
      </c>
      <c r="D87" t="s">
        <v>23</v>
      </c>
      <c r="E87" t="s">
        <v>16</v>
      </c>
      <c r="F87" t="s">
        <v>17</v>
      </c>
      <c r="G87" t="s">
        <v>24</v>
      </c>
      <c r="H87">
        <v>276.7</v>
      </c>
      <c r="I87">
        <v>242</v>
      </c>
      <c r="J87">
        <v>95.6</v>
      </c>
      <c r="K87">
        <v>65</v>
      </c>
      <c r="L87">
        <v>22.2</v>
      </c>
      <c r="M87">
        <v>8</v>
      </c>
      <c r="N87">
        <v>0.27297783897331401</v>
      </c>
      <c r="O87">
        <v>0.30776750689162602</v>
      </c>
      <c r="P87" t="str">
        <f t="shared" si="2"/>
        <v>F</v>
      </c>
      <c r="Q87" t="str">
        <f t="shared" si="3"/>
        <v>F</v>
      </c>
    </row>
    <row r="88" spans="1:17" hidden="1" x14ac:dyDescent="0.3">
      <c r="A88">
        <v>4305</v>
      </c>
      <c r="B88">
        <v>257</v>
      </c>
      <c r="C88">
        <v>31</v>
      </c>
      <c r="D88" t="s">
        <v>23</v>
      </c>
      <c r="E88" t="s">
        <v>16</v>
      </c>
      <c r="F88" t="s">
        <v>21</v>
      </c>
      <c r="G88" t="s">
        <v>24</v>
      </c>
      <c r="H88">
        <v>274</v>
      </c>
      <c r="I88">
        <v>250</v>
      </c>
      <c r="J88">
        <v>99.4</v>
      </c>
      <c r="K88">
        <v>68.5</v>
      </c>
      <c r="L88">
        <v>23.2</v>
      </c>
      <c r="M88">
        <v>10</v>
      </c>
      <c r="N88">
        <v>0.190673664667728</v>
      </c>
      <c r="O88">
        <v>0.183711734619077</v>
      </c>
      <c r="P88" t="str">
        <f t="shared" si="2"/>
        <v>F</v>
      </c>
      <c r="Q88" t="str">
        <f t="shared" si="3"/>
        <v>T</v>
      </c>
    </row>
    <row r="89" spans="1:17" hidden="1" x14ac:dyDescent="0.3">
      <c r="A89">
        <v>4306</v>
      </c>
      <c r="B89">
        <v>257</v>
      </c>
      <c r="C89">
        <v>31</v>
      </c>
      <c r="D89" t="s">
        <v>23</v>
      </c>
      <c r="E89" t="s">
        <v>16</v>
      </c>
      <c r="F89" t="s">
        <v>21</v>
      </c>
      <c r="G89" t="s">
        <v>24</v>
      </c>
      <c r="H89">
        <v>274</v>
      </c>
      <c r="I89">
        <v>250</v>
      </c>
      <c r="J89">
        <v>99.4</v>
      </c>
      <c r="K89">
        <v>68.5</v>
      </c>
      <c r="L89">
        <v>23.2</v>
      </c>
      <c r="M89">
        <v>10</v>
      </c>
      <c r="N89">
        <v>0.22132535332070799</v>
      </c>
      <c r="O89">
        <v>0.17490269816211701</v>
      </c>
      <c r="P89" t="str">
        <f t="shared" si="2"/>
        <v>F</v>
      </c>
      <c r="Q89" t="str">
        <f t="shared" si="3"/>
        <v>T</v>
      </c>
    </row>
    <row r="90" spans="1:17" hidden="1" x14ac:dyDescent="0.3">
      <c r="A90">
        <v>4307</v>
      </c>
      <c r="B90">
        <v>257</v>
      </c>
      <c r="C90">
        <v>31</v>
      </c>
      <c r="D90" t="s">
        <v>23</v>
      </c>
      <c r="E90" t="s">
        <v>16</v>
      </c>
      <c r="F90" t="s">
        <v>21</v>
      </c>
      <c r="G90" t="s">
        <v>24</v>
      </c>
      <c r="H90">
        <v>274</v>
      </c>
      <c r="I90">
        <v>250</v>
      </c>
      <c r="J90">
        <v>99.4</v>
      </c>
      <c r="K90">
        <v>68.5</v>
      </c>
      <c r="L90">
        <v>23.2</v>
      </c>
      <c r="M90">
        <v>10</v>
      </c>
      <c r="N90">
        <v>0.21608771277639499</v>
      </c>
      <c r="O90">
        <v>0.18342657712390401</v>
      </c>
      <c r="P90" t="str">
        <f t="shared" si="2"/>
        <v>F</v>
      </c>
      <c r="Q90" t="str">
        <f t="shared" si="3"/>
        <v>T</v>
      </c>
    </row>
    <row r="91" spans="1:17" hidden="1" x14ac:dyDescent="0.3">
      <c r="A91">
        <v>4308</v>
      </c>
      <c r="B91">
        <v>257</v>
      </c>
      <c r="C91">
        <v>31</v>
      </c>
      <c r="D91" t="s">
        <v>23</v>
      </c>
      <c r="E91" t="s">
        <v>16</v>
      </c>
      <c r="F91" t="s">
        <v>21</v>
      </c>
      <c r="G91" t="s">
        <v>24</v>
      </c>
      <c r="H91">
        <v>274</v>
      </c>
      <c r="I91">
        <v>250</v>
      </c>
      <c r="J91">
        <v>99.4</v>
      </c>
      <c r="K91">
        <v>68.5</v>
      </c>
      <c r="L91">
        <v>23.2</v>
      </c>
      <c r="M91">
        <v>10</v>
      </c>
      <c r="N91">
        <v>0.18556605260451101</v>
      </c>
      <c r="O91">
        <v>0.17216962771147601</v>
      </c>
      <c r="P91" t="str">
        <f t="shared" si="2"/>
        <v>F</v>
      </c>
      <c r="Q91" t="str">
        <f t="shared" si="3"/>
        <v>T</v>
      </c>
    </row>
    <row r="92" spans="1:17" hidden="1" x14ac:dyDescent="0.3">
      <c r="A92">
        <v>4342</v>
      </c>
      <c r="B92">
        <v>2588</v>
      </c>
      <c r="C92">
        <v>256</v>
      </c>
      <c r="D92" t="s">
        <v>23</v>
      </c>
      <c r="E92" t="s">
        <v>16</v>
      </c>
      <c r="F92" t="s">
        <v>17</v>
      </c>
      <c r="G92" t="s">
        <v>22</v>
      </c>
      <c r="H92">
        <v>276.89999999999998</v>
      </c>
      <c r="I92">
        <v>246</v>
      </c>
      <c r="J92">
        <v>94.3</v>
      </c>
      <c r="K92">
        <v>65.5</v>
      </c>
      <c r="L92">
        <v>25.1</v>
      </c>
      <c r="M92">
        <v>6</v>
      </c>
      <c r="N92">
        <v>0.20684865658858601</v>
      </c>
      <c r="O92">
        <v>0.41854924428655299</v>
      </c>
      <c r="P92" t="str">
        <f t="shared" si="2"/>
        <v>F</v>
      </c>
      <c r="Q92" t="str">
        <f t="shared" si="3"/>
        <v>F</v>
      </c>
    </row>
    <row r="93" spans="1:17" hidden="1" x14ac:dyDescent="0.3">
      <c r="A93">
        <v>4343</v>
      </c>
      <c r="B93">
        <v>2588</v>
      </c>
      <c r="C93">
        <v>256</v>
      </c>
      <c r="D93" t="s">
        <v>23</v>
      </c>
      <c r="E93" t="s">
        <v>16</v>
      </c>
      <c r="F93" t="s">
        <v>17</v>
      </c>
      <c r="G93" t="s">
        <v>22</v>
      </c>
      <c r="H93">
        <v>276.89999999999998</v>
      </c>
      <c r="I93">
        <v>246</v>
      </c>
      <c r="J93">
        <v>94.3</v>
      </c>
      <c r="K93">
        <v>65.5</v>
      </c>
      <c r="L93">
        <v>25.1</v>
      </c>
      <c r="M93">
        <v>6</v>
      </c>
      <c r="N93">
        <v>0.228191415144883</v>
      </c>
      <c r="O93">
        <v>0.40203719893829698</v>
      </c>
      <c r="P93" t="str">
        <f t="shared" si="2"/>
        <v>F</v>
      </c>
      <c r="Q93" t="str">
        <f t="shared" si="3"/>
        <v>F</v>
      </c>
    </row>
    <row r="94" spans="1:17" hidden="1" x14ac:dyDescent="0.3">
      <c r="A94">
        <v>4373</v>
      </c>
      <c r="B94">
        <v>26</v>
      </c>
      <c r="C94">
        <v>20</v>
      </c>
      <c r="D94" t="s">
        <v>23</v>
      </c>
      <c r="E94" t="s">
        <v>16</v>
      </c>
      <c r="F94" t="s">
        <v>17</v>
      </c>
      <c r="G94" t="s">
        <v>24</v>
      </c>
      <c r="H94">
        <v>282.7</v>
      </c>
      <c r="I94">
        <v>260</v>
      </c>
      <c r="J94">
        <v>103.8</v>
      </c>
      <c r="K94">
        <v>68</v>
      </c>
      <c r="L94">
        <v>26.4</v>
      </c>
      <c r="M94">
        <v>11.5</v>
      </c>
      <c r="N94">
        <v>7.0619832521474399E-2</v>
      </c>
      <c r="O94">
        <v>0.27471805920991499</v>
      </c>
      <c r="P94" t="str">
        <f t="shared" si="2"/>
        <v>T</v>
      </c>
      <c r="Q94" t="str">
        <f t="shared" si="3"/>
        <v>F</v>
      </c>
    </row>
    <row r="95" spans="1:17" x14ac:dyDescent="0.3">
      <c r="A95">
        <v>4374</v>
      </c>
      <c r="B95">
        <v>26</v>
      </c>
      <c r="C95">
        <v>20</v>
      </c>
      <c r="D95" t="s">
        <v>23</v>
      </c>
      <c r="E95" t="s">
        <v>16</v>
      </c>
      <c r="F95" t="s">
        <v>17</v>
      </c>
      <c r="G95" t="s">
        <v>24</v>
      </c>
      <c r="H95">
        <v>282.7</v>
      </c>
      <c r="I95">
        <v>260</v>
      </c>
      <c r="J95">
        <v>103.8</v>
      </c>
      <c r="K95">
        <v>68</v>
      </c>
      <c r="L95">
        <v>26.4</v>
      </c>
      <c r="M95">
        <v>11.5</v>
      </c>
      <c r="N95">
        <v>6.8486882729201504E-2</v>
      </c>
      <c r="O95">
        <v>0.24417622746454601</v>
      </c>
      <c r="P95" t="str">
        <f t="shared" si="2"/>
        <v>T</v>
      </c>
      <c r="Q95" t="str">
        <f t="shared" si="3"/>
        <v>T</v>
      </c>
    </row>
    <row r="96" spans="1:17" x14ac:dyDescent="0.3">
      <c r="A96">
        <v>4375</v>
      </c>
      <c r="B96">
        <v>26</v>
      </c>
      <c r="C96">
        <v>20</v>
      </c>
      <c r="D96" t="s">
        <v>23</v>
      </c>
      <c r="E96" t="s">
        <v>16</v>
      </c>
      <c r="F96" t="s">
        <v>17</v>
      </c>
      <c r="G96" t="s">
        <v>24</v>
      </c>
      <c r="H96">
        <v>282.7</v>
      </c>
      <c r="I96">
        <v>260</v>
      </c>
      <c r="J96">
        <v>103.8</v>
      </c>
      <c r="K96">
        <v>68</v>
      </c>
      <c r="L96">
        <v>26.4</v>
      </c>
      <c r="M96">
        <v>11.5</v>
      </c>
      <c r="N96">
        <v>8.1203665029862093E-2</v>
      </c>
      <c r="O96">
        <v>0.24453915955212699</v>
      </c>
      <c r="P96" t="str">
        <f t="shared" si="2"/>
        <v>T</v>
      </c>
      <c r="Q96" t="str">
        <f t="shared" si="3"/>
        <v>T</v>
      </c>
    </row>
    <row r="97" spans="1:17" hidden="1" x14ac:dyDescent="0.3">
      <c r="A97">
        <v>4480</v>
      </c>
      <c r="B97">
        <v>2633</v>
      </c>
      <c r="C97">
        <v>454</v>
      </c>
      <c r="D97" t="s">
        <v>23</v>
      </c>
      <c r="E97" t="s">
        <v>16</v>
      </c>
      <c r="F97" t="s">
        <v>17</v>
      </c>
      <c r="G97" t="s">
        <v>22</v>
      </c>
      <c r="H97">
        <v>272.8</v>
      </c>
      <c r="I97">
        <v>242.5</v>
      </c>
      <c r="J97">
        <v>92.2</v>
      </c>
      <c r="K97">
        <v>67</v>
      </c>
      <c r="L97">
        <v>26.4</v>
      </c>
      <c r="M97">
        <v>6</v>
      </c>
      <c r="N97">
        <v>0.20707849722421101</v>
      </c>
      <c r="O97">
        <v>0.30815941708443501</v>
      </c>
      <c r="P97" t="str">
        <f t="shared" si="2"/>
        <v>F</v>
      </c>
      <c r="Q97" t="str">
        <f t="shared" si="3"/>
        <v>F</v>
      </c>
    </row>
    <row r="98" spans="1:17" hidden="1" x14ac:dyDescent="0.3">
      <c r="A98">
        <v>4481</v>
      </c>
      <c r="B98">
        <v>2633</v>
      </c>
      <c r="C98">
        <v>454</v>
      </c>
      <c r="D98" t="s">
        <v>23</v>
      </c>
      <c r="E98" t="s">
        <v>16</v>
      </c>
      <c r="F98" t="s">
        <v>17</v>
      </c>
      <c r="G98" t="s">
        <v>22</v>
      </c>
      <c r="H98">
        <v>272.8</v>
      </c>
      <c r="I98">
        <v>242.5</v>
      </c>
      <c r="J98">
        <v>92.2</v>
      </c>
      <c r="K98">
        <v>67</v>
      </c>
      <c r="L98">
        <v>26.4</v>
      </c>
      <c r="M98">
        <v>6</v>
      </c>
      <c r="N98">
        <v>0.183886605867424</v>
      </c>
      <c r="O98">
        <v>0.33145109853573301</v>
      </c>
      <c r="P98" t="str">
        <f t="shared" si="2"/>
        <v>F</v>
      </c>
      <c r="Q98" t="str">
        <f t="shared" si="3"/>
        <v>F</v>
      </c>
    </row>
    <row r="99" spans="1:17" hidden="1" x14ac:dyDescent="0.3">
      <c r="A99">
        <v>4482</v>
      </c>
      <c r="B99">
        <v>2633</v>
      </c>
      <c r="C99">
        <v>454</v>
      </c>
      <c r="D99" t="s">
        <v>23</v>
      </c>
      <c r="E99" t="s">
        <v>16</v>
      </c>
      <c r="F99" t="s">
        <v>17</v>
      </c>
      <c r="G99" t="s">
        <v>22</v>
      </c>
      <c r="H99">
        <v>272.8</v>
      </c>
      <c r="I99">
        <v>242.5</v>
      </c>
      <c r="J99">
        <v>92.2</v>
      </c>
      <c r="K99">
        <v>67</v>
      </c>
      <c r="L99">
        <v>26.4</v>
      </c>
      <c r="M99">
        <v>6</v>
      </c>
      <c r="N99">
        <v>0.21431601833399699</v>
      </c>
      <c r="O99">
        <v>0.321391362646818</v>
      </c>
      <c r="P99" t="str">
        <f t="shared" si="2"/>
        <v>F</v>
      </c>
      <c r="Q99" t="str">
        <f t="shared" si="3"/>
        <v>F</v>
      </c>
    </row>
    <row r="100" spans="1:17" hidden="1" x14ac:dyDescent="0.3">
      <c r="A100">
        <v>4659</v>
      </c>
      <c r="B100">
        <v>2694</v>
      </c>
      <c r="C100">
        <v>20</v>
      </c>
      <c r="D100" t="s">
        <v>23</v>
      </c>
      <c r="E100" t="s">
        <v>16</v>
      </c>
      <c r="F100" t="s">
        <v>17</v>
      </c>
      <c r="G100" t="s">
        <v>26</v>
      </c>
      <c r="H100">
        <v>282.7</v>
      </c>
      <c r="I100">
        <v>260</v>
      </c>
      <c r="J100">
        <v>103.8</v>
      </c>
      <c r="K100">
        <v>68</v>
      </c>
      <c r="L100">
        <v>26.4</v>
      </c>
      <c r="M100">
        <v>11.5</v>
      </c>
      <c r="N100">
        <v>7.7460244651195706E-2</v>
      </c>
      <c r="O100">
        <v>0.27510304600188901</v>
      </c>
      <c r="P100" t="str">
        <f t="shared" si="2"/>
        <v>T</v>
      </c>
      <c r="Q100" t="str">
        <f t="shared" si="3"/>
        <v>F</v>
      </c>
    </row>
    <row r="101" spans="1:17" hidden="1" x14ac:dyDescent="0.3">
      <c r="A101">
        <v>4660</v>
      </c>
      <c r="B101">
        <v>2694</v>
      </c>
      <c r="C101">
        <v>20</v>
      </c>
      <c r="D101" t="s">
        <v>23</v>
      </c>
      <c r="E101" t="s">
        <v>16</v>
      </c>
      <c r="F101" t="s">
        <v>17</v>
      </c>
      <c r="G101" t="s">
        <v>26</v>
      </c>
      <c r="H101">
        <v>282.7</v>
      </c>
      <c r="I101">
        <v>260</v>
      </c>
      <c r="J101">
        <v>103.8</v>
      </c>
      <c r="K101">
        <v>68</v>
      </c>
      <c r="L101">
        <v>26.4</v>
      </c>
      <c r="M101">
        <v>11.5</v>
      </c>
      <c r="N101">
        <v>9.4540382111053298E-2</v>
      </c>
      <c r="O101">
        <v>0.251638965634713</v>
      </c>
      <c r="P101" t="str">
        <f t="shared" si="2"/>
        <v>T</v>
      </c>
      <c r="Q101" t="str">
        <f t="shared" si="3"/>
        <v>F</v>
      </c>
    </row>
    <row r="102" spans="1:17" hidden="1" x14ac:dyDescent="0.3">
      <c r="A102">
        <v>4763</v>
      </c>
      <c r="B102">
        <v>2739</v>
      </c>
      <c r="C102">
        <v>10</v>
      </c>
      <c r="D102" t="s">
        <v>23</v>
      </c>
      <c r="E102" t="s">
        <v>16</v>
      </c>
      <c r="F102" t="s">
        <v>17</v>
      </c>
      <c r="G102" t="s">
        <v>18</v>
      </c>
      <c r="H102">
        <v>274.5</v>
      </c>
      <c r="I102">
        <v>252</v>
      </c>
      <c r="J102">
        <v>96.3</v>
      </c>
      <c r="K102">
        <v>71.5</v>
      </c>
      <c r="L102">
        <v>25.1</v>
      </c>
      <c r="M102">
        <v>3.5</v>
      </c>
      <c r="N102">
        <v>0.26833653278177</v>
      </c>
      <c r="O102">
        <v>0.26401156915280799</v>
      </c>
      <c r="P102" t="str">
        <f t="shared" si="2"/>
        <v>F</v>
      </c>
      <c r="Q102" t="str">
        <f t="shared" si="3"/>
        <v>F</v>
      </c>
    </row>
    <row r="103" spans="1:17" hidden="1" x14ac:dyDescent="0.3">
      <c r="A103">
        <v>4764</v>
      </c>
      <c r="B103">
        <v>2739</v>
      </c>
      <c r="C103">
        <v>10</v>
      </c>
      <c r="D103" t="s">
        <v>23</v>
      </c>
      <c r="E103" t="s">
        <v>16</v>
      </c>
      <c r="F103" t="s">
        <v>17</v>
      </c>
      <c r="G103" t="s">
        <v>18</v>
      </c>
      <c r="H103">
        <v>274.5</v>
      </c>
      <c r="I103">
        <v>252</v>
      </c>
      <c r="J103">
        <v>96.3</v>
      </c>
      <c r="K103">
        <v>71.5</v>
      </c>
      <c r="L103">
        <v>25.1</v>
      </c>
      <c r="M103">
        <v>3.5</v>
      </c>
      <c r="N103">
        <v>0.252840371309215</v>
      </c>
      <c r="O103">
        <v>0.27764575459104202</v>
      </c>
      <c r="P103" t="str">
        <f t="shared" si="2"/>
        <v>F</v>
      </c>
      <c r="Q103" t="str">
        <f t="shared" si="3"/>
        <v>F</v>
      </c>
    </row>
    <row r="104" spans="1:17" hidden="1" x14ac:dyDescent="0.3">
      <c r="A104">
        <v>4817</v>
      </c>
      <c r="B104">
        <v>2758</v>
      </c>
      <c r="C104">
        <v>306</v>
      </c>
      <c r="D104" t="s">
        <v>23</v>
      </c>
      <c r="E104" t="s">
        <v>16</v>
      </c>
      <c r="F104" t="s">
        <v>17</v>
      </c>
      <c r="G104" t="s">
        <v>18</v>
      </c>
      <c r="H104">
        <v>274.39999999999998</v>
      </c>
      <c r="I104">
        <v>249</v>
      </c>
      <c r="J104">
        <v>95.3</v>
      </c>
      <c r="K104">
        <v>69.5</v>
      </c>
      <c r="L104">
        <v>27.8</v>
      </c>
      <c r="M104">
        <v>5.5</v>
      </c>
      <c r="N104">
        <v>0.14110311083002</v>
      </c>
      <c r="O104">
        <v>0.40473925232892499</v>
      </c>
      <c r="P104" t="str">
        <f t="shared" si="2"/>
        <v>F</v>
      </c>
      <c r="Q104" t="str">
        <f t="shared" si="3"/>
        <v>F</v>
      </c>
    </row>
    <row r="105" spans="1:17" hidden="1" x14ac:dyDescent="0.3">
      <c r="A105">
        <v>4818</v>
      </c>
      <c r="B105">
        <v>2758</v>
      </c>
      <c r="C105">
        <v>306</v>
      </c>
      <c r="D105" t="s">
        <v>23</v>
      </c>
      <c r="E105" t="s">
        <v>16</v>
      </c>
      <c r="F105" t="s">
        <v>17</v>
      </c>
      <c r="G105" t="s">
        <v>18</v>
      </c>
      <c r="H105">
        <v>274.39999999999998</v>
      </c>
      <c r="I105">
        <v>249</v>
      </c>
      <c r="J105">
        <v>95.3</v>
      </c>
      <c r="K105">
        <v>69.5</v>
      </c>
      <c r="L105">
        <v>27.8</v>
      </c>
      <c r="M105">
        <v>5.5</v>
      </c>
      <c r="N105">
        <v>0.13200833191073</v>
      </c>
      <c r="O105">
        <v>0.41179653281890899</v>
      </c>
      <c r="P105" t="str">
        <f t="shared" si="2"/>
        <v>T</v>
      </c>
      <c r="Q105" t="str">
        <f t="shared" si="3"/>
        <v>F</v>
      </c>
    </row>
    <row r="106" spans="1:17" hidden="1" x14ac:dyDescent="0.3">
      <c r="A106">
        <v>4819</v>
      </c>
      <c r="B106">
        <v>2758</v>
      </c>
      <c r="C106">
        <v>306</v>
      </c>
      <c r="D106" t="s">
        <v>23</v>
      </c>
      <c r="E106" t="s">
        <v>16</v>
      </c>
      <c r="F106" t="s">
        <v>17</v>
      </c>
      <c r="G106" t="s">
        <v>18</v>
      </c>
      <c r="H106">
        <v>274.39999999999998</v>
      </c>
      <c r="I106">
        <v>249</v>
      </c>
      <c r="J106">
        <v>95.3</v>
      </c>
      <c r="K106">
        <v>69.5</v>
      </c>
      <c r="L106">
        <v>27.8</v>
      </c>
      <c r="M106">
        <v>5.5</v>
      </c>
      <c r="N106">
        <v>0.12346173313713001</v>
      </c>
      <c r="O106">
        <v>0.41601229171372101</v>
      </c>
      <c r="P106" t="str">
        <f t="shared" si="2"/>
        <v>T</v>
      </c>
      <c r="Q106" t="str">
        <f t="shared" si="3"/>
        <v>F</v>
      </c>
    </row>
    <row r="107" spans="1:17" hidden="1" x14ac:dyDescent="0.3">
      <c r="A107">
        <v>4820</v>
      </c>
      <c r="B107">
        <v>2758</v>
      </c>
      <c r="C107">
        <v>306</v>
      </c>
      <c r="D107" t="s">
        <v>23</v>
      </c>
      <c r="E107" t="s">
        <v>16</v>
      </c>
      <c r="F107" t="s">
        <v>17</v>
      </c>
      <c r="G107" t="s">
        <v>18</v>
      </c>
      <c r="H107">
        <v>274.39999999999998</v>
      </c>
      <c r="I107">
        <v>249</v>
      </c>
      <c r="J107">
        <v>95.3</v>
      </c>
      <c r="K107">
        <v>69.5</v>
      </c>
      <c r="L107">
        <v>27.8</v>
      </c>
      <c r="M107">
        <v>5.5</v>
      </c>
      <c r="N107">
        <v>0.15006688404301</v>
      </c>
      <c r="O107">
        <v>0.39808660505776</v>
      </c>
      <c r="P107" t="str">
        <f t="shared" si="2"/>
        <v>F</v>
      </c>
      <c r="Q107" t="str">
        <f t="shared" si="3"/>
        <v>F</v>
      </c>
    </row>
    <row r="108" spans="1:17" hidden="1" x14ac:dyDescent="0.3">
      <c r="A108">
        <v>4932</v>
      </c>
      <c r="B108">
        <v>2799</v>
      </c>
      <c r="C108">
        <v>246</v>
      </c>
      <c r="D108" t="s">
        <v>23</v>
      </c>
      <c r="E108" t="s">
        <v>16</v>
      </c>
      <c r="F108" t="s">
        <v>17</v>
      </c>
      <c r="G108" t="s">
        <v>25</v>
      </c>
      <c r="H108">
        <v>278.2</v>
      </c>
      <c r="I108">
        <v>257</v>
      </c>
      <c r="J108">
        <v>97.9</v>
      </c>
      <c r="K108">
        <v>67</v>
      </c>
      <c r="L108">
        <v>24.3</v>
      </c>
      <c r="M108">
        <v>12.5</v>
      </c>
      <c r="N108">
        <v>0.156389046528219</v>
      </c>
      <c r="O108">
        <v>0.37186547052943197</v>
      </c>
      <c r="P108" t="str">
        <f t="shared" si="2"/>
        <v>F</v>
      </c>
      <c r="Q108" t="str">
        <f t="shared" si="3"/>
        <v>F</v>
      </c>
    </row>
    <row r="109" spans="1:17" hidden="1" x14ac:dyDescent="0.3">
      <c r="A109">
        <v>4933</v>
      </c>
      <c r="B109">
        <v>2799</v>
      </c>
      <c r="C109">
        <v>246</v>
      </c>
      <c r="D109" t="s">
        <v>23</v>
      </c>
      <c r="E109" t="s">
        <v>16</v>
      </c>
      <c r="F109" t="s">
        <v>17</v>
      </c>
      <c r="G109" t="s">
        <v>25</v>
      </c>
      <c r="H109">
        <v>278.2</v>
      </c>
      <c r="I109">
        <v>257</v>
      </c>
      <c r="J109">
        <v>97.9</v>
      </c>
      <c r="K109">
        <v>67</v>
      </c>
      <c r="L109">
        <v>24.3</v>
      </c>
      <c r="M109">
        <v>12.5</v>
      </c>
      <c r="N109">
        <v>0.14753886835212099</v>
      </c>
      <c r="O109">
        <v>0.371938824740697</v>
      </c>
      <c r="P109" t="str">
        <f t="shared" si="2"/>
        <v>F</v>
      </c>
      <c r="Q109" t="str">
        <f t="shared" si="3"/>
        <v>F</v>
      </c>
    </row>
    <row r="110" spans="1:17" hidden="1" x14ac:dyDescent="0.3">
      <c r="A110">
        <v>4934</v>
      </c>
      <c r="B110">
        <v>2799</v>
      </c>
      <c r="C110">
        <v>246</v>
      </c>
      <c r="D110" t="s">
        <v>23</v>
      </c>
      <c r="E110" t="s">
        <v>16</v>
      </c>
      <c r="F110" t="s">
        <v>17</v>
      </c>
      <c r="G110" t="s">
        <v>25</v>
      </c>
      <c r="H110">
        <v>278.2</v>
      </c>
      <c r="I110">
        <v>257</v>
      </c>
      <c r="J110">
        <v>97.9</v>
      </c>
      <c r="K110">
        <v>67</v>
      </c>
      <c r="L110">
        <v>24.3</v>
      </c>
      <c r="M110">
        <v>12.5</v>
      </c>
      <c r="N110">
        <v>0.14876541570620999</v>
      </c>
      <c r="O110">
        <v>0.40043792684095902</v>
      </c>
      <c r="P110" t="str">
        <f t="shared" si="2"/>
        <v>F</v>
      </c>
      <c r="Q110" t="str">
        <f t="shared" si="3"/>
        <v>F</v>
      </c>
    </row>
    <row r="111" spans="1:17" hidden="1" x14ac:dyDescent="0.3">
      <c r="A111">
        <v>4937</v>
      </c>
      <c r="B111">
        <v>280</v>
      </c>
      <c r="C111">
        <v>454</v>
      </c>
      <c r="D111" t="s">
        <v>23</v>
      </c>
      <c r="E111" t="s">
        <v>16</v>
      </c>
      <c r="F111" t="s">
        <v>17</v>
      </c>
      <c r="G111" t="s">
        <v>22</v>
      </c>
      <c r="H111">
        <v>272.8</v>
      </c>
      <c r="I111">
        <v>242.5</v>
      </c>
      <c r="J111">
        <v>92.2</v>
      </c>
      <c r="K111">
        <v>67</v>
      </c>
      <c r="L111">
        <v>26.4</v>
      </c>
      <c r="M111">
        <v>6</v>
      </c>
      <c r="N111">
        <v>0.21214785365226299</v>
      </c>
      <c r="O111">
        <v>0.29942017509318097</v>
      </c>
      <c r="P111" t="str">
        <f t="shared" si="2"/>
        <v>F</v>
      </c>
      <c r="Q111" t="str">
        <f t="shared" si="3"/>
        <v>F</v>
      </c>
    </row>
    <row r="112" spans="1:17" hidden="1" x14ac:dyDescent="0.3">
      <c r="A112">
        <v>4938</v>
      </c>
      <c r="B112">
        <v>280</v>
      </c>
      <c r="C112">
        <v>454</v>
      </c>
      <c r="D112" t="s">
        <v>23</v>
      </c>
      <c r="E112" t="s">
        <v>16</v>
      </c>
      <c r="F112" t="s">
        <v>17</v>
      </c>
      <c r="G112" t="s">
        <v>22</v>
      </c>
      <c r="H112">
        <v>272.8</v>
      </c>
      <c r="I112">
        <v>242.5</v>
      </c>
      <c r="J112">
        <v>92.2</v>
      </c>
      <c r="K112">
        <v>67</v>
      </c>
      <c r="L112">
        <v>26.4</v>
      </c>
      <c r="M112">
        <v>6</v>
      </c>
      <c r="N112">
        <v>0.21480514492670699</v>
      </c>
      <c r="O112">
        <v>0.31705289813672499</v>
      </c>
      <c r="P112" t="str">
        <f t="shared" si="2"/>
        <v>F</v>
      </c>
      <c r="Q112" t="str">
        <f t="shared" si="3"/>
        <v>F</v>
      </c>
    </row>
    <row r="113" spans="1:17" hidden="1" x14ac:dyDescent="0.3">
      <c r="A113">
        <v>4939</v>
      </c>
      <c r="B113">
        <v>280</v>
      </c>
      <c r="C113">
        <v>454</v>
      </c>
      <c r="D113" t="s">
        <v>23</v>
      </c>
      <c r="E113" t="s">
        <v>16</v>
      </c>
      <c r="F113" t="s">
        <v>17</v>
      </c>
      <c r="G113" t="s">
        <v>22</v>
      </c>
      <c r="H113">
        <v>272.8</v>
      </c>
      <c r="I113">
        <v>242.5</v>
      </c>
      <c r="J113">
        <v>92.2</v>
      </c>
      <c r="K113">
        <v>67</v>
      </c>
      <c r="L113">
        <v>26.4</v>
      </c>
      <c r="M113">
        <v>6</v>
      </c>
      <c r="N113">
        <v>0.21410478781411901</v>
      </c>
      <c r="O113">
        <v>0.30240367627484099</v>
      </c>
      <c r="P113" t="str">
        <f t="shared" si="2"/>
        <v>F</v>
      </c>
      <c r="Q113" t="str">
        <f t="shared" si="3"/>
        <v>F</v>
      </c>
    </row>
    <row r="114" spans="1:17" hidden="1" x14ac:dyDescent="0.3">
      <c r="A114">
        <v>4972</v>
      </c>
      <c r="B114">
        <v>2814</v>
      </c>
      <c r="C114">
        <v>350</v>
      </c>
      <c r="D114" t="s">
        <v>23</v>
      </c>
      <c r="E114" t="s">
        <v>16</v>
      </c>
      <c r="F114" t="s">
        <v>21</v>
      </c>
      <c r="G114" t="s">
        <v>26</v>
      </c>
      <c r="H114">
        <v>271.60000000000002</v>
      </c>
      <c r="I114">
        <v>240.5</v>
      </c>
      <c r="J114">
        <v>93.3</v>
      </c>
      <c r="K114">
        <v>65</v>
      </c>
      <c r="L114">
        <v>23.4</v>
      </c>
      <c r="M114">
        <v>7.5</v>
      </c>
      <c r="N114">
        <v>0.25031816315211403</v>
      </c>
      <c r="O114">
        <v>0.40125488296350198</v>
      </c>
      <c r="P114" t="str">
        <f t="shared" si="2"/>
        <v>F</v>
      </c>
      <c r="Q114" t="str">
        <f t="shared" si="3"/>
        <v>F</v>
      </c>
    </row>
    <row r="115" spans="1:17" hidden="1" x14ac:dyDescent="0.3">
      <c r="A115">
        <v>4973</v>
      </c>
      <c r="B115">
        <v>2814</v>
      </c>
      <c r="C115">
        <v>350</v>
      </c>
      <c r="D115" t="s">
        <v>23</v>
      </c>
      <c r="E115" t="s">
        <v>16</v>
      </c>
      <c r="F115" t="s">
        <v>21</v>
      </c>
      <c r="G115" t="s">
        <v>26</v>
      </c>
      <c r="H115">
        <v>271.60000000000002</v>
      </c>
      <c r="I115">
        <v>240.5</v>
      </c>
      <c r="J115">
        <v>93.3</v>
      </c>
      <c r="K115">
        <v>65</v>
      </c>
      <c r="L115">
        <v>23.4</v>
      </c>
      <c r="M115">
        <v>7.5</v>
      </c>
      <c r="N115">
        <v>0.26854042365695902</v>
      </c>
      <c r="O115">
        <v>0.37712733628124501</v>
      </c>
      <c r="P115" t="str">
        <f t="shared" si="2"/>
        <v>F</v>
      </c>
      <c r="Q115" t="str">
        <f t="shared" si="3"/>
        <v>F</v>
      </c>
    </row>
    <row r="116" spans="1:17" hidden="1" x14ac:dyDescent="0.3">
      <c r="A116">
        <v>4974</v>
      </c>
      <c r="B116">
        <v>2814</v>
      </c>
      <c r="C116">
        <v>350</v>
      </c>
      <c r="D116" t="s">
        <v>23</v>
      </c>
      <c r="E116" t="s">
        <v>16</v>
      </c>
      <c r="F116" t="s">
        <v>21</v>
      </c>
      <c r="G116" t="s">
        <v>26</v>
      </c>
      <c r="H116">
        <v>271.60000000000002</v>
      </c>
      <c r="I116">
        <v>240.5</v>
      </c>
      <c r="J116">
        <v>93.3</v>
      </c>
      <c r="K116">
        <v>65</v>
      </c>
      <c r="L116">
        <v>23.4</v>
      </c>
      <c r="M116">
        <v>7.5</v>
      </c>
      <c r="N116">
        <v>0.25280237835776898</v>
      </c>
      <c r="O116">
        <v>0.37621406073589297</v>
      </c>
      <c r="P116" t="str">
        <f t="shared" si="2"/>
        <v>F</v>
      </c>
      <c r="Q116" t="str">
        <f t="shared" si="3"/>
        <v>F</v>
      </c>
    </row>
    <row r="117" spans="1:17" hidden="1" x14ac:dyDescent="0.3">
      <c r="A117">
        <v>4975</v>
      </c>
      <c r="B117">
        <v>2814</v>
      </c>
      <c r="C117">
        <v>350</v>
      </c>
      <c r="D117" t="s">
        <v>23</v>
      </c>
      <c r="E117" t="s">
        <v>16</v>
      </c>
      <c r="F117" t="s">
        <v>21</v>
      </c>
      <c r="G117" t="s">
        <v>26</v>
      </c>
      <c r="H117">
        <v>271.60000000000002</v>
      </c>
      <c r="I117">
        <v>240.5</v>
      </c>
      <c r="J117">
        <v>93.3</v>
      </c>
      <c r="K117">
        <v>65</v>
      </c>
      <c r="L117">
        <v>23.4</v>
      </c>
      <c r="M117">
        <v>7.5</v>
      </c>
      <c r="N117">
        <v>0.28044960730339002</v>
      </c>
      <c r="O117">
        <v>0.380774589043472</v>
      </c>
      <c r="P117" t="str">
        <f t="shared" si="2"/>
        <v>F</v>
      </c>
      <c r="Q117" t="str">
        <f t="shared" si="3"/>
        <v>F</v>
      </c>
    </row>
    <row r="118" spans="1:17" hidden="1" x14ac:dyDescent="0.3">
      <c r="A118">
        <v>5088</v>
      </c>
      <c r="B118">
        <v>2857</v>
      </c>
      <c r="C118">
        <v>350</v>
      </c>
      <c r="D118" t="s">
        <v>23</v>
      </c>
      <c r="E118" t="s">
        <v>16</v>
      </c>
      <c r="F118" t="s">
        <v>21</v>
      </c>
      <c r="G118" t="s">
        <v>26</v>
      </c>
      <c r="H118">
        <v>271.60000000000002</v>
      </c>
      <c r="I118">
        <v>240.5</v>
      </c>
      <c r="J118">
        <v>93.3</v>
      </c>
      <c r="K118">
        <v>65</v>
      </c>
      <c r="L118">
        <v>23.4</v>
      </c>
      <c r="M118">
        <v>7.5</v>
      </c>
      <c r="N118">
        <v>0.27313832205052102</v>
      </c>
      <c r="O118">
        <v>0.39668218108511299</v>
      </c>
      <c r="P118" t="str">
        <f t="shared" si="2"/>
        <v>F</v>
      </c>
      <c r="Q118" t="str">
        <f t="shared" si="3"/>
        <v>F</v>
      </c>
    </row>
    <row r="119" spans="1:17" hidden="1" x14ac:dyDescent="0.3">
      <c r="A119">
        <v>5089</v>
      </c>
      <c r="B119">
        <v>2857</v>
      </c>
      <c r="C119">
        <v>350</v>
      </c>
      <c r="D119" t="s">
        <v>23</v>
      </c>
      <c r="E119" t="s">
        <v>16</v>
      </c>
      <c r="F119" t="s">
        <v>21</v>
      </c>
      <c r="G119" t="s">
        <v>26</v>
      </c>
      <c r="H119">
        <v>271.60000000000002</v>
      </c>
      <c r="I119">
        <v>240.5</v>
      </c>
      <c r="J119">
        <v>93.3</v>
      </c>
      <c r="K119">
        <v>65</v>
      </c>
      <c r="L119">
        <v>23.4</v>
      </c>
      <c r="M119">
        <v>7.5</v>
      </c>
      <c r="N119">
        <v>0.27401274903317302</v>
      </c>
      <c r="O119">
        <v>0.38315286136603399</v>
      </c>
      <c r="P119" t="str">
        <f t="shared" si="2"/>
        <v>F</v>
      </c>
      <c r="Q119" t="str">
        <f t="shared" si="3"/>
        <v>F</v>
      </c>
    </row>
    <row r="120" spans="1:17" hidden="1" x14ac:dyDescent="0.3">
      <c r="A120">
        <v>5212</v>
      </c>
      <c r="B120">
        <v>2901</v>
      </c>
      <c r="C120">
        <v>454</v>
      </c>
      <c r="D120" t="s">
        <v>23</v>
      </c>
      <c r="E120" t="s">
        <v>16</v>
      </c>
      <c r="F120" t="s">
        <v>21</v>
      </c>
      <c r="G120" t="s">
        <v>26</v>
      </c>
      <c r="H120">
        <v>272.8</v>
      </c>
      <c r="I120">
        <v>242.5</v>
      </c>
      <c r="J120">
        <v>92.2</v>
      </c>
      <c r="K120">
        <v>67</v>
      </c>
      <c r="L120">
        <v>26.4</v>
      </c>
      <c r="M120">
        <v>6</v>
      </c>
      <c r="N120">
        <v>0.192780800437542</v>
      </c>
      <c r="O120">
        <v>0.31858602793692098</v>
      </c>
      <c r="P120" t="str">
        <f t="shared" si="2"/>
        <v>F</v>
      </c>
      <c r="Q120" t="str">
        <f t="shared" si="3"/>
        <v>F</v>
      </c>
    </row>
    <row r="121" spans="1:17" hidden="1" x14ac:dyDescent="0.3">
      <c r="A121">
        <v>5213</v>
      </c>
      <c r="B121">
        <v>2901</v>
      </c>
      <c r="C121">
        <v>454</v>
      </c>
      <c r="D121" t="s">
        <v>23</v>
      </c>
      <c r="E121" t="s">
        <v>16</v>
      </c>
      <c r="F121" t="s">
        <v>21</v>
      </c>
      <c r="G121" t="s">
        <v>26</v>
      </c>
      <c r="H121">
        <v>272.8</v>
      </c>
      <c r="I121">
        <v>242.5</v>
      </c>
      <c r="J121">
        <v>92.2</v>
      </c>
      <c r="K121">
        <v>67</v>
      </c>
      <c r="L121">
        <v>26.4</v>
      </c>
      <c r="M121">
        <v>6</v>
      </c>
      <c r="N121">
        <v>0.209298353124029</v>
      </c>
      <c r="O121">
        <v>0.339415732974861</v>
      </c>
      <c r="P121" t="str">
        <f t="shared" si="2"/>
        <v>F</v>
      </c>
      <c r="Q121" t="str">
        <f t="shared" si="3"/>
        <v>F</v>
      </c>
    </row>
    <row r="122" spans="1:17" hidden="1" x14ac:dyDescent="0.3">
      <c r="A122">
        <v>5214</v>
      </c>
      <c r="B122">
        <v>2901</v>
      </c>
      <c r="C122">
        <v>454</v>
      </c>
      <c r="D122" t="s">
        <v>23</v>
      </c>
      <c r="E122" t="s">
        <v>16</v>
      </c>
      <c r="F122" t="s">
        <v>21</v>
      </c>
      <c r="G122" t="s">
        <v>26</v>
      </c>
      <c r="H122">
        <v>272.8</v>
      </c>
      <c r="I122">
        <v>242.5</v>
      </c>
      <c r="J122">
        <v>92.2</v>
      </c>
      <c r="K122">
        <v>67</v>
      </c>
      <c r="L122">
        <v>26.4</v>
      </c>
      <c r="M122">
        <v>6</v>
      </c>
      <c r="N122">
        <v>0.20987496278166101</v>
      </c>
      <c r="O122">
        <v>0.32378242148212799</v>
      </c>
      <c r="P122" t="str">
        <f t="shared" si="2"/>
        <v>F</v>
      </c>
      <c r="Q122" t="str">
        <f t="shared" si="3"/>
        <v>F</v>
      </c>
    </row>
    <row r="123" spans="1:17" hidden="1" x14ac:dyDescent="0.3">
      <c r="A123">
        <v>5228</v>
      </c>
      <c r="B123">
        <v>2905</v>
      </c>
      <c r="C123">
        <v>306</v>
      </c>
      <c r="D123" t="s">
        <v>23</v>
      </c>
      <c r="E123" t="s">
        <v>16</v>
      </c>
      <c r="F123" t="s">
        <v>17</v>
      </c>
      <c r="G123" t="s">
        <v>18</v>
      </c>
      <c r="H123">
        <v>274.39999999999998</v>
      </c>
      <c r="I123">
        <v>249</v>
      </c>
      <c r="J123">
        <v>95.3</v>
      </c>
      <c r="K123">
        <v>69.5</v>
      </c>
      <c r="L123">
        <v>27.8</v>
      </c>
      <c r="M123">
        <v>5.5</v>
      </c>
      <c r="N123">
        <v>0.13311542018324601</v>
      </c>
      <c r="O123">
        <v>0.42178933668822699</v>
      </c>
      <c r="P123" t="str">
        <f t="shared" si="2"/>
        <v>T</v>
      </c>
      <c r="Q123" t="str">
        <f t="shared" si="3"/>
        <v>F</v>
      </c>
    </row>
    <row r="124" spans="1:17" hidden="1" x14ac:dyDescent="0.3">
      <c r="A124">
        <v>5229</v>
      </c>
      <c r="B124">
        <v>2905</v>
      </c>
      <c r="C124">
        <v>306</v>
      </c>
      <c r="D124" t="s">
        <v>23</v>
      </c>
      <c r="E124" t="s">
        <v>16</v>
      </c>
      <c r="F124" t="s">
        <v>17</v>
      </c>
      <c r="G124" t="s">
        <v>18</v>
      </c>
      <c r="H124">
        <v>274.39999999999998</v>
      </c>
      <c r="I124">
        <v>249</v>
      </c>
      <c r="J124">
        <v>95.3</v>
      </c>
      <c r="K124">
        <v>69.5</v>
      </c>
      <c r="L124">
        <v>27.8</v>
      </c>
      <c r="M124">
        <v>5.5</v>
      </c>
      <c r="N124">
        <v>0.12930129967875501</v>
      </c>
      <c r="O124">
        <v>0.420831170837699</v>
      </c>
      <c r="P124" t="str">
        <f t="shared" si="2"/>
        <v>T</v>
      </c>
      <c r="Q124" t="str">
        <f t="shared" si="3"/>
        <v>F</v>
      </c>
    </row>
    <row r="125" spans="1:17" hidden="1" x14ac:dyDescent="0.3">
      <c r="A125">
        <v>5230</v>
      </c>
      <c r="B125">
        <v>2905</v>
      </c>
      <c r="C125">
        <v>306</v>
      </c>
      <c r="D125" t="s">
        <v>23</v>
      </c>
      <c r="E125" t="s">
        <v>16</v>
      </c>
      <c r="F125" t="s">
        <v>17</v>
      </c>
      <c r="G125" t="s">
        <v>18</v>
      </c>
      <c r="H125">
        <v>274.39999999999998</v>
      </c>
      <c r="I125">
        <v>249</v>
      </c>
      <c r="J125">
        <v>95.3</v>
      </c>
      <c r="K125">
        <v>69.5</v>
      </c>
      <c r="L125">
        <v>27.8</v>
      </c>
      <c r="M125">
        <v>5.5</v>
      </c>
      <c r="N125">
        <v>0.13614301934701001</v>
      </c>
      <c r="O125">
        <v>0.39218707456662399</v>
      </c>
      <c r="P125" t="str">
        <f t="shared" si="2"/>
        <v>T</v>
      </c>
      <c r="Q125" t="str">
        <f t="shared" si="3"/>
        <v>F</v>
      </c>
    </row>
    <row r="126" spans="1:17" hidden="1" x14ac:dyDescent="0.3">
      <c r="A126">
        <v>5231</v>
      </c>
      <c r="B126">
        <v>2905</v>
      </c>
      <c r="C126">
        <v>306</v>
      </c>
      <c r="D126" t="s">
        <v>23</v>
      </c>
      <c r="E126" t="s">
        <v>16</v>
      </c>
      <c r="F126" t="s">
        <v>17</v>
      </c>
      <c r="G126" t="s">
        <v>18</v>
      </c>
      <c r="H126">
        <v>274.39999999999998</v>
      </c>
      <c r="I126">
        <v>249</v>
      </c>
      <c r="J126">
        <v>95.3</v>
      </c>
      <c r="K126">
        <v>69.5</v>
      </c>
      <c r="L126">
        <v>27.8</v>
      </c>
      <c r="M126">
        <v>5.5</v>
      </c>
      <c r="N126">
        <v>0.14680989063451999</v>
      </c>
      <c r="O126">
        <v>0.38782047310369699</v>
      </c>
      <c r="P126" t="str">
        <f t="shared" si="2"/>
        <v>F</v>
      </c>
      <c r="Q126" t="str">
        <f t="shared" si="3"/>
        <v>F</v>
      </c>
    </row>
    <row r="127" spans="1:17" hidden="1" x14ac:dyDescent="0.3">
      <c r="A127">
        <v>5460</v>
      </c>
      <c r="B127">
        <v>2988</v>
      </c>
      <c r="C127">
        <v>300</v>
      </c>
      <c r="D127" t="s">
        <v>23</v>
      </c>
      <c r="E127" t="s">
        <v>16</v>
      </c>
      <c r="F127" t="s">
        <v>21</v>
      </c>
      <c r="G127" t="s">
        <v>25</v>
      </c>
      <c r="H127">
        <v>271.5</v>
      </c>
      <c r="I127">
        <v>258.5</v>
      </c>
      <c r="J127">
        <v>98.7</v>
      </c>
      <c r="K127">
        <v>64</v>
      </c>
      <c r="L127">
        <v>23.3</v>
      </c>
      <c r="M127">
        <v>8.5</v>
      </c>
      <c r="N127">
        <v>0.23548163484894999</v>
      </c>
      <c r="O127">
        <v>0.207231286967997</v>
      </c>
      <c r="P127" t="str">
        <f t="shared" si="2"/>
        <v>F</v>
      </c>
      <c r="Q127" t="str">
        <f t="shared" si="3"/>
        <v>T</v>
      </c>
    </row>
    <row r="128" spans="1:17" hidden="1" x14ac:dyDescent="0.3">
      <c r="A128">
        <v>5461</v>
      </c>
      <c r="B128">
        <v>2988</v>
      </c>
      <c r="C128">
        <v>300</v>
      </c>
      <c r="D128" t="s">
        <v>23</v>
      </c>
      <c r="E128" t="s">
        <v>16</v>
      </c>
      <c r="F128" t="s">
        <v>21</v>
      </c>
      <c r="G128" t="s">
        <v>25</v>
      </c>
      <c r="H128">
        <v>271.5</v>
      </c>
      <c r="I128">
        <v>258.5</v>
      </c>
      <c r="J128">
        <v>98.7</v>
      </c>
      <c r="K128">
        <v>64</v>
      </c>
      <c r="L128">
        <v>23.3</v>
      </c>
      <c r="M128">
        <v>8.5</v>
      </c>
      <c r="N128">
        <v>0.254914099293236</v>
      </c>
      <c r="O128">
        <v>0.19505910621943301</v>
      </c>
      <c r="P128" t="str">
        <f t="shared" si="2"/>
        <v>F</v>
      </c>
      <c r="Q128" t="str">
        <f t="shared" si="3"/>
        <v>T</v>
      </c>
    </row>
    <row r="129" spans="1:17" hidden="1" x14ac:dyDescent="0.3">
      <c r="A129">
        <v>5462</v>
      </c>
      <c r="B129">
        <v>2988</v>
      </c>
      <c r="C129">
        <v>300</v>
      </c>
      <c r="D129" t="s">
        <v>23</v>
      </c>
      <c r="E129" t="s">
        <v>16</v>
      </c>
      <c r="F129" t="s">
        <v>21</v>
      </c>
      <c r="G129" t="s">
        <v>25</v>
      </c>
      <c r="H129">
        <v>271.5</v>
      </c>
      <c r="I129">
        <v>258.5</v>
      </c>
      <c r="J129">
        <v>98.7</v>
      </c>
      <c r="K129">
        <v>64</v>
      </c>
      <c r="L129">
        <v>23.3</v>
      </c>
      <c r="M129">
        <v>8.5</v>
      </c>
      <c r="N129">
        <v>0.221944675831062</v>
      </c>
      <c r="O129">
        <v>0.22885357037228299</v>
      </c>
      <c r="P129" t="str">
        <f t="shared" si="2"/>
        <v>F</v>
      </c>
      <c r="Q129" t="str">
        <f t="shared" si="3"/>
        <v>T</v>
      </c>
    </row>
    <row r="130" spans="1:17" hidden="1" x14ac:dyDescent="0.3">
      <c r="A130">
        <v>5493</v>
      </c>
      <c r="B130">
        <v>300</v>
      </c>
      <c r="C130">
        <v>20</v>
      </c>
      <c r="D130" t="s">
        <v>23</v>
      </c>
      <c r="E130" t="s">
        <v>16</v>
      </c>
      <c r="F130" t="s">
        <v>21</v>
      </c>
      <c r="G130" t="s">
        <v>26</v>
      </c>
      <c r="H130">
        <v>282.7</v>
      </c>
      <c r="I130">
        <v>260</v>
      </c>
      <c r="J130">
        <v>103.8</v>
      </c>
      <c r="K130">
        <v>68</v>
      </c>
      <c r="L130">
        <v>26.4</v>
      </c>
      <c r="M130">
        <v>11.5</v>
      </c>
      <c r="N130">
        <v>7.2197435278654798E-2</v>
      </c>
      <c r="O130">
        <v>0.25219930389888601</v>
      </c>
      <c r="P130" t="str">
        <f t="shared" si="2"/>
        <v>T</v>
      </c>
      <c r="Q130" t="str">
        <f t="shared" si="3"/>
        <v>F</v>
      </c>
    </row>
    <row r="131" spans="1:17" hidden="1" x14ac:dyDescent="0.3">
      <c r="A131">
        <v>5494</v>
      </c>
      <c r="B131">
        <v>300</v>
      </c>
      <c r="C131">
        <v>20</v>
      </c>
      <c r="D131" t="s">
        <v>23</v>
      </c>
      <c r="E131" t="s">
        <v>16</v>
      </c>
      <c r="F131" t="s">
        <v>21</v>
      </c>
      <c r="G131" t="s">
        <v>26</v>
      </c>
      <c r="H131">
        <v>282.7</v>
      </c>
      <c r="I131">
        <v>260</v>
      </c>
      <c r="J131">
        <v>103.8</v>
      </c>
      <c r="K131">
        <v>68</v>
      </c>
      <c r="L131">
        <v>26.4</v>
      </c>
      <c r="M131">
        <v>11.5</v>
      </c>
      <c r="N131">
        <v>0.103642346008081</v>
      </c>
      <c r="O131">
        <v>0.28650589798206599</v>
      </c>
      <c r="P131" t="str">
        <f t="shared" ref="P131:P194" si="4">IF(N131&lt;0.140836, "T", "F")</f>
        <v>T</v>
      </c>
      <c r="Q131" t="str">
        <f t="shared" ref="Q131:Q194" si="5">IF(O131&lt;0.245351, "T", "F")</f>
        <v>F</v>
      </c>
    </row>
    <row r="132" spans="1:17" hidden="1" x14ac:dyDescent="0.3">
      <c r="A132">
        <v>5495</v>
      </c>
      <c r="B132">
        <v>300</v>
      </c>
      <c r="C132">
        <v>20</v>
      </c>
      <c r="D132" t="s">
        <v>23</v>
      </c>
      <c r="E132" t="s">
        <v>16</v>
      </c>
      <c r="F132" t="s">
        <v>21</v>
      </c>
      <c r="G132" t="s">
        <v>26</v>
      </c>
      <c r="H132">
        <v>282.7</v>
      </c>
      <c r="I132">
        <v>260</v>
      </c>
      <c r="J132">
        <v>103.8</v>
      </c>
      <c r="K132">
        <v>68</v>
      </c>
      <c r="L132">
        <v>26.4</v>
      </c>
      <c r="M132">
        <v>11.5</v>
      </c>
      <c r="N132">
        <v>7.8838251482909599E-2</v>
      </c>
      <c r="O132">
        <v>0.28024294009013001</v>
      </c>
      <c r="P132" t="str">
        <f t="shared" si="4"/>
        <v>T</v>
      </c>
      <c r="Q132" t="str">
        <f t="shared" si="5"/>
        <v>F</v>
      </c>
    </row>
    <row r="133" spans="1:17" hidden="1" x14ac:dyDescent="0.3">
      <c r="A133">
        <v>5496</v>
      </c>
      <c r="B133">
        <v>300</v>
      </c>
      <c r="C133">
        <v>20</v>
      </c>
      <c r="D133" t="s">
        <v>23</v>
      </c>
      <c r="E133" t="s">
        <v>16</v>
      </c>
      <c r="F133" t="s">
        <v>21</v>
      </c>
      <c r="G133" t="s">
        <v>26</v>
      </c>
      <c r="H133">
        <v>282.7</v>
      </c>
      <c r="I133">
        <v>260</v>
      </c>
      <c r="J133">
        <v>103.8</v>
      </c>
      <c r="K133">
        <v>68</v>
      </c>
      <c r="L133">
        <v>26.4</v>
      </c>
      <c r="M133">
        <v>11.5</v>
      </c>
      <c r="N133">
        <v>8.3955889163504202E-2</v>
      </c>
      <c r="O133">
        <v>0.28571132564539797</v>
      </c>
      <c r="P133" t="str">
        <f t="shared" si="4"/>
        <v>T</v>
      </c>
      <c r="Q133" t="str">
        <f t="shared" si="5"/>
        <v>F</v>
      </c>
    </row>
    <row r="134" spans="1:17" hidden="1" x14ac:dyDescent="0.3">
      <c r="A134">
        <v>5511</v>
      </c>
      <c r="B134">
        <v>3005</v>
      </c>
      <c r="C134">
        <v>31</v>
      </c>
      <c r="D134" t="s">
        <v>23</v>
      </c>
      <c r="E134" t="s">
        <v>16</v>
      </c>
      <c r="F134" t="s">
        <v>17</v>
      </c>
      <c r="G134" t="s">
        <v>18</v>
      </c>
      <c r="H134">
        <v>274</v>
      </c>
      <c r="I134">
        <v>250</v>
      </c>
      <c r="J134">
        <v>99.4</v>
      </c>
      <c r="K134">
        <v>68.5</v>
      </c>
      <c r="L134">
        <v>23.2</v>
      </c>
      <c r="M134">
        <v>10</v>
      </c>
      <c r="N134">
        <v>0.201058226738415</v>
      </c>
      <c r="O134">
        <v>0.177929321654723</v>
      </c>
      <c r="P134" t="str">
        <f t="shared" si="4"/>
        <v>F</v>
      </c>
      <c r="Q134" t="str">
        <f t="shared" si="5"/>
        <v>T</v>
      </c>
    </row>
    <row r="135" spans="1:17" hidden="1" x14ac:dyDescent="0.3">
      <c r="A135">
        <v>5609</v>
      </c>
      <c r="B135">
        <v>3038</v>
      </c>
      <c r="C135">
        <v>256</v>
      </c>
      <c r="D135" t="s">
        <v>23</v>
      </c>
      <c r="E135" t="s">
        <v>16</v>
      </c>
      <c r="F135" t="s">
        <v>17</v>
      </c>
      <c r="G135" t="s">
        <v>24</v>
      </c>
      <c r="H135">
        <v>276.89999999999998</v>
      </c>
      <c r="I135">
        <v>246</v>
      </c>
      <c r="J135">
        <v>94.3</v>
      </c>
      <c r="K135">
        <v>65.5</v>
      </c>
      <c r="L135">
        <v>25.1</v>
      </c>
      <c r="M135">
        <v>6</v>
      </c>
      <c r="N135">
        <v>0.20049011990035601</v>
      </c>
      <c r="O135">
        <v>0.407480515012902</v>
      </c>
      <c r="P135" t="str">
        <f t="shared" si="4"/>
        <v>F</v>
      </c>
      <c r="Q135" t="str">
        <f t="shared" si="5"/>
        <v>F</v>
      </c>
    </row>
    <row r="136" spans="1:17" hidden="1" x14ac:dyDescent="0.3">
      <c r="A136">
        <v>5613</v>
      </c>
      <c r="B136">
        <v>304</v>
      </c>
      <c r="C136">
        <v>31</v>
      </c>
      <c r="D136" t="s">
        <v>23</v>
      </c>
      <c r="E136" t="s">
        <v>16</v>
      </c>
      <c r="F136" t="s">
        <v>21</v>
      </c>
      <c r="G136" t="s">
        <v>26</v>
      </c>
      <c r="H136">
        <v>274</v>
      </c>
      <c r="I136">
        <v>250</v>
      </c>
      <c r="J136">
        <v>99.4</v>
      </c>
      <c r="K136">
        <v>68.5</v>
      </c>
      <c r="L136">
        <v>23.2</v>
      </c>
      <c r="M136">
        <v>10</v>
      </c>
      <c r="N136">
        <v>0.19144409241830501</v>
      </c>
      <c r="O136">
        <v>0.154575229463602</v>
      </c>
      <c r="P136" t="str">
        <f t="shared" si="4"/>
        <v>F</v>
      </c>
      <c r="Q136" t="str">
        <f t="shared" si="5"/>
        <v>T</v>
      </c>
    </row>
    <row r="137" spans="1:17" hidden="1" x14ac:dyDescent="0.3">
      <c r="A137">
        <v>5614</v>
      </c>
      <c r="B137">
        <v>304</v>
      </c>
      <c r="C137">
        <v>31</v>
      </c>
      <c r="D137" t="s">
        <v>23</v>
      </c>
      <c r="E137" t="s">
        <v>16</v>
      </c>
      <c r="F137" t="s">
        <v>21</v>
      </c>
      <c r="G137" t="s">
        <v>26</v>
      </c>
      <c r="H137">
        <v>274</v>
      </c>
      <c r="I137">
        <v>250</v>
      </c>
      <c r="J137">
        <v>99.4</v>
      </c>
      <c r="K137">
        <v>68.5</v>
      </c>
      <c r="L137">
        <v>23.2</v>
      </c>
      <c r="M137">
        <v>10</v>
      </c>
      <c r="N137">
        <v>0.21335745866712</v>
      </c>
      <c r="O137">
        <v>0.15504521689156001</v>
      </c>
      <c r="P137" t="str">
        <f t="shared" si="4"/>
        <v>F</v>
      </c>
      <c r="Q137" t="str">
        <f t="shared" si="5"/>
        <v>T</v>
      </c>
    </row>
    <row r="138" spans="1:17" hidden="1" x14ac:dyDescent="0.3">
      <c r="A138">
        <v>5615</v>
      </c>
      <c r="B138">
        <v>304</v>
      </c>
      <c r="C138">
        <v>31</v>
      </c>
      <c r="D138" t="s">
        <v>23</v>
      </c>
      <c r="E138" t="s">
        <v>16</v>
      </c>
      <c r="F138" t="s">
        <v>21</v>
      </c>
      <c r="G138" t="s">
        <v>26</v>
      </c>
      <c r="H138">
        <v>274</v>
      </c>
      <c r="I138">
        <v>250</v>
      </c>
      <c r="J138">
        <v>99.4</v>
      </c>
      <c r="K138">
        <v>68.5</v>
      </c>
      <c r="L138">
        <v>23.2</v>
      </c>
      <c r="M138">
        <v>10</v>
      </c>
      <c r="N138">
        <v>0.218122751537211</v>
      </c>
      <c r="O138">
        <v>0.16067543310798599</v>
      </c>
      <c r="P138" t="str">
        <f t="shared" si="4"/>
        <v>F</v>
      </c>
      <c r="Q138" t="str">
        <f t="shared" si="5"/>
        <v>T</v>
      </c>
    </row>
    <row r="139" spans="1:17" hidden="1" x14ac:dyDescent="0.3">
      <c r="A139">
        <v>5616</v>
      </c>
      <c r="B139">
        <v>304</v>
      </c>
      <c r="C139">
        <v>31</v>
      </c>
      <c r="D139" t="s">
        <v>23</v>
      </c>
      <c r="E139" t="s">
        <v>16</v>
      </c>
      <c r="F139" t="s">
        <v>21</v>
      </c>
      <c r="G139" t="s">
        <v>26</v>
      </c>
      <c r="H139">
        <v>274</v>
      </c>
      <c r="I139">
        <v>250</v>
      </c>
      <c r="J139">
        <v>99.4</v>
      </c>
      <c r="K139">
        <v>68.5</v>
      </c>
      <c r="L139">
        <v>23.2</v>
      </c>
      <c r="M139">
        <v>10</v>
      </c>
      <c r="N139">
        <v>0.19013511501936201</v>
      </c>
      <c r="O139">
        <v>0.168204650107668</v>
      </c>
      <c r="P139" t="str">
        <f t="shared" si="4"/>
        <v>F</v>
      </c>
      <c r="Q139" t="str">
        <f t="shared" si="5"/>
        <v>T</v>
      </c>
    </row>
    <row r="140" spans="1:17" hidden="1" x14ac:dyDescent="0.3">
      <c r="A140">
        <v>5801</v>
      </c>
      <c r="B140">
        <v>3110</v>
      </c>
      <c r="C140">
        <v>20</v>
      </c>
      <c r="D140" t="s">
        <v>23</v>
      </c>
      <c r="E140" t="s">
        <v>16</v>
      </c>
      <c r="F140" t="s">
        <v>17</v>
      </c>
      <c r="G140" t="s">
        <v>18</v>
      </c>
      <c r="H140">
        <v>282.7</v>
      </c>
      <c r="I140">
        <v>260</v>
      </c>
      <c r="J140">
        <v>103.8</v>
      </c>
      <c r="K140">
        <v>68</v>
      </c>
      <c r="L140">
        <v>26.4</v>
      </c>
      <c r="M140">
        <v>11.5</v>
      </c>
      <c r="N140">
        <v>7.9745421022027405E-2</v>
      </c>
      <c r="O140">
        <v>0.28021900081686202</v>
      </c>
      <c r="P140" t="str">
        <f t="shared" si="4"/>
        <v>T</v>
      </c>
      <c r="Q140" t="str">
        <f t="shared" si="5"/>
        <v>F</v>
      </c>
    </row>
    <row r="141" spans="1:17" hidden="1" x14ac:dyDescent="0.3">
      <c r="A141">
        <v>5802</v>
      </c>
      <c r="B141">
        <v>3110</v>
      </c>
      <c r="C141">
        <v>20</v>
      </c>
      <c r="D141" t="s">
        <v>23</v>
      </c>
      <c r="E141" t="s">
        <v>16</v>
      </c>
      <c r="F141" t="s">
        <v>17</v>
      </c>
      <c r="G141" t="s">
        <v>18</v>
      </c>
      <c r="H141">
        <v>282.7</v>
      </c>
      <c r="I141">
        <v>260</v>
      </c>
      <c r="J141">
        <v>103.8</v>
      </c>
      <c r="K141">
        <v>68</v>
      </c>
      <c r="L141">
        <v>26.4</v>
      </c>
      <c r="M141">
        <v>11.5</v>
      </c>
      <c r="N141">
        <v>7.8164901248456001E-2</v>
      </c>
      <c r="O141">
        <v>0.267264051941067</v>
      </c>
      <c r="P141" t="str">
        <f t="shared" si="4"/>
        <v>T</v>
      </c>
      <c r="Q141" t="str">
        <f t="shared" si="5"/>
        <v>F</v>
      </c>
    </row>
    <row r="142" spans="1:17" hidden="1" x14ac:dyDescent="0.3">
      <c r="A142">
        <v>5928</v>
      </c>
      <c r="B142">
        <v>3153</v>
      </c>
      <c r="C142">
        <v>246</v>
      </c>
      <c r="D142" t="s">
        <v>23</v>
      </c>
      <c r="E142" t="s">
        <v>16</v>
      </c>
      <c r="F142" t="s">
        <v>17</v>
      </c>
      <c r="G142" t="s">
        <v>25</v>
      </c>
      <c r="H142">
        <v>278.2</v>
      </c>
      <c r="I142">
        <v>257</v>
      </c>
      <c r="J142">
        <v>97.9</v>
      </c>
      <c r="K142">
        <v>67</v>
      </c>
      <c r="L142">
        <v>24.3</v>
      </c>
      <c r="M142">
        <v>12.5</v>
      </c>
      <c r="N142">
        <v>0.16376571314175201</v>
      </c>
      <c r="O142">
        <v>0.381785499912628</v>
      </c>
      <c r="P142" t="str">
        <f t="shared" si="4"/>
        <v>F</v>
      </c>
      <c r="Q142" t="str">
        <f t="shared" si="5"/>
        <v>F</v>
      </c>
    </row>
    <row r="143" spans="1:17" hidden="1" x14ac:dyDescent="0.3">
      <c r="A143">
        <v>6032</v>
      </c>
      <c r="B143">
        <v>3191</v>
      </c>
      <c r="C143">
        <v>279</v>
      </c>
      <c r="D143" t="s">
        <v>23</v>
      </c>
      <c r="E143" t="s">
        <v>16</v>
      </c>
      <c r="F143" t="s">
        <v>17</v>
      </c>
      <c r="G143" t="s">
        <v>18</v>
      </c>
      <c r="H143">
        <v>273.8</v>
      </c>
      <c r="I143">
        <v>248.5</v>
      </c>
      <c r="J143">
        <v>97.9</v>
      </c>
      <c r="K143">
        <v>65.5</v>
      </c>
      <c r="L143">
        <v>24.9</v>
      </c>
      <c r="M143">
        <v>4</v>
      </c>
      <c r="N143">
        <v>0.22466049528168899</v>
      </c>
      <c r="O143">
        <v>0.39300616628370999</v>
      </c>
      <c r="P143" t="str">
        <f t="shared" si="4"/>
        <v>F</v>
      </c>
      <c r="Q143" t="str">
        <f t="shared" si="5"/>
        <v>F</v>
      </c>
    </row>
    <row r="144" spans="1:17" hidden="1" x14ac:dyDescent="0.3">
      <c r="A144">
        <v>6033</v>
      </c>
      <c r="B144">
        <v>3191</v>
      </c>
      <c r="C144">
        <v>279</v>
      </c>
      <c r="D144" t="s">
        <v>23</v>
      </c>
      <c r="E144" t="s">
        <v>16</v>
      </c>
      <c r="F144" t="s">
        <v>17</v>
      </c>
      <c r="G144" t="s">
        <v>18</v>
      </c>
      <c r="H144">
        <v>273.8</v>
      </c>
      <c r="I144">
        <v>248.5</v>
      </c>
      <c r="J144">
        <v>97.9</v>
      </c>
      <c r="K144">
        <v>65.5</v>
      </c>
      <c r="L144">
        <v>24.9</v>
      </c>
      <c r="M144">
        <v>4</v>
      </c>
      <c r="N144">
        <v>0.23696911788786201</v>
      </c>
      <c r="O144">
        <v>0.39131431799037097</v>
      </c>
      <c r="P144" t="str">
        <f t="shared" si="4"/>
        <v>F</v>
      </c>
      <c r="Q144" t="str">
        <f t="shared" si="5"/>
        <v>F</v>
      </c>
    </row>
    <row r="145" spans="1:17" hidden="1" x14ac:dyDescent="0.3">
      <c r="A145">
        <v>6034</v>
      </c>
      <c r="B145">
        <v>3191</v>
      </c>
      <c r="C145">
        <v>279</v>
      </c>
      <c r="D145" t="s">
        <v>23</v>
      </c>
      <c r="E145" t="s">
        <v>16</v>
      </c>
      <c r="F145" t="s">
        <v>17</v>
      </c>
      <c r="G145" t="s">
        <v>18</v>
      </c>
      <c r="H145">
        <v>273.8</v>
      </c>
      <c r="I145">
        <v>248.5</v>
      </c>
      <c r="J145">
        <v>97.9</v>
      </c>
      <c r="K145">
        <v>65.5</v>
      </c>
      <c r="L145">
        <v>24.9</v>
      </c>
      <c r="M145">
        <v>4</v>
      </c>
      <c r="N145">
        <v>0.246944806013047</v>
      </c>
      <c r="O145">
        <v>0.37707477344151302</v>
      </c>
      <c r="P145" t="str">
        <f t="shared" si="4"/>
        <v>F</v>
      </c>
      <c r="Q145" t="str">
        <f t="shared" si="5"/>
        <v>F</v>
      </c>
    </row>
    <row r="146" spans="1:17" hidden="1" x14ac:dyDescent="0.3">
      <c r="A146">
        <v>6035</v>
      </c>
      <c r="B146">
        <v>3191</v>
      </c>
      <c r="C146">
        <v>279</v>
      </c>
      <c r="D146" t="s">
        <v>23</v>
      </c>
      <c r="E146" t="s">
        <v>16</v>
      </c>
      <c r="F146" t="s">
        <v>17</v>
      </c>
      <c r="G146" t="s">
        <v>18</v>
      </c>
      <c r="H146">
        <v>273.8</v>
      </c>
      <c r="I146">
        <v>248.5</v>
      </c>
      <c r="J146">
        <v>97.9</v>
      </c>
      <c r="K146">
        <v>65.5</v>
      </c>
      <c r="L146">
        <v>24.9</v>
      </c>
      <c r="M146">
        <v>4</v>
      </c>
      <c r="N146">
        <v>0.24545061938667401</v>
      </c>
      <c r="O146">
        <v>0.38362652481674903</v>
      </c>
      <c r="P146" t="str">
        <f t="shared" si="4"/>
        <v>F</v>
      </c>
      <c r="Q146" t="str">
        <f t="shared" si="5"/>
        <v>F</v>
      </c>
    </row>
    <row r="147" spans="1:17" hidden="1" x14ac:dyDescent="0.3">
      <c r="A147">
        <v>6036</v>
      </c>
      <c r="B147">
        <v>3191</v>
      </c>
      <c r="C147">
        <v>279</v>
      </c>
      <c r="D147" t="s">
        <v>23</v>
      </c>
      <c r="E147" t="s">
        <v>16</v>
      </c>
      <c r="F147" t="s">
        <v>17</v>
      </c>
      <c r="G147" t="s">
        <v>18</v>
      </c>
      <c r="H147">
        <v>273.8</v>
      </c>
      <c r="I147">
        <v>248.5</v>
      </c>
      <c r="J147">
        <v>97.9</v>
      </c>
      <c r="K147">
        <v>65.5</v>
      </c>
      <c r="L147">
        <v>24.9</v>
      </c>
      <c r="M147">
        <v>4</v>
      </c>
      <c r="N147">
        <v>0.235504394896213</v>
      </c>
      <c r="O147">
        <v>0.39119946791479498</v>
      </c>
      <c r="P147" t="str">
        <f t="shared" si="4"/>
        <v>F</v>
      </c>
      <c r="Q147" t="str">
        <f t="shared" si="5"/>
        <v>F</v>
      </c>
    </row>
    <row r="148" spans="1:17" hidden="1" x14ac:dyDescent="0.3">
      <c r="A148">
        <v>6037</v>
      </c>
      <c r="B148">
        <v>3191</v>
      </c>
      <c r="C148">
        <v>279</v>
      </c>
      <c r="D148" t="s">
        <v>23</v>
      </c>
      <c r="E148" t="s">
        <v>16</v>
      </c>
      <c r="F148" t="s">
        <v>17</v>
      </c>
      <c r="G148" t="s">
        <v>18</v>
      </c>
      <c r="H148">
        <v>273.8</v>
      </c>
      <c r="I148">
        <v>248.5</v>
      </c>
      <c r="J148">
        <v>97.9</v>
      </c>
      <c r="K148">
        <v>65.5</v>
      </c>
      <c r="L148">
        <v>24.9</v>
      </c>
      <c r="M148">
        <v>4</v>
      </c>
      <c r="N148">
        <v>0.22468967994203001</v>
      </c>
      <c r="O148">
        <v>0.38703852969543601</v>
      </c>
      <c r="P148" t="str">
        <f t="shared" si="4"/>
        <v>F</v>
      </c>
      <c r="Q148" t="str">
        <f t="shared" si="5"/>
        <v>F</v>
      </c>
    </row>
    <row r="149" spans="1:17" hidden="1" x14ac:dyDescent="0.3">
      <c r="A149">
        <v>6139</v>
      </c>
      <c r="B149">
        <v>323</v>
      </c>
      <c r="C149">
        <v>256</v>
      </c>
      <c r="D149" t="s">
        <v>23</v>
      </c>
      <c r="E149" t="s">
        <v>16</v>
      </c>
      <c r="F149" t="s">
        <v>17</v>
      </c>
      <c r="G149" t="s">
        <v>26</v>
      </c>
      <c r="H149">
        <v>276.89999999999998</v>
      </c>
      <c r="I149">
        <v>246</v>
      </c>
      <c r="J149">
        <v>94.3</v>
      </c>
      <c r="K149">
        <v>65.5</v>
      </c>
      <c r="L149">
        <v>25.1</v>
      </c>
      <c r="M149">
        <v>6</v>
      </c>
      <c r="N149">
        <v>0.199214589138244</v>
      </c>
      <c r="O149">
        <v>0.39198468729241298</v>
      </c>
      <c r="P149" t="str">
        <f t="shared" si="4"/>
        <v>F</v>
      </c>
      <c r="Q149" t="str">
        <f t="shared" si="5"/>
        <v>F</v>
      </c>
    </row>
    <row r="150" spans="1:17" hidden="1" x14ac:dyDescent="0.3">
      <c r="A150">
        <v>6140</v>
      </c>
      <c r="B150">
        <v>323</v>
      </c>
      <c r="C150">
        <v>256</v>
      </c>
      <c r="D150" t="s">
        <v>23</v>
      </c>
      <c r="E150" t="s">
        <v>16</v>
      </c>
      <c r="F150" t="s">
        <v>17</v>
      </c>
      <c r="G150" t="s">
        <v>26</v>
      </c>
      <c r="H150">
        <v>276.89999999999998</v>
      </c>
      <c r="I150">
        <v>246</v>
      </c>
      <c r="J150">
        <v>94.3</v>
      </c>
      <c r="K150">
        <v>65.5</v>
      </c>
      <c r="L150">
        <v>25.1</v>
      </c>
      <c r="M150">
        <v>6</v>
      </c>
      <c r="N150">
        <v>0.21203957128110501</v>
      </c>
      <c r="O150">
        <v>0.39807504762923701</v>
      </c>
      <c r="P150" t="str">
        <f t="shared" si="4"/>
        <v>F</v>
      </c>
      <c r="Q150" t="str">
        <f t="shared" si="5"/>
        <v>F</v>
      </c>
    </row>
    <row r="151" spans="1:17" hidden="1" x14ac:dyDescent="0.3">
      <c r="A151">
        <v>6141</v>
      </c>
      <c r="B151">
        <v>323</v>
      </c>
      <c r="C151">
        <v>256</v>
      </c>
      <c r="D151" t="s">
        <v>23</v>
      </c>
      <c r="E151" t="s">
        <v>16</v>
      </c>
      <c r="F151" t="s">
        <v>17</v>
      </c>
      <c r="G151" t="s">
        <v>26</v>
      </c>
      <c r="H151">
        <v>276.89999999999998</v>
      </c>
      <c r="I151">
        <v>246</v>
      </c>
      <c r="J151">
        <v>94.3</v>
      </c>
      <c r="K151">
        <v>65.5</v>
      </c>
      <c r="L151">
        <v>25.1</v>
      </c>
      <c r="M151">
        <v>6</v>
      </c>
      <c r="N151">
        <v>0.19641203693624801</v>
      </c>
      <c r="O151">
        <v>0.38695417175932301</v>
      </c>
      <c r="P151" t="str">
        <f t="shared" si="4"/>
        <v>F</v>
      </c>
      <c r="Q151" t="str">
        <f t="shared" si="5"/>
        <v>F</v>
      </c>
    </row>
    <row r="152" spans="1:17" hidden="1" x14ac:dyDescent="0.3">
      <c r="A152">
        <v>6211</v>
      </c>
      <c r="B152">
        <v>3254</v>
      </c>
      <c r="C152">
        <v>31</v>
      </c>
      <c r="D152" t="s">
        <v>23</v>
      </c>
      <c r="E152" t="s">
        <v>16</v>
      </c>
      <c r="F152" t="s">
        <v>21</v>
      </c>
      <c r="G152" t="s">
        <v>26</v>
      </c>
      <c r="H152">
        <v>274</v>
      </c>
      <c r="I152">
        <v>250</v>
      </c>
      <c r="J152">
        <v>99.4</v>
      </c>
      <c r="K152">
        <v>68.5</v>
      </c>
      <c r="L152">
        <v>23.2</v>
      </c>
      <c r="M152">
        <v>10</v>
      </c>
      <c r="N152">
        <v>0.207481818763917</v>
      </c>
      <c r="O152">
        <v>0.186692355997086</v>
      </c>
      <c r="P152" t="str">
        <f t="shared" si="4"/>
        <v>F</v>
      </c>
      <c r="Q152" t="str">
        <f t="shared" si="5"/>
        <v>T</v>
      </c>
    </row>
    <row r="153" spans="1:17" hidden="1" x14ac:dyDescent="0.3">
      <c r="A153">
        <v>6212</v>
      </c>
      <c r="B153">
        <v>3254</v>
      </c>
      <c r="C153">
        <v>31</v>
      </c>
      <c r="D153" t="s">
        <v>23</v>
      </c>
      <c r="E153" t="s">
        <v>16</v>
      </c>
      <c r="F153" t="s">
        <v>21</v>
      </c>
      <c r="G153" t="s">
        <v>26</v>
      </c>
      <c r="H153">
        <v>274</v>
      </c>
      <c r="I153">
        <v>250</v>
      </c>
      <c r="J153">
        <v>99.4</v>
      </c>
      <c r="K153">
        <v>68.5</v>
      </c>
      <c r="L153">
        <v>23.2</v>
      </c>
      <c r="M153">
        <v>10</v>
      </c>
      <c r="N153">
        <v>0.198855504936748</v>
      </c>
      <c r="O153">
        <v>0.154215020769083</v>
      </c>
      <c r="P153" t="str">
        <f t="shared" si="4"/>
        <v>F</v>
      </c>
      <c r="Q153" t="str">
        <f t="shared" si="5"/>
        <v>T</v>
      </c>
    </row>
    <row r="154" spans="1:17" hidden="1" x14ac:dyDescent="0.3">
      <c r="A154">
        <v>6375</v>
      </c>
      <c r="B154">
        <v>3315</v>
      </c>
      <c r="C154">
        <v>31</v>
      </c>
      <c r="D154" t="s">
        <v>23</v>
      </c>
      <c r="E154" t="s">
        <v>16</v>
      </c>
      <c r="F154" t="s">
        <v>21</v>
      </c>
      <c r="G154" t="s">
        <v>18</v>
      </c>
      <c r="H154">
        <v>274</v>
      </c>
      <c r="I154">
        <v>250</v>
      </c>
      <c r="J154">
        <v>99.4</v>
      </c>
      <c r="K154">
        <v>68.5</v>
      </c>
      <c r="L154">
        <v>23.2</v>
      </c>
      <c r="M154">
        <v>10</v>
      </c>
      <c r="N154">
        <v>0.213660973211792</v>
      </c>
      <c r="O154">
        <v>0.182845359663908</v>
      </c>
      <c r="P154" t="str">
        <f t="shared" si="4"/>
        <v>F</v>
      </c>
      <c r="Q154" t="str">
        <f t="shared" si="5"/>
        <v>T</v>
      </c>
    </row>
    <row r="155" spans="1:17" hidden="1" x14ac:dyDescent="0.3">
      <c r="A155">
        <v>6376</v>
      </c>
      <c r="B155">
        <v>3315</v>
      </c>
      <c r="C155">
        <v>31</v>
      </c>
      <c r="D155" t="s">
        <v>23</v>
      </c>
      <c r="E155" t="s">
        <v>16</v>
      </c>
      <c r="F155" t="s">
        <v>21</v>
      </c>
      <c r="G155" t="s">
        <v>18</v>
      </c>
      <c r="H155">
        <v>274</v>
      </c>
      <c r="I155">
        <v>250</v>
      </c>
      <c r="J155">
        <v>99.4</v>
      </c>
      <c r="K155">
        <v>68.5</v>
      </c>
      <c r="L155">
        <v>23.2</v>
      </c>
      <c r="M155">
        <v>10</v>
      </c>
      <c r="N155">
        <v>0.20474117748099599</v>
      </c>
      <c r="O155">
        <v>0.16207854771372099</v>
      </c>
      <c r="P155" t="str">
        <f t="shared" si="4"/>
        <v>F</v>
      </c>
      <c r="Q155" t="str">
        <f t="shared" si="5"/>
        <v>T</v>
      </c>
    </row>
    <row r="156" spans="1:17" hidden="1" x14ac:dyDescent="0.3">
      <c r="A156">
        <v>6393</v>
      </c>
      <c r="B156">
        <v>3321</v>
      </c>
      <c r="C156">
        <v>246</v>
      </c>
      <c r="D156" t="s">
        <v>23</v>
      </c>
      <c r="E156" t="s">
        <v>16</v>
      </c>
      <c r="F156" t="s">
        <v>17</v>
      </c>
      <c r="G156" t="s">
        <v>26</v>
      </c>
      <c r="H156">
        <v>278.2</v>
      </c>
      <c r="I156">
        <v>257</v>
      </c>
      <c r="J156">
        <v>97.9</v>
      </c>
      <c r="K156">
        <v>67</v>
      </c>
      <c r="L156">
        <v>24.3</v>
      </c>
      <c r="M156">
        <v>12.5</v>
      </c>
      <c r="N156">
        <v>0.14853825425925801</v>
      </c>
      <c r="O156">
        <v>0.39900875360292998</v>
      </c>
      <c r="P156" t="str">
        <f t="shared" si="4"/>
        <v>F</v>
      </c>
      <c r="Q156" t="str">
        <f t="shared" si="5"/>
        <v>F</v>
      </c>
    </row>
    <row r="157" spans="1:17" hidden="1" x14ac:dyDescent="0.3">
      <c r="A157">
        <v>6394</v>
      </c>
      <c r="B157">
        <v>3321</v>
      </c>
      <c r="C157">
        <v>246</v>
      </c>
      <c r="D157" t="s">
        <v>23</v>
      </c>
      <c r="E157" t="s">
        <v>16</v>
      </c>
      <c r="F157" t="s">
        <v>17</v>
      </c>
      <c r="G157" t="s">
        <v>26</v>
      </c>
      <c r="H157">
        <v>278.2</v>
      </c>
      <c r="I157">
        <v>257</v>
      </c>
      <c r="J157">
        <v>97.9</v>
      </c>
      <c r="K157">
        <v>67</v>
      </c>
      <c r="L157">
        <v>24.3</v>
      </c>
      <c r="M157">
        <v>12.5</v>
      </c>
      <c r="N157">
        <v>0.165276902747898</v>
      </c>
      <c r="O157">
        <v>0.389551729052171</v>
      </c>
      <c r="P157" t="str">
        <f t="shared" si="4"/>
        <v>F</v>
      </c>
      <c r="Q157" t="str">
        <f t="shared" si="5"/>
        <v>F</v>
      </c>
    </row>
    <row r="158" spans="1:17" hidden="1" x14ac:dyDescent="0.3">
      <c r="A158">
        <v>6395</v>
      </c>
      <c r="B158">
        <v>3321</v>
      </c>
      <c r="C158">
        <v>246</v>
      </c>
      <c r="D158" t="s">
        <v>23</v>
      </c>
      <c r="E158" t="s">
        <v>16</v>
      </c>
      <c r="F158" t="s">
        <v>17</v>
      </c>
      <c r="G158" t="s">
        <v>26</v>
      </c>
      <c r="H158">
        <v>278.2</v>
      </c>
      <c r="I158">
        <v>257</v>
      </c>
      <c r="J158">
        <v>97.9</v>
      </c>
      <c r="K158">
        <v>67</v>
      </c>
      <c r="L158">
        <v>24.3</v>
      </c>
      <c r="M158">
        <v>12.5</v>
      </c>
      <c r="N158">
        <v>0.14814381440967</v>
      </c>
      <c r="O158">
        <v>0.38967158471144903</v>
      </c>
      <c r="P158" t="str">
        <f t="shared" si="4"/>
        <v>F</v>
      </c>
      <c r="Q158" t="str">
        <f t="shared" si="5"/>
        <v>F</v>
      </c>
    </row>
    <row r="159" spans="1:17" hidden="1" x14ac:dyDescent="0.3">
      <c r="A159">
        <v>6484</v>
      </c>
      <c r="B159">
        <v>3354</v>
      </c>
      <c r="C159">
        <v>246</v>
      </c>
      <c r="D159" t="s">
        <v>23</v>
      </c>
      <c r="E159" t="s">
        <v>16</v>
      </c>
      <c r="F159" t="s">
        <v>21</v>
      </c>
      <c r="G159" t="s">
        <v>24</v>
      </c>
      <c r="H159">
        <v>278.2</v>
      </c>
      <c r="I159">
        <v>257</v>
      </c>
      <c r="J159">
        <v>97.9</v>
      </c>
      <c r="K159">
        <v>67</v>
      </c>
      <c r="L159">
        <v>24.3</v>
      </c>
      <c r="M159">
        <v>12.5</v>
      </c>
      <c r="N159">
        <v>0.178532199364445</v>
      </c>
      <c r="O159">
        <v>0.38818009271180198</v>
      </c>
      <c r="P159" t="str">
        <f t="shared" si="4"/>
        <v>F</v>
      </c>
      <c r="Q159" t="str">
        <f t="shared" si="5"/>
        <v>F</v>
      </c>
    </row>
    <row r="160" spans="1:17" hidden="1" x14ac:dyDescent="0.3">
      <c r="A160">
        <v>6485</v>
      </c>
      <c r="B160">
        <v>3354</v>
      </c>
      <c r="C160">
        <v>246</v>
      </c>
      <c r="D160" t="s">
        <v>23</v>
      </c>
      <c r="E160" t="s">
        <v>16</v>
      </c>
      <c r="F160" t="s">
        <v>21</v>
      </c>
      <c r="G160" t="s">
        <v>24</v>
      </c>
      <c r="H160">
        <v>278.2</v>
      </c>
      <c r="I160">
        <v>257</v>
      </c>
      <c r="J160">
        <v>97.9</v>
      </c>
      <c r="K160">
        <v>67</v>
      </c>
      <c r="L160">
        <v>24.3</v>
      </c>
      <c r="M160">
        <v>12.5</v>
      </c>
      <c r="N160">
        <v>0.165771549282445</v>
      </c>
      <c r="O160">
        <v>0.39737830985065797</v>
      </c>
      <c r="P160" t="str">
        <f t="shared" si="4"/>
        <v>F</v>
      </c>
      <c r="Q160" t="str">
        <f t="shared" si="5"/>
        <v>F</v>
      </c>
    </row>
    <row r="161" spans="1:17" hidden="1" x14ac:dyDescent="0.3">
      <c r="A161">
        <v>6486</v>
      </c>
      <c r="B161">
        <v>3354</v>
      </c>
      <c r="C161">
        <v>246</v>
      </c>
      <c r="D161" t="s">
        <v>23</v>
      </c>
      <c r="E161" t="s">
        <v>16</v>
      </c>
      <c r="F161" t="s">
        <v>21</v>
      </c>
      <c r="G161" t="s">
        <v>24</v>
      </c>
      <c r="H161">
        <v>278.2</v>
      </c>
      <c r="I161">
        <v>257</v>
      </c>
      <c r="J161">
        <v>97.9</v>
      </c>
      <c r="K161">
        <v>67</v>
      </c>
      <c r="L161">
        <v>24.3</v>
      </c>
      <c r="M161">
        <v>12.5</v>
      </c>
      <c r="N161">
        <v>0.15925583802867399</v>
      </c>
      <c r="O161">
        <v>0.38431964490695503</v>
      </c>
      <c r="P161" t="str">
        <f t="shared" si="4"/>
        <v>F</v>
      </c>
      <c r="Q161" t="str">
        <f t="shared" si="5"/>
        <v>F</v>
      </c>
    </row>
    <row r="162" spans="1:17" hidden="1" x14ac:dyDescent="0.3">
      <c r="A162">
        <v>6517</v>
      </c>
      <c r="B162">
        <v>3367</v>
      </c>
      <c r="C162">
        <v>31</v>
      </c>
      <c r="D162" t="s">
        <v>23</v>
      </c>
      <c r="E162" t="s">
        <v>16</v>
      </c>
      <c r="F162" t="s">
        <v>21</v>
      </c>
      <c r="G162" t="s">
        <v>24</v>
      </c>
      <c r="H162">
        <v>274</v>
      </c>
      <c r="I162">
        <v>250</v>
      </c>
      <c r="J162">
        <v>99.4</v>
      </c>
      <c r="K162">
        <v>68.5</v>
      </c>
      <c r="L162">
        <v>23.2</v>
      </c>
      <c r="M162">
        <v>10</v>
      </c>
      <c r="N162">
        <v>0.212465283143528</v>
      </c>
      <c r="O162">
        <v>0.15862945903337999</v>
      </c>
      <c r="P162" t="str">
        <f t="shared" si="4"/>
        <v>F</v>
      </c>
      <c r="Q162" t="str">
        <f t="shared" si="5"/>
        <v>T</v>
      </c>
    </row>
    <row r="163" spans="1:17" hidden="1" x14ac:dyDescent="0.3">
      <c r="A163">
        <v>6518</v>
      </c>
      <c r="B163">
        <v>3367</v>
      </c>
      <c r="C163">
        <v>31</v>
      </c>
      <c r="D163" t="s">
        <v>23</v>
      </c>
      <c r="E163" t="s">
        <v>16</v>
      </c>
      <c r="F163" t="s">
        <v>21</v>
      </c>
      <c r="G163" t="s">
        <v>24</v>
      </c>
      <c r="H163">
        <v>274</v>
      </c>
      <c r="I163">
        <v>250</v>
      </c>
      <c r="J163">
        <v>99.4</v>
      </c>
      <c r="K163">
        <v>68.5</v>
      </c>
      <c r="L163">
        <v>23.2</v>
      </c>
      <c r="M163">
        <v>10</v>
      </c>
      <c r="N163">
        <v>0.203874179285982</v>
      </c>
      <c r="O163">
        <v>0.183886380191047</v>
      </c>
      <c r="P163" t="str">
        <f t="shared" si="4"/>
        <v>F</v>
      </c>
      <c r="Q163" t="str">
        <f t="shared" si="5"/>
        <v>T</v>
      </c>
    </row>
    <row r="164" spans="1:17" hidden="1" x14ac:dyDescent="0.3">
      <c r="A164">
        <v>6622</v>
      </c>
      <c r="B164">
        <v>3408</v>
      </c>
      <c r="C164">
        <v>124</v>
      </c>
      <c r="D164" t="s">
        <v>23</v>
      </c>
      <c r="E164" t="s">
        <v>16</v>
      </c>
      <c r="F164" t="s">
        <v>17</v>
      </c>
      <c r="G164" t="s">
        <v>26</v>
      </c>
      <c r="H164">
        <v>275.39999999999998</v>
      </c>
      <c r="I164">
        <v>241</v>
      </c>
      <c r="J164">
        <v>94.9</v>
      </c>
      <c r="K164">
        <v>69</v>
      </c>
      <c r="L164">
        <v>24.9</v>
      </c>
      <c r="M164">
        <v>7.5</v>
      </c>
      <c r="N164">
        <v>0.18987632210182601</v>
      </c>
      <c r="O164">
        <v>0.33334684763727102</v>
      </c>
      <c r="P164" t="str">
        <f t="shared" si="4"/>
        <v>F</v>
      </c>
      <c r="Q164" t="str">
        <f t="shared" si="5"/>
        <v>F</v>
      </c>
    </row>
    <row r="165" spans="1:17" hidden="1" x14ac:dyDescent="0.3">
      <c r="A165">
        <v>6623</v>
      </c>
      <c r="B165">
        <v>3408</v>
      </c>
      <c r="C165">
        <v>124</v>
      </c>
      <c r="D165" t="s">
        <v>23</v>
      </c>
      <c r="E165" t="s">
        <v>16</v>
      </c>
      <c r="F165" t="s">
        <v>17</v>
      </c>
      <c r="G165" t="s">
        <v>26</v>
      </c>
      <c r="H165">
        <v>275.39999999999998</v>
      </c>
      <c r="I165">
        <v>241</v>
      </c>
      <c r="J165">
        <v>94.9</v>
      </c>
      <c r="K165">
        <v>69</v>
      </c>
      <c r="L165">
        <v>24.9</v>
      </c>
      <c r="M165">
        <v>7.5</v>
      </c>
      <c r="N165">
        <v>0.20419426182242401</v>
      </c>
      <c r="O165">
        <v>0.33101960488606302</v>
      </c>
      <c r="P165" t="str">
        <f t="shared" si="4"/>
        <v>F</v>
      </c>
      <c r="Q165" t="str">
        <f t="shared" si="5"/>
        <v>F</v>
      </c>
    </row>
    <row r="166" spans="1:17" hidden="1" x14ac:dyDescent="0.3">
      <c r="A166">
        <v>6624</v>
      </c>
      <c r="B166">
        <v>3408</v>
      </c>
      <c r="C166">
        <v>124</v>
      </c>
      <c r="D166" t="s">
        <v>23</v>
      </c>
      <c r="E166" t="s">
        <v>16</v>
      </c>
      <c r="F166" t="s">
        <v>17</v>
      </c>
      <c r="G166" t="s">
        <v>26</v>
      </c>
      <c r="H166">
        <v>275.39999999999998</v>
      </c>
      <c r="I166">
        <v>241</v>
      </c>
      <c r="J166">
        <v>94.9</v>
      </c>
      <c r="K166">
        <v>69</v>
      </c>
      <c r="L166">
        <v>24.9</v>
      </c>
      <c r="M166">
        <v>7.5</v>
      </c>
      <c r="N166">
        <v>0.18712407120396601</v>
      </c>
      <c r="O166">
        <v>0.309510092809826</v>
      </c>
      <c r="P166" t="str">
        <f t="shared" si="4"/>
        <v>F</v>
      </c>
      <c r="Q166" t="str">
        <f t="shared" si="5"/>
        <v>F</v>
      </c>
    </row>
    <row r="167" spans="1:17" hidden="1" x14ac:dyDescent="0.3">
      <c r="A167">
        <v>6625</v>
      </c>
      <c r="B167">
        <v>3408</v>
      </c>
      <c r="C167">
        <v>124</v>
      </c>
      <c r="D167" t="s">
        <v>23</v>
      </c>
      <c r="E167" t="s">
        <v>16</v>
      </c>
      <c r="F167" t="s">
        <v>17</v>
      </c>
      <c r="G167" t="s">
        <v>26</v>
      </c>
      <c r="H167">
        <v>275.39999999999998</v>
      </c>
      <c r="I167">
        <v>241</v>
      </c>
      <c r="J167">
        <v>94.9</v>
      </c>
      <c r="K167">
        <v>69</v>
      </c>
      <c r="L167">
        <v>24.9</v>
      </c>
      <c r="M167">
        <v>7.5</v>
      </c>
      <c r="N167">
        <v>0.189652794291054</v>
      </c>
      <c r="O167">
        <v>0.30316557890325702</v>
      </c>
      <c r="P167" t="str">
        <f t="shared" si="4"/>
        <v>F</v>
      </c>
      <c r="Q167" t="str">
        <f t="shared" si="5"/>
        <v>F</v>
      </c>
    </row>
    <row r="168" spans="1:17" hidden="1" x14ac:dyDescent="0.3">
      <c r="A168">
        <v>6626</v>
      </c>
      <c r="B168">
        <v>3408</v>
      </c>
      <c r="C168">
        <v>124</v>
      </c>
      <c r="D168" t="s">
        <v>23</v>
      </c>
      <c r="E168" t="s">
        <v>16</v>
      </c>
      <c r="F168" t="s">
        <v>17</v>
      </c>
      <c r="G168" t="s">
        <v>26</v>
      </c>
      <c r="H168">
        <v>275.39999999999998</v>
      </c>
      <c r="I168">
        <v>241</v>
      </c>
      <c r="J168">
        <v>94.9</v>
      </c>
      <c r="K168">
        <v>69</v>
      </c>
      <c r="L168">
        <v>24.9</v>
      </c>
      <c r="M168">
        <v>7.5</v>
      </c>
      <c r="N168">
        <v>0.21514081738758001</v>
      </c>
      <c r="O168">
        <v>0.30457080337561099</v>
      </c>
      <c r="P168" t="str">
        <f t="shared" si="4"/>
        <v>F</v>
      </c>
      <c r="Q168" t="str">
        <f t="shared" si="5"/>
        <v>F</v>
      </c>
    </row>
    <row r="169" spans="1:17" hidden="1" x14ac:dyDescent="0.3">
      <c r="A169">
        <v>6639</v>
      </c>
      <c r="B169">
        <v>3412</v>
      </c>
      <c r="C169">
        <v>279</v>
      </c>
      <c r="D169" t="s">
        <v>23</v>
      </c>
      <c r="E169" t="s">
        <v>16</v>
      </c>
      <c r="F169" t="s">
        <v>17</v>
      </c>
      <c r="G169" t="s">
        <v>25</v>
      </c>
      <c r="H169">
        <v>273.8</v>
      </c>
      <c r="I169">
        <v>248.5</v>
      </c>
      <c r="J169">
        <v>97.9</v>
      </c>
      <c r="K169">
        <v>65.5</v>
      </c>
      <c r="L169">
        <v>24.9</v>
      </c>
      <c r="M169">
        <v>4</v>
      </c>
      <c r="N169">
        <v>0.248615730921602</v>
      </c>
      <c r="O169">
        <v>0.37775604026701598</v>
      </c>
      <c r="P169" t="str">
        <f t="shared" si="4"/>
        <v>F</v>
      </c>
      <c r="Q169" t="str">
        <f t="shared" si="5"/>
        <v>F</v>
      </c>
    </row>
    <row r="170" spans="1:17" hidden="1" x14ac:dyDescent="0.3">
      <c r="A170">
        <v>6640</v>
      </c>
      <c r="B170">
        <v>3412</v>
      </c>
      <c r="C170">
        <v>279</v>
      </c>
      <c r="D170" t="s">
        <v>23</v>
      </c>
      <c r="E170" t="s">
        <v>16</v>
      </c>
      <c r="F170" t="s">
        <v>17</v>
      </c>
      <c r="G170" t="s">
        <v>25</v>
      </c>
      <c r="H170">
        <v>273.8</v>
      </c>
      <c r="I170">
        <v>248.5</v>
      </c>
      <c r="J170">
        <v>97.9</v>
      </c>
      <c r="K170">
        <v>65.5</v>
      </c>
      <c r="L170">
        <v>24.9</v>
      </c>
      <c r="M170">
        <v>4</v>
      </c>
      <c r="N170">
        <v>0.24309805216431801</v>
      </c>
      <c r="O170">
        <v>0.37021808919375099</v>
      </c>
      <c r="P170" t="str">
        <f t="shared" si="4"/>
        <v>F</v>
      </c>
      <c r="Q170" t="str">
        <f t="shared" si="5"/>
        <v>F</v>
      </c>
    </row>
    <row r="171" spans="1:17" hidden="1" x14ac:dyDescent="0.3">
      <c r="A171">
        <v>6761</v>
      </c>
      <c r="B171">
        <v>3456</v>
      </c>
      <c r="C171">
        <v>20</v>
      </c>
      <c r="D171" t="s">
        <v>23</v>
      </c>
      <c r="E171" t="s">
        <v>16</v>
      </c>
      <c r="F171" t="s">
        <v>17</v>
      </c>
      <c r="G171" t="s">
        <v>18</v>
      </c>
      <c r="H171">
        <v>282.7</v>
      </c>
      <c r="I171">
        <v>260</v>
      </c>
      <c r="J171">
        <v>103.8</v>
      </c>
      <c r="K171">
        <v>68</v>
      </c>
      <c r="L171">
        <v>26.4</v>
      </c>
      <c r="M171">
        <v>11.5</v>
      </c>
      <c r="N171">
        <v>8.4083201964027798E-2</v>
      </c>
      <c r="O171">
        <v>0.25370107806796399</v>
      </c>
      <c r="P171" t="str">
        <f t="shared" si="4"/>
        <v>T</v>
      </c>
      <c r="Q171" t="str">
        <f t="shared" si="5"/>
        <v>F</v>
      </c>
    </row>
    <row r="172" spans="1:17" hidden="1" x14ac:dyDescent="0.3">
      <c r="A172">
        <v>6762</v>
      </c>
      <c r="B172">
        <v>3456</v>
      </c>
      <c r="C172">
        <v>20</v>
      </c>
      <c r="D172" t="s">
        <v>23</v>
      </c>
      <c r="E172" t="s">
        <v>16</v>
      </c>
      <c r="F172" t="s">
        <v>17</v>
      </c>
      <c r="G172" t="s">
        <v>18</v>
      </c>
      <c r="H172">
        <v>282.7</v>
      </c>
      <c r="I172">
        <v>260</v>
      </c>
      <c r="J172">
        <v>103.8</v>
      </c>
      <c r="K172">
        <v>68</v>
      </c>
      <c r="L172">
        <v>26.4</v>
      </c>
      <c r="M172">
        <v>11.5</v>
      </c>
      <c r="N172">
        <v>7.5315712393661499E-2</v>
      </c>
      <c r="O172">
        <v>0.249611519632495</v>
      </c>
      <c r="P172" t="str">
        <f t="shared" si="4"/>
        <v>T</v>
      </c>
      <c r="Q172" t="str">
        <f t="shared" si="5"/>
        <v>F</v>
      </c>
    </row>
    <row r="173" spans="1:17" hidden="1" x14ac:dyDescent="0.3">
      <c r="A173">
        <v>6976</v>
      </c>
      <c r="B173">
        <v>3539</v>
      </c>
      <c r="C173">
        <v>184</v>
      </c>
      <c r="D173" t="s">
        <v>23</v>
      </c>
      <c r="E173" t="s">
        <v>16</v>
      </c>
      <c r="F173" t="s">
        <v>17</v>
      </c>
      <c r="G173" t="s">
        <v>18</v>
      </c>
      <c r="H173">
        <v>277</v>
      </c>
      <c r="I173">
        <v>265</v>
      </c>
      <c r="J173">
        <v>101.5</v>
      </c>
      <c r="K173">
        <v>70</v>
      </c>
      <c r="L173">
        <v>30.4</v>
      </c>
      <c r="M173">
        <v>9</v>
      </c>
      <c r="N173">
        <v>3.4375593247616701E-2</v>
      </c>
      <c r="O173">
        <v>0.26757209701052898</v>
      </c>
      <c r="P173" t="str">
        <f t="shared" si="4"/>
        <v>T</v>
      </c>
      <c r="Q173" t="str">
        <f t="shared" si="5"/>
        <v>F</v>
      </c>
    </row>
    <row r="174" spans="1:17" hidden="1" x14ac:dyDescent="0.3">
      <c r="A174">
        <v>6977</v>
      </c>
      <c r="B174">
        <v>3539</v>
      </c>
      <c r="C174">
        <v>184</v>
      </c>
      <c r="D174" t="s">
        <v>23</v>
      </c>
      <c r="E174" t="s">
        <v>16</v>
      </c>
      <c r="F174" t="s">
        <v>17</v>
      </c>
      <c r="G174" t="s">
        <v>18</v>
      </c>
      <c r="H174">
        <v>277</v>
      </c>
      <c r="I174">
        <v>265</v>
      </c>
      <c r="J174">
        <v>101.5</v>
      </c>
      <c r="K174">
        <v>70</v>
      </c>
      <c r="L174">
        <v>30.4</v>
      </c>
      <c r="M174">
        <v>9</v>
      </c>
      <c r="N174">
        <v>4.8375438642461903E-2</v>
      </c>
      <c r="O174">
        <v>0.28305465293019799</v>
      </c>
      <c r="P174" t="str">
        <f t="shared" si="4"/>
        <v>T</v>
      </c>
      <c r="Q174" t="str">
        <f t="shared" si="5"/>
        <v>F</v>
      </c>
    </row>
    <row r="175" spans="1:17" hidden="1" x14ac:dyDescent="0.3">
      <c r="A175">
        <v>6997</v>
      </c>
      <c r="B175">
        <v>3547</v>
      </c>
      <c r="C175">
        <v>350</v>
      </c>
      <c r="D175" t="s">
        <v>23</v>
      </c>
      <c r="E175" t="s">
        <v>16</v>
      </c>
      <c r="F175" t="s">
        <v>21</v>
      </c>
      <c r="G175" t="s">
        <v>18</v>
      </c>
      <c r="H175">
        <v>271.60000000000002</v>
      </c>
      <c r="I175">
        <v>240.5</v>
      </c>
      <c r="J175">
        <v>93.3</v>
      </c>
      <c r="K175">
        <v>65</v>
      </c>
      <c r="L175">
        <v>23.4</v>
      </c>
      <c r="M175">
        <v>7.5</v>
      </c>
      <c r="N175">
        <v>0.24987519694132099</v>
      </c>
      <c r="O175">
        <v>0.41053757772743799</v>
      </c>
      <c r="P175" t="str">
        <f t="shared" si="4"/>
        <v>F</v>
      </c>
      <c r="Q175" t="str">
        <f t="shared" si="5"/>
        <v>F</v>
      </c>
    </row>
    <row r="176" spans="1:17" hidden="1" x14ac:dyDescent="0.3">
      <c r="A176">
        <v>7149</v>
      </c>
      <c r="B176">
        <v>3594</v>
      </c>
      <c r="C176">
        <v>279</v>
      </c>
      <c r="D176" t="s">
        <v>23</v>
      </c>
      <c r="E176" t="s">
        <v>16</v>
      </c>
      <c r="F176" t="s">
        <v>21</v>
      </c>
      <c r="G176" t="s">
        <v>24</v>
      </c>
      <c r="H176">
        <v>273.8</v>
      </c>
      <c r="I176">
        <v>248.5</v>
      </c>
      <c r="J176">
        <v>97.9</v>
      </c>
      <c r="K176">
        <v>65.5</v>
      </c>
      <c r="L176">
        <v>24.9</v>
      </c>
      <c r="M176">
        <v>4</v>
      </c>
      <c r="N176">
        <v>0.22351976852078101</v>
      </c>
      <c r="O176">
        <v>0.38124478091123698</v>
      </c>
      <c r="P176" t="str">
        <f t="shared" si="4"/>
        <v>F</v>
      </c>
      <c r="Q176" t="str">
        <f t="shared" si="5"/>
        <v>F</v>
      </c>
    </row>
    <row r="177" spans="1:17" hidden="1" x14ac:dyDescent="0.3">
      <c r="A177">
        <v>7167</v>
      </c>
      <c r="B177">
        <v>36</v>
      </c>
      <c r="C177">
        <v>31</v>
      </c>
      <c r="D177" t="s">
        <v>23</v>
      </c>
      <c r="E177" t="s">
        <v>16</v>
      </c>
      <c r="F177" t="s">
        <v>21</v>
      </c>
      <c r="G177" t="s">
        <v>25</v>
      </c>
      <c r="H177">
        <v>274</v>
      </c>
      <c r="I177">
        <v>250</v>
      </c>
      <c r="J177">
        <v>99.4</v>
      </c>
      <c r="K177">
        <v>68.5</v>
      </c>
      <c r="L177">
        <v>23.2</v>
      </c>
      <c r="M177">
        <v>10</v>
      </c>
      <c r="N177">
        <v>0.21357733324158101</v>
      </c>
      <c r="O177">
        <v>0.15361494162415301</v>
      </c>
      <c r="P177" t="str">
        <f t="shared" si="4"/>
        <v>F</v>
      </c>
      <c r="Q177" t="str">
        <f t="shared" si="5"/>
        <v>T</v>
      </c>
    </row>
    <row r="178" spans="1:17" hidden="1" x14ac:dyDescent="0.3">
      <c r="A178">
        <v>7168</v>
      </c>
      <c r="B178">
        <v>36</v>
      </c>
      <c r="C178">
        <v>31</v>
      </c>
      <c r="D178" t="s">
        <v>23</v>
      </c>
      <c r="E178" t="s">
        <v>16</v>
      </c>
      <c r="F178" t="s">
        <v>21</v>
      </c>
      <c r="G178" t="s">
        <v>25</v>
      </c>
      <c r="H178">
        <v>274</v>
      </c>
      <c r="I178">
        <v>250</v>
      </c>
      <c r="J178">
        <v>99.4</v>
      </c>
      <c r="K178">
        <v>68.5</v>
      </c>
      <c r="L178">
        <v>23.2</v>
      </c>
      <c r="M178">
        <v>10</v>
      </c>
      <c r="N178">
        <v>0.18439349742764499</v>
      </c>
      <c r="O178">
        <v>0.18773017533435299</v>
      </c>
      <c r="P178" t="str">
        <f t="shared" si="4"/>
        <v>F</v>
      </c>
      <c r="Q178" t="str">
        <f t="shared" si="5"/>
        <v>T</v>
      </c>
    </row>
    <row r="179" spans="1:17" hidden="1" x14ac:dyDescent="0.3">
      <c r="A179">
        <v>7169</v>
      </c>
      <c r="B179">
        <v>36</v>
      </c>
      <c r="C179">
        <v>31</v>
      </c>
      <c r="D179" t="s">
        <v>23</v>
      </c>
      <c r="E179" t="s">
        <v>16</v>
      </c>
      <c r="F179" t="s">
        <v>21</v>
      </c>
      <c r="G179" t="s">
        <v>25</v>
      </c>
      <c r="H179">
        <v>274</v>
      </c>
      <c r="I179">
        <v>250</v>
      </c>
      <c r="J179">
        <v>99.4</v>
      </c>
      <c r="K179">
        <v>68.5</v>
      </c>
      <c r="L179">
        <v>23.2</v>
      </c>
      <c r="M179">
        <v>10</v>
      </c>
      <c r="N179">
        <v>0.189398867647082</v>
      </c>
      <c r="O179">
        <v>0.16076636879462899</v>
      </c>
      <c r="P179" t="str">
        <f t="shared" si="4"/>
        <v>F</v>
      </c>
      <c r="Q179" t="str">
        <f t="shared" si="5"/>
        <v>T</v>
      </c>
    </row>
    <row r="180" spans="1:17" hidden="1" x14ac:dyDescent="0.3">
      <c r="A180">
        <v>7283</v>
      </c>
      <c r="B180">
        <v>3633</v>
      </c>
      <c r="C180">
        <v>50</v>
      </c>
      <c r="D180" t="s">
        <v>23</v>
      </c>
      <c r="E180" t="s">
        <v>16</v>
      </c>
      <c r="F180" t="s">
        <v>21</v>
      </c>
      <c r="G180" t="s">
        <v>26</v>
      </c>
      <c r="H180">
        <v>276.7</v>
      </c>
      <c r="I180">
        <v>242</v>
      </c>
      <c r="J180">
        <v>95.6</v>
      </c>
      <c r="K180">
        <v>65</v>
      </c>
      <c r="L180">
        <v>22.2</v>
      </c>
      <c r="M180">
        <v>8</v>
      </c>
      <c r="N180">
        <v>0.28304828915705998</v>
      </c>
      <c r="O180">
        <v>0.289827429188946</v>
      </c>
      <c r="P180" t="str">
        <f t="shared" si="4"/>
        <v>F</v>
      </c>
      <c r="Q180" t="str">
        <f t="shared" si="5"/>
        <v>F</v>
      </c>
    </row>
    <row r="181" spans="1:17" hidden="1" x14ac:dyDescent="0.3">
      <c r="A181">
        <v>7284</v>
      </c>
      <c r="B181">
        <v>3633</v>
      </c>
      <c r="C181">
        <v>50</v>
      </c>
      <c r="D181" t="s">
        <v>23</v>
      </c>
      <c r="E181" t="s">
        <v>16</v>
      </c>
      <c r="F181" t="s">
        <v>21</v>
      </c>
      <c r="G181" t="s">
        <v>26</v>
      </c>
      <c r="H181">
        <v>276.7</v>
      </c>
      <c r="I181">
        <v>242</v>
      </c>
      <c r="J181">
        <v>95.6</v>
      </c>
      <c r="K181">
        <v>65</v>
      </c>
      <c r="L181">
        <v>22.2</v>
      </c>
      <c r="M181">
        <v>8</v>
      </c>
      <c r="N181">
        <v>0.26903943287605298</v>
      </c>
      <c r="O181">
        <v>0.28789623404534498</v>
      </c>
      <c r="P181" t="str">
        <f t="shared" si="4"/>
        <v>F</v>
      </c>
      <c r="Q181" t="str">
        <f t="shared" si="5"/>
        <v>F</v>
      </c>
    </row>
    <row r="182" spans="1:17" hidden="1" x14ac:dyDescent="0.3">
      <c r="A182">
        <v>7285</v>
      </c>
      <c r="B182">
        <v>3633</v>
      </c>
      <c r="C182">
        <v>50</v>
      </c>
      <c r="D182" t="s">
        <v>23</v>
      </c>
      <c r="E182" t="s">
        <v>16</v>
      </c>
      <c r="F182" t="s">
        <v>21</v>
      </c>
      <c r="G182" t="s">
        <v>26</v>
      </c>
      <c r="H182">
        <v>276.7</v>
      </c>
      <c r="I182">
        <v>242</v>
      </c>
      <c r="J182">
        <v>95.6</v>
      </c>
      <c r="K182">
        <v>65</v>
      </c>
      <c r="L182">
        <v>22.2</v>
      </c>
      <c r="M182">
        <v>8</v>
      </c>
      <c r="N182">
        <v>0.25529763729884403</v>
      </c>
      <c r="O182">
        <v>0.28967096570427098</v>
      </c>
      <c r="P182" t="str">
        <f t="shared" si="4"/>
        <v>F</v>
      </c>
      <c r="Q182" t="str">
        <f t="shared" si="5"/>
        <v>F</v>
      </c>
    </row>
    <row r="183" spans="1:17" hidden="1" x14ac:dyDescent="0.3">
      <c r="A183">
        <v>7348</v>
      </c>
      <c r="B183">
        <v>3652</v>
      </c>
      <c r="C183">
        <v>31</v>
      </c>
      <c r="D183" t="s">
        <v>23</v>
      </c>
      <c r="E183" t="s">
        <v>16</v>
      </c>
      <c r="F183" t="s">
        <v>17</v>
      </c>
      <c r="G183" t="s">
        <v>22</v>
      </c>
      <c r="H183">
        <v>274</v>
      </c>
      <c r="I183">
        <v>250</v>
      </c>
      <c r="J183">
        <v>99.4</v>
      </c>
      <c r="K183">
        <v>68.5</v>
      </c>
      <c r="L183">
        <v>23.2</v>
      </c>
      <c r="M183">
        <v>10</v>
      </c>
      <c r="N183">
        <v>0.19179013269001</v>
      </c>
      <c r="O183">
        <v>0.17185727740871201</v>
      </c>
      <c r="P183" t="str">
        <f t="shared" si="4"/>
        <v>F</v>
      </c>
      <c r="Q183" t="str">
        <f t="shared" si="5"/>
        <v>T</v>
      </c>
    </row>
    <row r="184" spans="1:17" hidden="1" x14ac:dyDescent="0.3">
      <c r="A184">
        <v>7349</v>
      </c>
      <c r="B184">
        <v>3652</v>
      </c>
      <c r="C184">
        <v>31</v>
      </c>
      <c r="D184" t="s">
        <v>23</v>
      </c>
      <c r="E184" t="s">
        <v>16</v>
      </c>
      <c r="F184" t="s">
        <v>17</v>
      </c>
      <c r="G184" t="s">
        <v>22</v>
      </c>
      <c r="H184">
        <v>274</v>
      </c>
      <c r="I184">
        <v>250</v>
      </c>
      <c r="J184">
        <v>99.4</v>
      </c>
      <c r="K184">
        <v>68.5</v>
      </c>
      <c r="L184">
        <v>23.2</v>
      </c>
      <c r="M184">
        <v>10</v>
      </c>
      <c r="N184">
        <v>0.19474861354246201</v>
      </c>
      <c r="O184">
        <v>0.15785427111480399</v>
      </c>
      <c r="P184" t="str">
        <f t="shared" si="4"/>
        <v>F</v>
      </c>
      <c r="Q184" t="str">
        <f t="shared" si="5"/>
        <v>T</v>
      </c>
    </row>
    <row r="185" spans="1:17" hidden="1" x14ac:dyDescent="0.3">
      <c r="A185">
        <v>7350</v>
      </c>
      <c r="B185">
        <v>3652</v>
      </c>
      <c r="C185">
        <v>31</v>
      </c>
      <c r="D185" t="s">
        <v>23</v>
      </c>
      <c r="E185" t="s">
        <v>16</v>
      </c>
      <c r="F185" t="s">
        <v>17</v>
      </c>
      <c r="G185" t="s">
        <v>22</v>
      </c>
      <c r="H185">
        <v>274</v>
      </c>
      <c r="I185">
        <v>250</v>
      </c>
      <c r="J185">
        <v>99.4</v>
      </c>
      <c r="K185">
        <v>68.5</v>
      </c>
      <c r="L185">
        <v>23.2</v>
      </c>
      <c r="M185">
        <v>10</v>
      </c>
      <c r="N185">
        <v>0.187268225503363</v>
      </c>
      <c r="O185">
        <v>0.14323831952612301</v>
      </c>
      <c r="P185" t="str">
        <f t="shared" si="4"/>
        <v>F</v>
      </c>
      <c r="Q185" t="str">
        <f t="shared" si="5"/>
        <v>T</v>
      </c>
    </row>
    <row r="186" spans="1:17" hidden="1" x14ac:dyDescent="0.3">
      <c r="A186">
        <v>7429</v>
      </c>
      <c r="B186">
        <v>3682</v>
      </c>
      <c r="C186">
        <v>454</v>
      </c>
      <c r="D186" t="s">
        <v>23</v>
      </c>
      <c r="E186" t="s">
        <v>16</v>
      </c>
      <c r="F186" t="s">
        <v>21</v>
      </c>
      <c r="G186" t="s">
        <v>18</v>
      </c>
      <c r="H186">
        <v>272.8</v>
      </c>
      <c r="I186">
        <v>242.5</v>
      </c>
      <c r="J186">
        <v>92.2</v>
      </c>
      <c r="K186">
        <v>67</v>
      </c>
      <c r="L186">
        <v>26.4</v>
      </c>
      <c r="M186">
        <v>6</v>
      </c>
      <c r="N186">
        <v>0.19566550334132399</v>
      </c>
      <c r="O186">
        <v>0.33360503709825101</v>
      </c>
      <c r="P186" t="str">
        <f t="shared" si="4"/>
        <v>F</v>
      </c>
      <c r="Q186" t="str">
        <f t="shared" si="5"/>
        <v>F</v>
      </c>
    </row>
    <row r="187" spans="1:17" hidden="1" x14ac:dyDescent="0.3">
      <c r="A187">
        <v>7459</v>
      </c>
      <c r="B187">
        <v>370</v>
      </c>
      <c r="C187">
        <v>350</v>
      </c>
      <c r="D187" t="s">
        <v>23</v>
      </c>
      <c r="E187" t="s">
        <v>16</v>
      </c>
      <c r="F187" t="s">
        <v>21</v>
      </c>
      <c r="G187" t="s">
        <v>24</v>
      </c>
      <c r="H187">
        <v>271.60000000000002</v>
      </c>
      <c r="I187">
        <v>240.5</v>
      </c>
      <c r="J187">
        <v>93.3</v>
      </c>
      <c r="K187">
        <v>65</v>
      </c>
      <c r="L187">
        <v>23.4</v>
      </c>
      <c r="M187">
        <v>7.5</v>
      </c>
      <c r="N187">
        <v>0.26743407710193201</v>
      </c>
      <c r="O187">
        <v>0.39693460504820199</v>
      </c>
      <c r="P187" t="str">
        <f t="shared" si="4"/>
        <v>F</v>
      </c>
      <c r="Q187" t="str">
        <f t="shared" si="5"/>
        <v>F</v>
      </c>
    </row>
    <row r="188" spans="1:17" hidden="1" x14ac:dyDescent="0.3">
      <c r="A188">
        <v>7468</v>
      </c>
      <c r="B188">
        <v>3703</v>
      </c>
      <c r="C188">
        <v>246</v>
      </c>
      <c r="D188" t="s">
        <v>23</v>
      </c>
      <c r="E188" t="s">
        <v>16</v>
      </c>
      <c r="F188" t="s">
        <v>17</v>
      </c>
      <c r="G188" t="s">
        <v>25</v>
      </c>
      <c r="H188">
        <v>278.2</v>
      </c>
      <c r="I188">
        <v>257</v>
      </c>
      <c r="J188">
        <v>97.9</v>
      </c>
      <c r="K188">
        <v>67</v>
      </c>
      <c r="L188">
        <v>24.3</v>
      </c>
      <c r="M188">
        <v>12.5</v>
      </c>
      <c r="N188">
        <v>0.15769702639647101</v>
      </c>
      <c r="O188">
        <v>0.39636389794281801</v>
      </c>
      <c r="P188" t="str">
        <f t="shared" si="4"/>
        <v>F</v>
      </c>
      <c r="Q188" t="str">
        <f t="shared" si="5"/>
        <v>F</v>
      </c>
    </row>
    <row r="189" spans="1:17" hidden="1" x14ac:dyDescent="0.3">
      <c r="A189">
        <v>7469</v>
      </c>
      <c r="B189">
        <v>3703</v>
      </c>
      <c r="C189">
        <v>246</v>
      </c>
      <c r="D189" t="s">
        <v>23</v>
      </c>
      <c r="E189" t="s">
        <v>16</v>
      </c>
      <c r="F189" t="s">
        <v>17</v>
      </c>
      <c r="G189" t="s">
        <v>25</v>
      </c>
      <c r="H189">
        <v>278.2</v>
      </c>
      <c r="I189">
        <v>257</v>
      </c>
      <c r="J189">
        <v>97.9</v>
      </c>
      <c r="K189">
        <v>67</v>
      </c>
      <c r="L189">
        <v>24.3</v>
      </c>
      <c r="M189">
        <v>12.5</v>
      </c>
      <c r="N189">
        <v>0.161350811484295</v>
      </c>
      <c r="O189">
        <v>0.39908491156055298</v>
      </c>
      <c r="P189" t="str">
        <f t="shared" si="4"/>
        <v>F</v>
      </c>
      <c r="Q189" t="str">
        <f t="shared" si="5"/>
        <v>F</v>
      </c>
    </row>
    <row r="190" spans="1:17" hidden="1" x14ac:dyDescent="0.3">
      <c r="A190">
        <v>7588</v>
      </c>
      <c r="B190">
        <v>3744</v>
      </c>
      <c r="C190">
        <v>20</v>
      </c>
      <c r="D190" t="s">
        <v>23</v>
      </c>
      <c r="E190" t="s">
        <v>16</v>
      </c>
      <c r="F190" t="s">
        <v>17</v>
      </c>
      <c r="G190" t="s">
        <v>22</v>
      </c>
      <c r="H190">
        <v>282.7</v>
      </c>
      <c r="I190">
        <v>260</v>
      </c>
      <c r="J190">
        <v>103.8</v>
      </c>
      <c r="K190">
        <v>68</v>
      </c>
      <c r="L190">
        <v>26.4</v>
      </c>
      <c r="M190">
        <v>11.5</v>
      </c>
      <c r="N190">
        <v>9.3786454594206703E-2</v>
      </c>
      <c r="O190">
        <v>0.25918364642796299</v>
      </c>
      <c r="P190" t="str">
        <f t="shared" si="4"/>
        <v>T</v>
      </c>
      <c r="Q190" t="str">
        <f t="shared" si="5"/>
        <v>F</v>
      </c>
    </row>
    <row r="191" spans="1:17" hidden="1" x14ac:dyDescent="0.3">
      <c r="A191">
        <v>7589</v>
      </c>
      <c r="B191">
        <v>3744</v>
      </c>
      <c r="C191">
        <v>20</v>
      </c>
      <c r="D191" t="s">
        <v>23</v>
      </c>
      <c r="E191" t="s">
        <v>16</v>
      </c>
      <c r="F191" t="s">
        <v>17</v>
      </c>
      <c r="G191" t="s">
        <v>22</v>
      </c>
      <c r="H191">
        <v>282.7</v>
      </c>
      <c r="I191">
        <v>260</v>
      </c>
      <c r="J191">
        <v>103.8</v>
      </c>
      <c r="K191">
        <v>68</v>
      </c>
      <c r="L191">
        <v>26.4</v>
      </c>
      <c r="M191">
        <v>11.5</v>
      </c>
      <c r="N191">
        <v>5.9083510971616203E-2</v>
      </c>
      <c r="O191">
        <v>0.25562046687805201</v>
      </c>
      <c r="P191" t="str">
        <f t="shared" si="4"/>
        <v>T</v>
      </c>
      <c r="Q191" t="str">
        <f t="shared" si="5"/>
        <v>F</v>
      </c>
    </row>
    <row r="192" spans="1:17" hidden="1" x14ac:dyDescent="0.3">
      <c r="A192">
        <v>7590</v>
      </c>
      <c r="B192">
        <v>3744</v>
      </c>
      <c r="C192">
        <v>20</v>
      </c>
      <c r="D192" t="s">
        <v>23</v>
      </c>
      <c r="E192" t="s">
        <v>16</v>
      </c>
      <c r="F192" t="s">
        <v>17</v>
      </c>
      <c r="G192" t="s">
        <v>22</v>
      </c>
      <c r="H192">
        <v>282.7</v>
      </c>
      <c r="I192">
        <v>260</v>
      </c>
      <c r="J192">
        <v>103.8</v>
      </c>
      <c r="K192">
        <v>68</v>
      </c>
      <c r="L192">
        <v>26.4</v>
      </c>
      <c r="M192">
        <v>11.5</v>
      </c>
      <c r="N192">
        <v>6.43725102469625E-2</v>
      </c>
      <c r="O192">
        <v>0.25700116888705599</v>
      </c>
      <c r="P192" t="str">
        <f t="shared" si="4"/>
        <v>T</v>
      </c>
      <c r="Q192" t="str">
        <f t="shared" si="5"/>
        <v>F</v>
      </c>
    </row>
    <row r="193" spans="1:17" hidden="1" x14ac:dyDescent="0.3">
      <c r="A193">
        <v>7591</v>
      </c>
      <c r="B193">
        <v>3744</v>
      </c>
      <c r="C193">
        <v>20</v>
      </c>
      <c r="D193" t="s">
        <v>23</v>
      </c>
      <c r="E193" t="s">
        <v>16</v>
      </c>
      <c r="F193" t="s">
        <v>17</v>
      </c>
      <c r="G193" t="s">
        <v>22</v>
      </c>
      <c r="H193">
        <v>282.7</v>
      </c>
      <c r="I193">
        <v>260</v>
      </c>
      <c r="J193">
        <v>103.8</v>
      </c>
      <c r="K193">
        <v>68</v>
      </c>
      <c r="L193">
        <v>26.4</v>
      </c>
      <c r="M193">
        <v>11.5</v>
      </c>
      <c r="N193">
        <v>7.3718135827614897E-2</v>
      </c>
      <c r="O193">
        <v>0.26728120113470499</v>
      </c>
      <c r="P193" t="str">
        <f t="shared" si="4"/>
        <v>T</v>
      </c>
      <c r="Q193" t="str">
        <f t="shared" si="5"/>
        <v>F</v>
      </c>
    </row>
    <row r="194" spans="1:17" hidden="1" x14ac:dyDescent="0.3">
      <c r="A194">
        <v>7694</v>
      </c>
      <c r="B194">
        <v>3785</v>
      </c>
      <c r="C194">
        <v>20</v>
      </c>
      <c r="D194" t="s">
        <v>23</v>
      </c>
      <c r="E194" t="s">
        <v>16</v>
      </c>
      <c r="F194" t="s">
        <v>17</v>
      </c>
      <c r="G194" t="s">
        <v>26</v>
      </c>
      <c r="H194">
        <v>282.7</v>
      </c>
      <c r="I194">
        <v>260</v>
      </c>
      <c r="J194">
        <v>103.8</v>
      </c>
      <c r="K194">
        <v>68</v>
      </c>
      <c r="L194">
        <v>26.4</v>
      </c>
      <c r="M194">
        <v>11.5</v>
      </c>
      <c r="N194">
        <v>9.6214398669421802E-2</v>
      </c>
      <c r="O194">
        <v>0.25218356332338898</v>
      </c>
      <c r="P194" t="str">
        <f t="shared" si="4"/>
        <v>T</v>
      </c>
      <c r="Q194" t="str">
        <f t="shared" si="5"/>
        <v>F</v>
      </c>
    </row>
    <row r="195" spans="1:17" x14ac:dyDescent="0.3">
      <c r="A195">
        <v>7695</v>
      </c>
      <c r="B195">
        <v>3785</v>
      </c>
      <c r="C195">
        <v>20</v>
      </c>
      <c r="D195" t="s">
        <v>23</v>
      </c>
      <c r="E195" t="s">
        <v>16</v>
      </c>
      <c r="F195" t="s">
        <v>17</v>
      </c>
      <c r="G195" t="s">
        <v>26</v>
      </c>
      <c r="H195">
        <v>282.7</v>
      </c>
      <c r="I195">
        <v>260</v>
      </c>
      <c r="J195">
        <v>103.8</v>
      </c>
      <c r="K195">
        <v>68</v>
      </c>
      <c r="L195">
        <v>26.4</v>
      </c>
      <c r="M195">
        <v>11.5</v>
      </c>
      <c r="N195">
        <v>6.5670856613984599E-2</v>
      </c>
      <c r="O195">
        <v>0.24487621755494901</v>
      </c>
      <c r="P195" t="str">
        <f t="shared" ref="P195:P258" si="6">IF(N195&lt;0.140836, "T", "F")</f>
        <v>T</v>
      </c>
      <c r="Q195" t="str">
        <f t="shared" ref="Q195:Q258" si="7">IF(O195&lt;0.245351, "T", "F")</f>
        <v>T</v>
      </c>
    </row>
    <row r="196" spans="1:17" hidden="1" x14ac:dyDescent="0.3">
      <c r="A196">
        <v>7696</v>
      </c>
      <c r="B196">
        <v>3785</v>
      </c>
      <c r="C196">
        <v>20</v>
      </c>
      <c r="D196" t="s">
        <v>23</v>
      </c>
      <c r="E196" t="s">
        <v>16</v>
      </c>
      <c r="F196" t="s">
        <v>17</v>
      </c>
      <c r="G196" t="s">
        <v>26</v>
      </c>
      <c r="H196">
        <v>282.7</v>
      </c>
      <c r="I196">
        <v>260</v>
      </c>
      <c r="J196">
        <v>103.8</v>
      </c>
      <c r="K196">
        <v>68</v>
      </c>
      <c r="L196">
        <v>26.4</v>
      </c>
      <c r="M196">
        <v>11.5</v>
      </c>
      <c r="N196">
        <v>7.0247444642590307E-2</v>
      </c>
      <c r="O196">
        <v>0.27689379030420702</v>
      </c>
      <c r="P196" t="str">
        <f t="shared" si="6"/>
        <v>T</v>
      </c>
      <c r="Q196" t="str">
        <f t="shared" si="7"/>
        <v>F</v>
      </c>
    </row>
    <row r="197" spans="1:17" hidden="1" x14ac:dyDescent="0.3">
      <c r="A197">
        <v>7697</v>
      </c>
      <c r="B197">
        <v>3785</v>
      </c>
      <c r="C197">
        <v>20</v>
      </c>
      <c r="D197" t="s">
        <v>23</v>
      </c>
      <c r="E197" t="s">
        <v>16</v>
      </c>
      <c r="F197" t="s">
        <v>17</v>
      </c>
      <c r="G197" t="s">
        <v>26</v>
      </c>
      <c r="H197">
        <v>282.7</v>
      </c>
      <c r="I197">
        <v>260</v>
      </c>
      <c r="J197">
        <v>103.8</v>
      </c>
      <c r="K197">
        <v>68</v>
      </c>
      <c r="L197">
        <v>26.4</v>
      </c>
      <c r="M197">
        <v>11.5</v>
      </c>
      <c r="N197">
        <v>7.67267543610273E-2</v>
      </c>
      <c r="O197">
        <v>0.26051436455864102</v>
      </c>
      <c r="P197" t="str">
        <f t="shared" si="6"/>
        <v>T</v>
      </c>
      <c r="Q197" t="str">
        <f t="shared" si="7"/>
        <v>F</v>
      </c>
    </row>
    <row r="198" spans="1:17" hidden="1" x14ac:dyDescent="0.3">
      <c r="A198">
        <v>7775</v>
      </c>
      <c r="B198">
        <v>3816</v>
      </c>
      <c r="C198">
        <v>246</v>
      </c>
      <c r="D198" t="s">
        <v>23</v>
      </c>
      <c r="E198" t="s">
        <v>16</v>
      </c>
      <c r="F198" t="s">
        <v>17</v>
      </c>
      <c r="G198" t="s">
        <v>26</v>
      </c>
      <c r="H198">
        <v>278.2</v>
      </c>
      <c r="I198">
        <v>257</v>
      </c>
      <c r="J198">
        <v>97.9</v>
      </c>
      <c r="K198">
        <v>67</v>
      </c>
      <c r="L198">
        <v>24.3</v>
      </c>
      <c r="M198">
        <v>12.5</v>
      </c>
      <c r="N198">
        <v>0.13976744697792201</v>
      </c>
      <c r="O198">
        <v>0.38859297605230098</v>
      </c>
      <c r="P198" t="str">
        <f t="shared" si="6"/>
        <v>T</v>
      </c>
      <c r="Q198" t="str">
        <f t="shared" si="7"/>
        <v>F</v>
      </c>
    </row>
    <row r="199" spans="1:17" hidden="1" x14ac:dyDescent="0.3">
      <c r="A199">
        <v>7776</v>
      </c>
      <c r="B199">
        <v>3816</v>
      </c>
      <c r="C199">
        <v>246</v>
      </c>
      <c r="D199" t="s">
        <v>23</v>
      </c>
      <c r="E199" t="s">
        <v>16</v>
      </c>
      <c r="F199" t="s">
        <v>17</v>
      </c>
      <c r="G199" t="s">
        <v>26</v>
      </c>
      <c r="H199">
        <v>278.2</v>
      </c>
      <c r="I199">
        <v>257</v>
      </c>
      <c r="J199">
        <v>97.9</v>
      </c>
      <c r="K199">
        <v>67</v>
      </c>
      <c r="L199">
        <v>24.3</v>
      </c>
      <c r="M199">
        <v>12.5</v>
      </c>
      <c r="N199">
        <v>0.16775196988024099</v>
      </c>
      <c r="O199">
        <v>0.39770178548510099</v>
      </c>
      <c r="P199" t="str">
        <f t="shared" si="6"/>
        <v>F</v>
      </c>
      <c r="Q199" t="str">
        <f t="shared" si="7"/>
        <v>F</v>
      </c>
    </row>
    <row r="200" spans="1:17" hidden="1" x14ac:dyDescent="0.3">
      <c r="A200">
        <v>8238</v>
      </c>
      <c r="B200">
        <v>3979</v>
      </c>
      <c r="C200">
        <v>256</v>
      </c>
      <c r="D200" t="s">
        <v>23</v>
      </c>
      <c r="E200" t="s">
        <v>16</v>
      </c>
      <c r="F200" t="s">
        <v>17</v>
      </c>
      <c r="G200" t="s">
        <v>22</v>
      </c>
      <c r="H200">
        <v>276.89999999999998</v>
      </c>
      <c r="I200">
        <v>246</v>
      </c>
      <c r="J200">
        <v>94.3</v>
      </c>
      <c r="K200">
        <v>65.5</v>
      </c>
      <c r="L200">
        <v>25.1</v>
      </c>
      <c r="M200">
        <v>6</v>
      </c>
      <c r="N200">
        <v>0.224429630182956</v>
      </c>
      <c r="O200">
        <v>0.41609264424453202</v>
      </c>
      <c r="P200" t="str">
        <f t="shared" si="6"/>
        <v>F</v>
      </c>
      <c r="Q200" t="str">
        <f t="shared" si="7"/>
        <v>F</v>
      </c>
    </row>
    <row r="201" spans="1:17" hidden="1" x14ac:dyDescent="0.3">
      <c r="A201">
        <v>8239</v>
      </c>
      <c r="B201">
        <v>3979</v>
      </c>
      <c r="C201">
        <v>256</v>
      </c>
      <c r="D201" t="s">
        <v>23</v>
      </c>
      <c r="E201" t="s">
        <v>16</v>
      </c>
      <c r="F201" t="s">
        <v>17</v>
      </c>
      <c r="G201" t="s">
        <v>22</v>
      </c>
      <c r="H201">
        <v>276.89999999999998</v>
      </c>
      <c r="I201">
        <v>246</v>
      </c>
      <c r="J201">
        <v>94.3</v>
      </c>
      <c r="K201">
        <v>65.5</v>
      </c>
      <c r="L201">
        <v>25.1</v>
      </c>
      <c r="M201">
        <v>6</v>
      </c>
      <c r="N201">
        <v>0.21098196738595401</v>
      </c>
      <c r="O201">
        <v>0.39754585463474101</v>
      </c>
      <c r="P201" t="str">
        <f t="shared" si="6"/>
        <v>F</v>
      </c>
      <c r="Q201" t="str">
        <f t="shared" si="7"/>
        <v>F</v>
      </c>
    </row>
    <row r="202" spans="1:17" hidden="1" x14ac:dyDescent="0.3">
      <c r="A202">
        <v>8329</v>
      </c>
      <c r="B202">
        <v>406</v>
      </c>
      <c r="C202">
        <v>461</v>
      </c>
      <c r="D202" t="s">
        <v>23</v>
      </c>
      <c r="E202" t="s">
        <v>16</v>
      </c>
      <c r="F202" t="s">
        <v>21</v>
      </c>
      <c r="G202" t="s">
        <v>18</v>
      </c>
      <c r="H202">
        <v>276.60000000000002</v>
      </c>
      <c r="I202">
        <v>260.5</v>
      </c>
      <c r="J202">
        <v>98.2</v>
      </c>
      <c r="K202">
        <v>68</v>
      </c>
      <c r="L202">
        <v>26.5</v>
      </c>
      <c r="M202">
        <v>6</v>
      </c>
      <c r="N202">
        <v>0.218455645500235</v>
      </c>
      <c r="O202">
        <v>0.27364102853144001</v>
      </c>
      <c r="P202" t="str">
        <f t="shared" si="6"/>
        <v>F</v>
      </c>
      <c r="Q202" t="str">
        <f t="shared" si="7"/>
        <v>F</v>
      </c>
    </row>
    <row r="203" spans="1:17" hidden="1" x14ac:dyDescent="0.3">
      <c r="A203">
        <v>8330</v>
      </c>
      <c r="B203">
        <v>406</v>
      </c>
      <c r="C203">
        <v>461</v>
      </c>
      <c r="D203" t="s">
        <v>23</v>
      </c>
      <c r="E203" t="s">
        <v>16</v>
      </c>
      <c r="F203" t="s">
        <v>21</v>
      </c>
      <c r="G203" t="s">
        <v>18</v>
      </c>
      <c r="H203">
        <v>276.60000000000002</v>
      </c>
      <c r="I203">
        <v>260.5</v>
      </c>
      <c r="J203">
        <v>98.2</v>
      </c>
      <c r="K203">
        <v>68</v>
      </c>
      <c r="L203">
        <v>26.5</v>
      </c>
      <c r="M203">
        <v>6</v>
      </c>
      <c r="N203">
        <v>0.189562959230477</v>
      </c>
      <c r="O203">
        <v>0.27689812606782699</v>
      </c>
      <c r="P203" t="str">
        <f t="shared" si="6"/>
        <v>F</v>
      </c>
      <c r="Q203" t="str">
        <f t="shared" si="7"/>
        <v>F</v>
      </c>
    </row>
    <row r="204" spans="1:17" hidden="1" x14ac:dyDescent="0.3">
      <c r="A204">
        <v>8331</v>
      </c>
      <c r="B204">
        <v>406</v>
      </c>
      <c r="C204">
        <v>461</v>
      </c>
      <c r="D204" t="s">
        <v>23</v>
      </c>
      <c r="E204" t="s">
        <v>16</v>
      </c>
      <c r="F204" t="s">
        <v>21</v>
      </c>
      <c r="G204" t="s">
        <v>18</v>
      </c>
      <c r="H204">
        <v>276.60000000000002</v>
      </c>
      <c r="I204">
        <v>260.5</v>
      </c>
      <c r="J204">
        <v>98.2</v>
      </c>
      <c r="K204">
        <v>68</v>
      </c>
      <c r="L204">
        <v>26.5</v>
      </c>
      <c r="M204">
        <v>6</v>
      </c>
      <c r="N204">
        <v>0.20392996524021301</v>
      </c>
      <c r="O204">
        <v>0.26620103136176598</v>
      </c>
      <c r="P204" t="str">
        <f t="shared" si="6"/>
        <v>F</v>
      </c>
      <c r="Q204" t="str">
        <f t="shared" si="7"/>
        <v>F</v>
      </c>
    </row>
    <row r="205" spans="1:17" hidden="1" x14ac:dyDescent="0.3">
      <c r="A205">
        <v>8472</v>
      </c>
      <c r="B205">
        <v>464</v>
      </c>
      <c r="C205">
        <v>184</v>
      </c>
      <c r="D205" t="s">
        <v>23</v>
      </c>
      <c r="E205" t="s">
        <v>16</v>
      </c>
      <c r="F205" t="s">
        <v>17</v>
      </c>
      <c r="G205" t="s">
        <v>26</v>
      </c>
      <c r="H205">
        <v>277</v>
      </c>
      <c r="I205">
        <v>265</v>
      </c>
      <c r="J205">
        <v>101.5</v>
      </c>
      <c r="K205">
        <v>70</v>
      </c>
      <c r="L205">
        <v>30.4</v>
      </c>
      <c r="M205">
        <v>9</v>
      </c>
      <c r="N205">
        <v>5.2765873457406999E-2</v>
      </c>
      <c r="O205">
        <v>0.27560833361461001</v>
      </c>
      <c r="P205" t="str">
        <f t="shared" si="6"/>
        <v>T</v>
      </c>
      <c r="Q205" t="str">
        <f t="shared" si="7"/>
        <v>F</v>
      </c>
    </row>
    <row r="206" spans="1:17" hidden="1" x14ac:dyDescent="0.3">
      <c r="A206">
        <v>8559</v>
      </c>
      <c r="B206">
        <v>496</v>
      </c>
      <c r="C206">
        <v>279</v>
      </c>
      <c r="D206" t="s">
        <v>23</v>
      </c>
      <c r="E206" t="s">
        <v>16</v>
      </c>
      <c r="F206" t="s">
        <v>17</v>
      </c>
      <c r="G206" t="s">
        <v>26</v>
      </c>
      <c r="H206">
        <v>273.8</v>
      </c>
      <c r="I206">
        <v>248.5</v>
      </c>
      <c r="J206">
        <v>97.9</v>
      </c>
      <c r="K206">
        <v>65.5</v>
      </c>
      <c r="L206">
        <v>24.9</v>
      </c>
      <c r="M206">
        <v>4</v>
      </c>
      <c r="N206">
        <v>0.23364526275754699</v>
      </c>
      <c r="O206">
        <v>0.38372460294972099</v>
      </c>
      <c r="P206" t="str">
        <f t="shared" si="6"/>
        <v>F</v>
      </c>
      <c r="Q206" t="str">
        <f t="shared" si="7"/>
        <v>F</v>
      </c>
    </row>
    <row r="207" spans="1:17" hidden="1" x14ac:dyDescent="0.3">
      <c r="A207">
        <v>8695</v>
      </c>
      <c r="B207">
        <v>54</v>
      </c>
      <c r="C207">
        <v>256</v>
      </c>
      <c r="D207" t="s">
        <v>23</v>
      </c>
      <c r="E207" t="s">
        <v>16</v>
      </c>
      <c r="F207" t="s">
        <v>17</v>
      </c>
      <c r="G207" t="s">
        <v>24</v>
      </c>
      <c r="H207">
        <v>276.89999999999998</v>
      </c>
      <c r="I207">
        <v>246</v>
      </c>
      <c r="J207">
        <v>94.3</v>
      </c>
      <c r="K207">
        <v>65.5</v>
      </c>
      <c r="L207">
        <v>25.1</v>
      </c>
      <c r="M207">
        <v>6</v>
      </c>
      <c r="N207">
        <v>0.20574177145613101</v>
      </c>
      <c r="O207">
        <v>0.403578707616157</v>
      </c>
      <c r="P207" t="str">
        <f t="shared" si="6"/>
        <v>F</v>
      </c>
      <c r="Q207" t="str">
        <f t="shared" si="7"/>
        <v>F</v>
      </c>
    </row>
    <row r="208" spans="1:17" hidden="1" x14ac:dyDescent="0.3">
      <c r="A208">
        <v>8696</v>
      </c>
      <c r="B208">
        <v>54</v>
      </c>
      <c r="C208">
        <v>256</v>
      </c>
      <c r="D208" t="s">
        <v>23</v>
      </c>
      <c r="E208" t="s">
        <v>16</v>
      </c>
      <c r="F208" t="s">
        <v>17</v>
      </c>
      <c r="G208" t="s">
        <v>24</v>
      </c>
      <c r="H208">
        <v>276.89999999999998</v>
      </c>
      <c r="I208">
        <v>246</v>
      </c>
      <c r="J208">
        <v>94.3</v>
      </c>
      <c r="K208">
        <v>65.5</v>
      </c>
      <c r="L208">
        <v>25.1</v>
      </c>
      <c r="M208">
        <v>6</v>
      </c>
      <c r="N208">
        <v>0.228114237660382</v>
      </c>
      <c r="O208">
        <v>0.42230319104867597</v>
      </c>
      <c r="P208" t="str">
        <f t="shared" si="6"/>
        <v>F</v>
      </c>
      <c r="Q208" t="str">
        <f t="shared" si="7"/>
        <v>F</v>
      </c>
    </row>
    <row r="209" spans="1:17" hidden="1" x14ac:dyDescent="0.3">
      <c r="A209">
        <v>8697</v>
      </c>
      <c r="B209">
        <v>54</v>
      </c>
      <c r="C209">
        <v>256</v>
      </c>
      <c r="D209" t="s">
        <v>23</v>
      </c>
      <c r="E209" t="s">
        <v>16</v>
      </c>
      <c r="F209" t="s">
        <v>17</v>
      </c>
      <c r="G209" t="s">
        <v>24</v>
      </c>
      <c r="H209">
        <v>276.89999999999998</v>
      </c>
      <c r="I209">
        <v>246</v>
      </c>
      <c r="J209">
        <v>94.3</v>
      </c>
      <c r="K209">
        <v>65.5</v>
      </c>
      <c r="L209">
        <v>25.1</v>
      </c>
      <c r="M209">
        <v>6</v>
      </c>
      <c r="N209">
        <v>0.19428793988545701</v>
      </c>
      <c r="O209">
        <v>0.41546047899515598</v>
      </c>
      <c r="P209" t="str">
        <f t="shared" si="6"/>
        <v>F</v>
      </c>
      <c r="Q209" t="str">
        <f t="shared" si="7"/>
        <v>F</v>
      </c>
    </row>
    <row r="210" spans="1:17" hidden="1" x14ac:dyDescent="0.3">
      <c r="A210">
        <v>8698</v>
      </c>
      <c r="B210">
        <v>54</v>
      </c>
      <c r="C210">
        <v>256</v>
      </c>
      <c r="D210" t="s">
        <v>23</v>
      </c>
      <c r="E210" t="s">
        <v>16</v>
      </c>
      <c r="F210" t="s">
        <v>17</v>
      </c>
      <c r="G210" t="s">
        <v>24</v>
      </c>
      <c r="H210">
        <v>276.89999999999998</v>
      </c>
      <c r="I210">
        <v>246</v>
      </c>
      <c r="J210">
        <v>94.3</v>
      </c>
      <c r="K210">
        <v>65.5</v>
      </c>
      <c r="L210">
        <v>25.1</v>
      </c>
      <c r="M210">
        <v>6</v>
      </c>
      <c r="N210">
        <v>0.22791976132574199</v>
      </c>
      <c r="O210">
        <v>0.42307090827238297</v>
      </c>
      <c r="P210" t="str">
        <f t="shared" si="6"/>
        <v>F</v>
      </c>
      <c r="Q210" t="str">
        <f t="shared" si="7"/>
        <v>F</v>
      </c>
    </row>
    <row r="211" spans="1:17" hidden="1" x14ac:dyDescent="0.3">
      <c r="A211">
        <v>8699</v>
      </c>
      <c r="B211">
        <v>54</v>
      </c>
      <c r="C211">
        <v>256</v>
      </c>
      <c r="D211" t="s">
        <v>23</v>
      </c>
      <c r="E211" t="s">
        <v>16</v>
      </c>
      <c r="F211" t="s">
        <v>17</v>
      </c>
      <c r="G211" t="s">
        <v>24</v>
      </c>
      <c r="H211">
        <v>276.89999999999998</v>
      </c>
      <c r="I211">
        <v>246</v>
      </c>
      <c r="J211">
        <v>94.3</v>
      </c>
      <c r="K211">
        <v>65.5</v>
      </c>
      <c r="L211">
        <v>25.1</v>
      </c>
      <c r="M211">
        <v>6</v>
      </c>
      <c r="N211">
        <v>0.21581181969090099</v>
      </c>
      <c r="O211">
        <v>0.41388797141089501</v>
      </c>
      <c r="P211" t="str">
        <f t="shared" si="6"/>
        <v>F</v>
      </c>
      <c r="Q211" t="str">
        <f t="shared" si="7"/>
        <v>F</v>
      </c>
    </row>
    <row r="212" spans="1:17" hidden="1" x14ac:dyDescent="0.3">
      <c r="A212">
        <v>8717</v>
      </c>
      <c r="B212">
        <v>549</v>
      </c>
      <c r="C212">
        <v>256</v>
      </c>
      <c r="D212" t="s">
        <v>23</v>
      </c>
      <c r="E212" t="s">
        <v>16</v>
      </c>
      <c r="F212" t="s">
        <v>21</v>
      </c>
      <c r="G212" t="s">
        <v>26</v>
      </c>
      <c r="H212">
        <v>276.89999999999998</v>
      </c>
      <c r="I212">
        <v>246</v>
      </c>
      <c r="J212">
        <v>94.3</v>
      </c>
      <c r="K212">
        <v>65.5</v>
      </c>
      <c r="L212">
        <v>25.1</v>
      </c>
      <c r="M212">
        <v>6</v>
      </c>
      <c r="N212">
        <v>0.22388369210476899</v>
      </c>
      <c r="O212">
        <v>0.39653333040994398</v>
      </c>
      <c r="P212" t="str">
        <f t="shared" si="6"/>
        <v>F</v>
      </c>
      <c r="Q212" t="str">
        <f t="shared" si="7"/>
        <v>F</v>
      </c>
    </row>
    <row r="213" spans="1:17" hidden="1" x14ac:dyDescent="0.3">
      <c r="A213">
        <v>8718</v>
      </c>
      <c r="B213">
        <v>549</v>
      </c>
      <c r="C213">
        <v>256</v>
      </c>
      <c r="D213" t="s">
        <v>23</v>
      </c>
      <c r="E213" t="s">
        <v>16</v>
      </c>
      <c r="F213" t="s">
        <v>21</v>
      </c>
      <c r="G213" t="s">
        <v>26</v>
      </c>
      <c r="H213">
        <v>276.89999999999998</v>
      </c>
      <c r="I213">
        <v>246</v>
      </c>
      <c r="J213">
        <v>94.3</v>
      </c>
      <c r="K213">
        <v>65.5</v>
      </c>
      <c r="L213">
        <v>25.1</v>
      </c>
      <c r="M213">
        <v>6</v>
      </c>
      <c r="N213">
        <v>0.20129444869024599</v>
      </c>
      <c r="O213">
        <v>0.40468580343313498</v>
      </c>
      <c r="P213" t="str">
        <f t="shared" si="6"/>
        <v>F</v>
      </c>
      <c r="Q213" t="str">
        <f t="shared" si="7"/>
        <v>F</v>
      </c>
    </row>
    <row r="214" spans="1:17" hidden="1" x14ac:dyDescent="0.3">
      <c r="A214">
        <v>8719</v>
      </c>
      <c r="B214">
        <v>549</v>
      </c>
      <c r="C214">
        <v>256</v>
      </c>
      <c r="D214" t="s">
        <v>23</v>
      </c>
      <c r="E214" t="s">
        <v>16</v>
      </c>
      <c r="F214" t="s">
        <v>21</v>
      </c>
      <c r="G214" t="s">
        <v>26</v>
      </c>
      <c r="H214">
        <v>276.89999999999998</v>
      </c>
      <c r="I214">
        <v>246</v>
      </c>
      <c r="J214">
        <v>94.3</v>
      </c>
      <c r="K214">
        <v>65.5</v>
      </c>
      <c r="L214">
        <v>25.1</v>
      </c>
      <c r="M214">
        <v>6</v>
      </c>
      <c r="N214">
        <v>0.221968526262349</v>
      </c>
      <c r="O214">
        <v>0.41433282128246302</v>
      </c>
      <c r="P214" t="str">
        <f t="shared" si="6"/>
        <v>F</v>
      </c>
      <c r="Q214" t="str">
        <f t="shared" si="7"/>
        <v>F</v>
      </c>
    </row>
    <row r="215" spans="1:17" hidden="1" x14ac:dyDescent="0.3">
      <c r="A215">
        <v>8839</v>
      </c>
      <c r="B215">
        <v>59</v>
      </c>
      <c r="C215">
        <v>31</v>
      </c>
      <c r="D215" t="s">
        <v>23</v>
      </c>
      <c r="E215" t="s">
        <v>16</v>
      </c>
      <c r="F215" t="s">
        <v>17</v>
      </c>
      <c r="G215" t="s">
        <v>24</v>
      </c>
      <c r="H215">
        <v>274</v>
      </c>
      <c r="I215">
        <v>250</v>
      </c>
      <c r="J215">
        <v>99.4</v>
      </c>
      <c r="K215">
        <v>68.5</v>
      </c>
      <c r="L215">
        <v>23.2</v>
      </c>
      <c r="M215">
        <v>10</v>
      </c>
      <c r="N215">
        <v>0.199477734928037</v>
      </c>
      <c r="O215">
        <v>0.176864935152548</v>
      </c>
      <c r="P215" t="str">
        <f t="shared" si="6"/>
        <v>F</v>
      </c>
      <c r="Q215" t="str">
        <f t="shared" si="7"/>
        <v>T</v>
      </c>
    </row>
    <row r="216" spans="1:17" hidden="1" x14ac:dyDescent="0.3">
      <c r="A216">
        <v>8840</v>
      </c>
      <c r="B216">
        <v>59</v>
      </c>
      <c r="C216">
        <v>31</v>
      </c>
      <c r="D216" t="s">
        <v>23</v>
      </c>
      <c r="E216" t="s">
        <v>16</v>
      </c>
      <c r="F216" t="s">
        <v>17</v>
      </c>
      <c r="G216" t="s">
        <v>24</v>
      </c>
      <c r="H216">
        <v>274</v>
      </c>
      <c r="I216">
        <v>250</v>
      </c>
      <c r="J216">
        <v>99.4</v>
      </c>
      <c r="K216">
        <v>68.5</v>
      </c>
      <c r="L216">
        <v>23.2</v>
      </c>
      <c r="M216">
        <v>10</v>
      </c>
      <c r="N216">
        <v>0.20895218597179399</v>
      </c>
      <c r="O216">
        <v>0.151011664561921</v>
      </c>
      <c r="P216" t="str">
        <f t="shared" si="6"/>
        <v>F</v>
      </c>
      <c r="Q216" t="str">
        <f t="shared" si="7"/>
        <v>T</v>
      </c>
    </row>
    <row r="217" spans="1:17" hidden="1" x14ac:dyDescent="0.3">
      <c r="A217">
        <v>8841</v>
      </c>
      <c r="B217">
        <v>59</v>
      </c>
      <c r="C217">
        <v>31</v>
      </c>
      <c r="D217" t="s">
        <v>23</v>
      </c>
      <c r="E217" t="s">
        <v>16</v>
      </c>
      <c r="F217" t="s">
        <v>17</v>
      </c>
      <c r="G217" t="s">
        <v>24</v>
      </c>
      <c r="H217">
        <v>274</v>
      </c>
      <c r="I217">
        <v>250</v>
      </c>
      <c r="J217">
        <v>99.4</v>
      </c>
      <c r="K217">
        <v>68.5</v>
      </c>
      <c r="L217">
        <v>23.2</v>
      </c>
      <c r="M217">
        <v>10</v>
      </c>
      <c r="N217">
        <v>0.183382608918018</v>
      </c>
      <c r="O217">
        <v>0.15411520403988899</v>
      </c>
      <c r="P217" t="str">
        <f t="shared" si="6"/>
        <v>F</v>
      </c>
      <c r="Q217" t="str">
        <f t="shared" si="7"/>
        <v>T</v>
      </c>
    </row>
    <row r="218" spans="1:17" hidden="1" x14ac:dyDescent="0.3">
      <c r="A218">
        <v>8960</v>
      </c>
      <c r="B218">
        <v>63</v>
      </c>
      <c r="C218">
        <v>454</v>
      </c>
      <c r="D218" t="s">
        <v>23</v>
      </c>
      <c r="E218" t="s">
        <v>16</v>
      </c>
      <c r="F218" t="s">
        <v>17</v>
      </c>
      <c r="G218" t="s">
        <v>26</v>
      </c>
      <c r="H218">
        <v>272.8</v>
      </c>
      <c r="I218">
        <v>242.5</v>
      </c>
      <c r="J218">
        <v>92.2</v>
      </c>
      <c r="K218">
        <v>67</v>
      </c>
      <c r="L218">
        <v>26.4</v>
      </c>
      <c r="M218">
        <v>6</v>
      </c>
      <c r="N218">
        <v>0.19330075997129201</v>
      </c>
      <c r="O218">
        <v>0.32267189799837298</v>
      </c>
      <c r="P218" t="str">
        <f t="shared" si="6"/>
        <v>F</v>
      </c>
      <c r="Q218" t="str">
        <f t="shared" si="7"/>
        <v>F</v>
      </c>
    </row>
    <row r="219" spans="1:17" hidden="1" x14ac:dyDescent="0.3">
      <c r="A219">
        <v>8961</v>
      </c>
      <c r="B219">
        <v>63</v>
      </c>
      <c r="C219">
        <v>454</v>
      </c>
      <c r="D219" t="s">
        <v>23</v>
      </c>
      <c r="E219" t="s">
        <v>16</v>
      </c>
      <c r="F219" t="s">
        <v>17</v>
      </c>
      <c r="G219" t="s">
        <v>26</v>
      </c>
      <c r="H219">
        <v>272.8</v>
      </c>
      <c r="I219">
        <v>242.5</v>
      </c>
      <c r="J219">
        <v>92.2</v>
      </c>
      <c r="K219">
        <v>67</v>
      </c>
      <c r="L219">
        <v>26.4</v>
      </c>
      <c r="M219">
        <v>6</v>
      </c>
      <c r="N219">
        <v>0.18788827381083101</v>
      </c>
      <c r="O219">
        <v>0.30422785951551201</v>
      </c>
      <c r="P219" t="str">
        <f t="shared" si="6"/>
        <v>F</v>
      </c>
      <c r="Q219" t="str">
        <f t="shared" si="7"/>
        <v>F</v>
      </c>
    </row>
    <row r="220" spans="1:17" hidden="1" x14ac:dyDescent="0.3">
      <c r="A220">
        <v>8962</v>
      </c>
      <c r="B220">
        <v>63</v>
      </c>
      <c r="C220">
        <v>454</v>
      </c>
      <c r="D220" t="s">
        <v>23</v>
      </c>
      <c r="E220" t="s">
        <v>16</v>
      </c>
      <c r="F220" t="s">
        <v>17</v>
      </c>
      <c r="G220" t="s">
        <v>26</v>
      </c>
      <c r="H220">
        <v>272.8</v>
      </c>
      <c r="I220">
        <v>242.5</v>
      </c>
      <c r="J220">
        <v>92.2</v>
      </c>
      <c r="K220">
        <v>67</v>
      </c>
      <c r="L220">
        <v>26.4</v>
      </c>
      <c r="M220">
        <v>6</v>
      </c>
      <c r="N220">
        <v>0.20236254609239199</v>
      </c>
      <c r="O220">
        <v>0.31784502387076402</v>
      </c>
      <c r="P220" t="str">
        <f t="shared" si="6"/>
        <v>F</v>
      </c>
      <c r="Q220" t="str">
        <f t="shared" si="7"/>
        <v>F</v>
      </c>
    </row>
    <row r="221" spans="1:17" hidden="1" x14ac:dyDescent="0.3">
      <c r="A221">
        <v>8963</v>
      </c>
      <c r="B221">
        <v>63</v>
      </c>
      <c r="C221">
        <v>454</v>
      </c>
      <c r="D221" t="s">
        <v>23</v>
      </c>
      <c r="E221" t="s">
        <v>16</v>
      </c>
      <c r="F221" t="s">
        <v>17</v>
      </c>
      <c r="G221" t="s">
        <v>26</v>
      </c>
      <c r="H221">
        <v>272.8</v>
      </c>
      <c r="I221">
        <v>242.5</v>
      </c>
      <c r="J221">
        <v>92.2</v>
      </c>
      <c r="K221">
        <v>67</v>
      </c>
      <c r="L221">
        <v>26.4</v>
      </c>
      <c r="M221">
        <v>6</v>
      </c>
      <c r="N221">
        <v>0.18523962341734301</v>
      </c>
      <c r="O221">
        <v>0.31536440774766</v>
      </c>
      <c r="P221" t="str">
        <f t="shared" si="6"/>
        <v>F</v>
      </c>
      <c r="Q221" t="str">
        <f t="shared" si="7"/>
        <v>F</v>
      </c>
    </row>
    <row r="222" spans="1:17" hidden="1" x14ac:dyDescent="0.3">
      <c r="A222">
        <v>8964</v>
      </c>
      <c r="B222">
        <v>63</v>
      </c>
      <c r="C222">
        <v>454</v>
      </c>
      <c r="D222" t="s">
        <v>23</v>
      </c>
      <c r="E222" t="s">
        <v>16</v>
      </c>
      <c r="F222" t="s">
        <v>17</v>
      </c>
      <c r="G222" t="s">
        <v>26</v>
      </c>
      <c r="H222">
        <v>272.8</v>
      </c>
      <c r="I222">
        <v>242.5</v>
      </c>
      <c r="J222">
        <v>92.2</v>
      </c>
      <c r="K222">
        <v>67</v>
      </c>
      <c r="L222">
        <v>26.4</v>
      </c>
      <c r="M222">
        <v>6</v>
      </c>
      <c r="N222">
        <v>0.21438951253420299</v>
      </c>
      <c r="O222">
        <v>0.31523479860647002</v>
      </c>
      <c r="P222" t="str">
        <f t="shared" si="6"/>
        <v>F</v>
      </c>
      <c r="Q222" t="str">
        <f t="shared" si="7"/>
        <v>F</v>
      </c>
    </row>
    <row r="223" spans="1:17" hidden="1" x14ac:dyDescent="0.3">
      <c r="A223">
        <v>8971</v>
      </c>
      <c r="B223">
        <v>633</v>
      </c>
      <c r="C223">
        <v>461</v>
      </c>
      <c r="D223" t="s">
        <v>23</v>
      </c>
      <c r="E223" t="s">
        <v>16</v>
      </c>
      <c r="F223" t="s">
        <v>21</v>
      </c>
      <c r="G223" t="s">
        <v>22</v>
      </c>
      <c r="H223">
        <v>276.60000000000002</v>
      </c>
      <c r="I223">
        <v>260.5</v>
      </c>
      <c r="J223">
        <v>98.2</v>
      </c>
      <c r="K223">
        <v>68</v>
      </c>
      <c r="L223">
        <v>26.5</v>
      </c>
      <c r="M223">
        <v>6</v>
      </c>
      <c r="N223">
        <v>0.21198941145882799</v>
      </c>
      <c r="O223">
        <v>0.26211654829820402</v>
      </c>
      <c r="P223" t="str">
        <f t="shared" si="6"/>
        <v>F</v>
      </c>
      <c r="Q223" t="str">
        <f t="shared" si="7"/>
        <v>F</v>
      </c>
    </row>
    <row r="224" spans="1:17" hidden="1" x14ac:dyDescent="0.3">
      <c r="A224">
        <v>8972</v>
      </c>
      <c r="B224">
        <v>633</v>
      </c>
      <c r="C224">
        <v>461</v>
      </c>
      <c r="D224" t="s">
        <v>23</v>
      </c>
      <c r="E224" t="s">
        <v>16</v>
      </c>
      <c r="F224" t="s">
        <v>21</v>
      </c>
      <c r="G224" t="s">
        <v>22</v>
      </c>
      <c r="H224">
        <v>276.60000000000002</v>
      </c>
      <c r="I224">
        <v>260.5</v>
      </c>
      <c r="J224">
        <v>98.2</v>
      </c>
      <c r="K224">
        <v>68</v>
      </c>
      <c r="L224">
        <v>26.5</v>
      </c>
      <c r="M224">
        <v>6</v>
      </c>
      <c r="N224">
        <v>0.19814222791140901</v>
      </c>
      <c r="O224">
        <v>0.27015765715485901</v>
      </c>
      <c r="P224" t="str">
        <f t="shared" si="6"/>
        <v>F</v>
      </c>
      <c r="Q224" t="str">
        <f t="shared" si="7"/>
        <v>F</v>
      </c>
    </row>
    <row r="225" spans="1:17" hidden="1" x14ac:dyDescent="0.3">
      <c r="A225">
        <v>8973</v>
      </c>
      <c r="B225">
        <v>633</v>
      </c>
      <c r="C225">
        <v>461</v>
      </c>
      <c r="D225" t="s">
        <v>23</v>
      </c>
      <c r="E225" t="s">
        <v>16</v>
      </c>
      <c r="F225" t="s">
        <v>21</v>
      </c>
      <c r="G225" t="s">
        <v>22</v>
      </c>
      <c r="H225">
        <v>276.60000000000002</v>
      </c>
      <c r="I225">
        <v>260.5</v>
      </c>
      <c r="J225">
        <v>98.2</v>
      </c>
      <c r="K225">
        <v>68</v>
      </c>
      <c r="L225">
        <v>26.5</v>
      </c>
      <c r="M225">
        <v>6</v>
      </c>
      <c r="N225">
        <v>0.20929956003651801</v>
      </c>
      <c r="O225">
        <v>0.26084219072257903</v>
      </c>
      <c r="P225" t="str">
        <f t="shared" si="6"/>
        <v>F</v>
      </c>
      <c r="Q225" t="str">
        <f t="shared" si="7"/>
        <v>F</v>
      </c>
    </row>
    <row r="226" spans="1:17" hidden="1" x14ac:dyDescent="0.3">
      <c r="A226">
        <v>8974</v>
      </c>
      <c r="B226">
        <v>633</v>
      </c>
      <c r="C226">
        <v>461</v>
      </c>
      <c r="D226" t="s">
        <v>23</v>
      </c>
      <c r="E226" t="s">
        <v>16</v>
      </c>
      <c r="F226" t="s">
        <v>21</v>
      </c>
      <c r="G226" t="s">
        <v>22</v>
      </c>
      <c r="H226">
        <v>276.60000000000002</v>
      </c>
      <c r="I226">
        <v>260.5</v>
      </c>
      <c r="J226">
        <v>98.2</v>
      </c>
      <c r="K226">
        <v>68</v>
      </c>
      <c r="L226">
        <v>26.5</v>
      </c>
      <c r="M226">
        <v>6</v>
      </c>
      <c r="N226">
        <v>0.22183598790646999</v>
      </c>
      <c r="O226">
        <v>0.25513084515850398</v>
      </c>
      <c r="P226" t="str">
        <f t="shared" si="6"/>
        <v>F</v>
      </c>
      <c r="Q226" t="str">
        <f t="shared" si="7"/>
        <v>F</v>
      </c>
    </row>
    <row r="227" spans="1:17" hidden="1" x14ac:dyDescent="0.3">
      <c r="A227">
        <v>8992</v>
      </c>
      <c r="B227">
        <v>640</v>
      </c>
      <c r="C227">
        <v>31</v>
      </c>
      <c r="D227" t="s">
        <v>23</v>
      </c>
      <c r="E227" t="s">
        <v>16</v>
      </c>
      <c r="F227" t="s">
        <v>21</v>
      </c>
      <c r="G227" t="s">
        <v>24</v>
      </c>
      <c r="H227">
        <v>274</v>
      </c>
      <c r="I227">
        <v>250</v>
      </c>
      <c r="J227">
        <v>99.4</v>
      </c>
      <c r="K227">
        <v>68.5</v>
      </c>
      <c r="L227">
        <v>23.2</v>
      </c>
      <c r="M227">
        <v>10</v>
      </c>
      <c r="N227">
        <v>0.20352115014594899</v>
      </c>
      <c r="O227">
        <v>0.175408047810995</v>
      </c>
      <c r="P227" t="str">
        <f t="shared" si="6"/>
        <v>F</v>
      </c>
      <c r="Q227" t="str">
        <f t="shared" si="7"/>
        <v>T</v>
      </c>
    </row>
    <row r="228" spans="1:17" hidden="1" x14ac:dyDescent="0.3">
      <c r="A228">
        <v>9006</v>
      </c>
      <c r="B228">
        <v>644</v>
      </c>
      <c r="C228">
        <v>246</v>
      </c>
      <c r="D228" t="s">
        <v>23</v>
      </c>
      <c r="E228" t="s">
        <v>16</v>
      </c>
      <c r="F228" t="s">
        <v>17</v>
      </c>
      <c r="G228" t="s">
        <v>24</v>
      </c>
      <c r="H228">
        <v>278.2</v>
      </c>
      <c r="I228">
        <v>257</v>
      </c>
      <c r="J228">
        <v>97.9</v>
      </c>
      <c r="K228">
        <v>67</v>
      </c>
      <c r="L228">
        <v>24.3</v>
      </c>
      <c r="M228">
        <v>12.5</v>
      </c>
      <c r="N228">
        <v>0.174308628659399</v>
      </c>
      <c r="O228">
        <v>0.403061326263219</v>
      </c>
      <c r="P228" t="str">
        <f t="shared" si="6"/>
        <v>F</v>
      </c>
      <c r="Q228" t="str">
        <f t="shared" si="7"/>
        <v>F</v>
      </c>
    </row>
    <row r="229" spans="1:17" hidden="1" x14ac:dyDescent="0.3">
      <c r="A229">
        <v>9007</v>
      </c>
      <c r="B229">
        <v>644</v>
      </c>
      <c r="C229">
        <v>246</v>
      </c>
      <c r="D229" t="s">
        <v>23</v>
      </c>
      <c r="E229" t="s">
        <v>16</v>
      </c>
      <c r="F229" t="s">
        <v>17</v>
      </c>
      <c r="G229" t="s">
        <v>24</v>
      </c>
      <c r="H229">
        <v>278.2</v>
      </c>
      <c r="I229">
        <v>257</v>
      </c>
      <c r="J229">
        <v>97.9</v>
      </c>
      <c r="K229">
        <v>67</v>
      </c>
      <c r="L229">
        <v>24.3</v>
      </c>
      <c r="M229">
        <v>12.5</v>
      </c>
      <c r="N229">
        <v>0.158789042090032</v>
      </c>
      <c r="O229">
        <v>0.39928323958157502</v>
      </c>
      <c r="P229" t="str">
        <f t="shared" si="6"/>
        <v>F</v>
      </c>
      <c r="Q229" t="str">
        <f t="shared" si="7"/>
        <v>F</v>
      </c>
    </row>
    <row r="230" spans="1:17" hidden="1" x14ac:dyDescent="0.3">
      <c r="A230">
        <v>9008</v>
      </c>
      <c r="B230">
        <v>644</v>
      </c>
      <c r="C230">
        <v>246</v>
      </c>
      <c r="D230" t="s">
        <v>23</v>
      </c>
      <c r="E230" t="s">
        <v>16</v>
      </c>
      <c r="F230" t="s">
        <v>17</v>
      </c>
      <c r="G230" t="s">
        <v>24</v>
      </c>
      <c r="H230">
        <v>278.2</v>
      </c>
      <c r="I230">
        <v>257</v>
      </c>
      <c r="J230">
        <v>97.9</v>
      </c>
      <c r="K230">
        <v>67</v>
      </c>
      <c r="L230">
        <v>24.3</v>
      </c>
      <c r="M230">
        <v>12.5</v>
      </c>
      <c r="N230">
        <v>0.16925136935193699</v>
      </c>
      <c r="O230">
        <v>0.38732915576135901</v>
      </c>
      <c r="P230" t="str">
        <f t="shared" si="6"/>
        <v>F</v>
      </c>
      <c r="Q230" t="str">
        <f t="shared" si="7"/>
        <v>F</v>
      </c>
    </row>
    <row r="231" spans="1:17" hidden="1" x14ac:dyDescent="0.3">
      <c r="A231">
        <v>9121</v>
      </c>
      <c r="B231">
        <v>680</v>
      </c>
      <c r="C231">
        <v>279</v>
      </c>
      <c r="D231" t="s">
        <v>23</v>
      </c>
      <c r="E231" t="s">
        <v>16</v>
      </c>
      <c r="F231" t="s">
        <v>17</v>
      </c>
      <c r="G231" t="s">
        <v>22</v>
      </c>
      <c r="H231">
        <v>273.8</v>
      </c>
      <c r="I231">
        <v>248.5</v>
      </c>
      <c r="J231">
        <v>97.9</v>
      </c>
      <c r="K231">
        <v>65.5</v>
      </c>
      <c r="L231">
        <v>24.9</v>
      </c>
      <c r="M231">
        <v>4</v>
      </c>
      <c r="N231">
        <v>0.24240033498528801</v>
      </c>
      <c r="O231">
        <v>0.35960507677909698</v>
      </c>
      <c r="P231" t="str">
        <f t="shared" si="6"/>
        <v>F</v>
      </c>
      <c r="Q231" t="str">
        <f t="shared" si="7"/>
        <v>F</v>
      </c>
    </row>
    <row r="232" spans="1:17" hidden="1" x14ac:dyDescent="0.3">
      <c r="A232">
        <v>9122</v>
      </c>
      <c r="B232">
        <v>680</v>
      </c>
      <c r="C232">
        <v>279</v>
      </c>
      <c r="D232" t="s">
        <v>23</v>
      </c>
      <c r="E232" t="s">
        <v>16</v>
      </c>
      <c r="F232" t="s">
        <v>17</v>
      </c>
      <c r="G232" t="s">
        <v>22</v>
      </c>
      <c r="H232">
        <v>273.8</v>
      </c>
      <c r="I232">
        <v>248.5</v>
      </c>
      <c r="J232">
        <v>97.9</v>
      </c>
      <c r="K232">
        <v>65.5</v>
      </c>
      <c r="L232">
        <v>24.9</v>
      </c>
      <c r="M232">
        <v>4</v>
      </c>
      <c r="N232">
        <v>0.22473033022599001</v>
      </c>
      <c r="O232">
        <v>0.39041408070622802</v>
      </c>
      <c r="P232" t="str">
        <f t="shared" si="6"/>
        <v>F</v>
      </c>
      <c r="Q232" t="str">
        <f t="shared" si="7"/>
        <v>F</v>
      </c>
    </row>
    <row r="233" spans="1:17" hidden="1" x14ac:dyDescent="0.3">
      <c r="A233">
        <v>9123</v>
      </c>
      <c r="B233">
        <v>680</v>
      </c>
      <c r="C233">
        <v>279</v>
      </c>
      <c r="D233" t="s">
        <v>23</v>
      </c>
      <c r="E233" t="s">
        <v>16</v>
      </c>
      <c r="F233" t="s">
        <v>17</v>
      </c>
      <c r="G233" t="s">
        <v>22</v>
      </c>
      <c r="H233">
        <v>273.8</v>
      </c>
      <c r="I233">
        <v>248.5</v>
      </c>
      <c r="J233">
        <v>97.9</v>
      </c>
      <c r="K233">
        <v>65.5</v>
      </c>
      <c r="L233">
        <v>24.9</v>
      </c>
      <c r="M233">
        <v>4</v>
      </c>
      <c r="N233">
        <v>0.23986712798408699</v>
      </c>
      <c r="O233">
        <v>0.365943445045181</v>
      </c>
      <c r="P233" t="str">
        <f t="shared" si="6"/>
        <v>F</v>
      </c>
      <c r="Q233" t="str">
        <f t="shared" si="7"/>
        <v>F</v>
      </c>
    </row>
    <row r="234" spans="1:17" hidden="1" x14ac:dyDescent="0.3">
      <c r="A234">
        <v>9169</v>
      </c>
      <c r="B234">
        <v>697</v>
      </c>
      <c r="C234">
        <v>300</v>
      </c>
      <c r="D234" t="s">
        <v>23</v>
      </c>
      <c r="E234" t="s">
        <v>16</v>
      </c>
      <c r="F234" t="s">
        <v>17</v>
      </c>
      <c r="G234" t="s">
        <v>26</v>
      </c>
      <c r="H234">
        <v>271.5</v>
      </c>
      <c r="I234">
        <v>258.5</v>
      </c>
      <c r="J234">
        <v>98.7</v>
      </c>
      <c r="K234">
        <v>64</v>
      </c>
      <c r="L234">
        <v>23.3</v>
      </c>
      <c r="M234">
        <v>8.5</v>
      </c>
      <c r="N234">
        <v>0.24347708950152799</v>
      </c>
      <c r="O234">
        <v>0.21588114973014599</v>
      </c>
      <c r="P234" t="str">
        <f t="shared" si="6"/>
        <v>F</v>
      </c>
      <c r="Q234" t="str">
        <f t="shared" si="7"/>
        <v>T</v>
      </c>
    </row>
    <row r="235" spans="1:17" hidden="1" x14ac:dyDescent="0.3">
      <c r="A235">
        <v>9170</v>
      </c>
      <c r="B235">
        <v>697</v>
      </c>
      <c r="C235">
        <v>300</v>
      </c>
      <c r="D235" t="s">
        <v>23</v>
      </c>
      <c r="E235" t="s">
        <v>16</v>
      </c>
      <c r="F235" t="s">
        <v>17</v>
      </c>
      <c r="G235" t="s">
        <v>26</v>
      </c>
      <c r="H235">
        <v>271.5</v>
      </c>
      <c r="I235">
        <v>258.5</v>
      </c>
      <c r="J235">
        <v>98.7</v>
      </c>
      <c r="K235">
        <v>64</v>
      </c>
      <c r="L235">
        <v>23.3</v>
      </c>
      <c r="M235">
        <v>8.5</v>
      </c>
      <c r="N235">
        <v>0.22234622995659201</v>
      </c>
      <c r="O235">
        <v>0.20455177100566499</v>
      </c>
      <c r="P235" t="str">
        <f t="shared" si="6"/>
        <v>F</v>
      </c>
      <c r="Q235" t="str">
        <f t="shared" si="7"/>
        <v>T</v>
      </c>
    </row>
    <row r="236" spans="1:17" hidden="1" x14ac:dyDescent="0.3">
      <c r="A236">
        <v>9232</v>
      </c>
      <c r="B236">
        <v>72</v>
      </c>
      <c r="C236">
        <v>350</v>
      </c>
      <c r="D236" t="s">
        <v>23</v>
      </c>
      <c r="E236" t="s">
        <v>16</v>
      </c>
      <c r="F236" t="s">
        <v>21</v>
      </c>
      <c r="G236" t="s">
        <v>22</v>
      </c>
      <c r="H236">
        <v>271.60000000000002</v>
      </c>
      <c r="I236">
        <v>240.5</v>
      </c>
      <c r="J236">
        <v>93.3</v>
      </c>
      <c r="K236">
        <v>65</v>
      </c>
      <c r="L236">
        <v>23.4</v>
      </c>
      <c r="M236">
        <v>7.5</v>
      </c>
      <c r="N236">
        <v>0.280385646530739</v>
      </c>
      <c r="O236">
        <v>0.376741944164728</v>
      </c>
      <c r="P236" t="str">
        <f t="shared" si="6"/>
        <v>F</v>
      </c>
      <c r="Q236" t="str">
        <f t="shared" si="7"/>
        <v>F</v>
      </c>
    </row>
    <row r="237" spans="1:17" hidden="1" x14ac:dyDescent="0.3">
      <c r="A237">
        <v>9233</v>
      </c>
      <c r="B237">
        <v>72</v>
      </c>
      <c r="C237">
        <v>350</v>
      </c>
      <c r="D237" t="s">
        <v>23</v>
      </c>
      <c r="E237" t="s">
        <v>16</v>
      </c>
      <c r="F237" t="s">
        <v>21</v>
      </c>
      <c r="G237" t="s">
        <v>22</v>
      </c>
      <c r="H237">
        <v>271.60000000000002</v>
      </c>
      <c r="I237">
        <v>240.5</v>
      </c>
      <c r="J237">
        <v>93.3</v>
      </c>
      <c r="K237">
        <v>65</v>
      </c>
      <c r="L237">
        <v>23.4</v>
      </c>
      <c r="M237">
        <v>7.5</v>
      </c>
      <c r="N237">
        <v>0.28613222318892001</v>
      </c>
      <c r="O237">
        <v>0.40655536020472099</v>
      </c>
      <c r="P237" t="str">
        <f t="shared" si="6"/>
        <v>F</v>
      </c>
      <c r="Q237" t="str">
        <f t="shared" si="7"/>
        <v>F</v>
      </c>
    </row>
    <row r="238" spans="1:17" hidden="1" x14ac:dyDescent="0.3">
      <c r="A238">
        <v>9234</v>
      </c>
      <c r="B238">
        <v>72</v>
      </c>
      <c r="C238">
        <v>350</v>
      </c>
      <c r="D238" t="s">
        <v>23</v>
      </c>
      <c r="E238" t="s">
        <v>16</v>
      </c>
      <c r="F238" t="s">
        <v>21</v>
      </c>
      <c r="G238" t="s">
        <v>22</v>
      </c>
      <c r="H238">
        <v>271.60000000000002</v>
      </c>
      <c r="I238">
        <v>240.5</v>
      </c>
      <c r="J238">
        <v>93.3</v>
      </c>
      <c r="K238">
        <v>65</v>
      </c>
      <c r="L238">
        <v>23.4</v>
      </c>
      <c r="M238">
        <v>7.5</v>
      </c>
      <c r="N238">
        <v>0.27142469685870302</v>
      </c>
      <c r="O238">
        <v>0.38422361666066002</v>
      </c>
      <c r="P238" t="str">
        <f t="shared" si="6"/>
        <v>F</v>
      </c>
      <c r="Q238" t="str">
        <f t="shared" si="7"/>
        <v>F</v>
      </c>
    </row>
    <row r="239" spans="1:17" hidden="1" x14ac:dyDescent="0.3">
      <c r="A239">
        <v>9235</v>
      </c>
      <c r="B239">
        <v>72</v>
      </c>
      <c r="C239">
        <v>350</v>
      </c>
      <c r="D239" t="s">
        <v>23</v>
      </c>
      <c r="E239" t="s">
        <v>16</v>
      </c>
      <c r="F239" t="s">
        <v>21</v>
      </c>
      <c r="G239" t="s">
        <v>22</v>
      </c>
      <c r="H239">
        <v>271.60000000000002</v>
      </c>
      <c r="I239">
        <v>240.5</v>
      </c>
      <c r="J239">
        <v>93.3</v>
      </c>
      <c r="K239">
        <v>65</v>
      </c>
      <c r="L239">
        <v>23.4</v>
      </c>
      <c r="M239">
        <v>7.5</v>
      </c>
      <c r="N239">
        <v>0.25957605485364299</v>
      </c>
      <c r="O239">
        <v>0.38986658756215498</v>
      </c>
      <c r="P239" t="str">
        <f t="shared" si="6"/>
        <v>F</v>
      </c>
      <c r="Q239" t="str">
        <f t="shared" si="7"/>
        <v>F</v>
      </c>
    </row>
    <row r="240" spans="1:17" hidden="1" x14ac:dyDescent="0.3">
      <c r="A240">
        <v>9274</v>
      </c>
      <c r="B240">
        <v>735</v>
      </c>
      <c r="C240">
        <v>279</v>
      </c>
      <c r="D240" t="s">
        <v>23</v>
      </c>
      <c r="E240" t="s">
        <v>16</v>
      </c>
      <c r="F240" t="s">
        <v>21</v>
      </c>
      <c r="G240" t="s">
        <v>18</v>
      </c>
      <c r="H240">
        <v>273.8</v>
      </c>
      <c r="I240">
        <v>248.5</v>
      </c>
      <c r="J240">
        <v>97.9</v>
      </c>
      <c r="K240">
        <v>65.5</v>
      </c>
      <c r="L240">
        <v>24.9</v>
      </c>
      <c r="M240">
        <v>4</v>
      </c>
      <c r="N240">
        <v>0.24014156993408201</v>
      </c>
      <c r="O240">
        <v>0.39556764453104898</v>
      </c>
      <c r="P240" t="str">
        <f t="shared" si="6"/>
        <v>F</v>
      </c>
      <c r="Q240" t="str">
        <f t="shared" si="7"/>
        <v>F</v>
      </c>
    </row>
    <row r="241" spans="1:17" hidden="1" x14ac:dyDescent="0.3">
      <c r="A241">
        <v>9285</v>
      </c>
      <c r="B241">
        <v>74</v>
      </c>
      <c r="C241">
        <v>20</v>
      </c>
      <c r="D241" t="s">
        <v>23</v>
      </c>
      <c r="E241" t="s">
        <v>16</v>
      </c>
      <c r="F241" t="s">
        <v>21</v>
      </c>
      <c r="G241" t="s">
        <v>26</v>
      </c>
      <c r="H241">
        <v>282.7</v>
      </c>
      <c r="I241">
        <v>260</v>
      </c>
      <c r="J241">
        <v>103.8</v>
      </c>
      <c r="K241">
        <v>68</v>
      </c>
      <c r="L241">
        <v>26.4</v>
      </c>
      <c r="M241">
        <v>11.5</v>
      </c>
      <c r="N241">
        <v>6.8512571970480496E-2</v>
      </c>
      <c r="O241">
        <v>0.26464803207496401</v>
      </c>
      <c r="P241" t="str">
        <f t="shared" si="6"/>
        <v>T</v>
      </c>
      <c r="Q241" t="str">
        <f t="shared" si="7"/>
        <v>F</v>
      </c>
    </row>
    <row r="242" spans="1:17" hidden="1" x14ac:dyDescent="0.3">
      <c r="A242">
        <v>9385</v>
      </c>
      <c r="B242">
        <v>775</v>
      </c>
      <c r="C242">
        <v>20</v>
      </c>
      <c r="D242" t="s">
        <v>23</v>
      </c>
      <c r="E242" t="s">
        <v>16</v>
      </c>
      <c r="F242" t="s">
        <v>21</v>
      </c>
      <c r="G242" t="s">
        <v>24</v>
      </c>
      <c r="H242">
        <v>282.7</v>
      </c>
      <c r="I242">
        <v>260</v>
      </c>
      <c r="J242">
        <v>103.8</v>
      </c>
      <c r="K242">
        <v>68</v>
      </c>
      <c r="L242">
        <v>26.4</v>
      </c>
      <c r="M242">
        <v>11.5</v>
      </c>
      <c r="N242">
        <v>0.103697326281028</v>
      </c>
      <c r="O242">
        <v>0.28841845500132801</v>
      </c>
      <c r="P242" t="str">
        <f t="shared" si="6"/>
        <v>T</v>
      </c>
      <c r="Q242" t="str">
        <f t="shared" si="7"/>
        <v>F</v>
      </c>
    </row>
    <row r="243" spans="1:17" hidden="1" x14ac:dyDescent="0.3">
      <c r="A243">
        <v>9386</v>
      </c>
      <c r="B243">
        <v>775</v>
      </c>
      <c r="C243">
        <v>20</v>
      </c>
      <c r="D243" t="s">
        <v>23</v>
      </c>
      <c r="E243" t="s">
        <v>16</v>
      </c>
      <c r="F243" t="s">
        <v>21</v>
      </c>
      <c r="G243" t="s">
        <v>24</v>
      </c>
      <c r="H243">
        <v>282.7</v>
      </c>
      <c r="I243">
        <v>260</v>
      </c>
      <c r="J243">
        <v>103.8</v>
      </c>
      <c r="K243">
        <v>68</v>
      </c>
      <c r="L243">
        <v>26.4</v>
      </c>
      <c r="M243">
        <v>11.5</v>
      </c>
      <c r="N243">
        <v>9.78109152422411E-2</v>
      </c>
      <c r="O243">
        <v>0.27878136942781401</v>
      </c>
      <c r="P243" t="str">
        <f t="shared" si="6"/>
        <v>T</v>
      </c>
      <c r="Q243" t="str">
        <f t="shared" si="7"/>
        <v>F</v>
      </c>
    </row>
    <row r="244" spans="1:17" hidden="1" x14ac:dyDescent="0.3">
      <c r="A244">
        <v>9387</v>
      </c>
      <c r="B244">
        <v>775</v>
      </c>
      <c r="C244">
        <v>20</v>
      </c>
      <c r="D244" t="s">
        <v>23</v>
      </c>
      <c r="E244" t="s">
        <v>16</v>
      </c>
      <c r="F244" t="s">
        <v>21</v>
      </c>
      <c r="G244" t="s">
        <v>24</v>
      </c>
      <c r="H244">
        <v>282.7</v>
      </c>
      <c r="I244">
        <v>260</v>
      </c>
      <c r="J244">
        <v>103.8</v>
      </c>
      <c r="K244">
        <v>68</v>
      </c>
      <c r="L244">
        <v>26.4</v>
      </c>
      <c r="M244">
        <v>11.5</v>
      </c>
      <c r="N244">
        <v>8.20511713762931E-2</v>
      </c>
      <c r="O244">
        <v>0.25838365192229801</v>
      </c>
      <c r="P244" t="str">
        <f t="shared" si="6"/>
        <v>T</v>
      </c>
      <c r="Q244" t="str">
        <f t="shared" si="7"/>
        <v>F</v>
      </c>
    </row>
    <row r="245" spans="1:17" hidden="1" x14ac:dyDescent="0.3">
      <c r="A245">
        <v>9490</v>
      </c>
      <c r="B245">
        <v>814</v>
      </c>
      <c r="C245">
        <v>279</v>
      </c>
      <c r="D245" t="s">
        <v>23</v>
      </c>
      <c r="E245" t="s">
        <v>16</v>
      </c>
      <c r="F245" t="s">
        <v>17</v>
      </c>
      <c r="G245" t="s">
        <v>18</v>
      </c>
      <c r="H245">
        <v>273.8</v>
      </c>
      <c r="I245">
        <v>248.5</v>
      </c>
      <c r="J245">
        <v>97.9</v>
      </c>
      <c r="K245">
        <v>65.5</v>
      </c>
      <c r="L245">
        <v>24.9</v>
      </c>
      <c r="M245">
        <v>4</v>
      </c>
      <c r="N245">
        <v>0.232600572176964</v>
      </c>
      <c r="O245">
        <v>0.365011697928872</v>
      </c>
      <c r="P245" t="str">
        <f t="shared" si="6"/>
        <v>F</v>
      </c>
      <c r="Q245" t="str">
        <f t="shared" si="7"/>
        <v>F</v>
      </c>
    </row>
    <row r="246" spans="1:17" hidden="1" x14ac:dyDescent="0.3">
      <c r="A246">
        <v>9491</v>
      </c>
      <c r="B246">
        <v>814</v>
      </c>
      <c r="C246">
        <v>279</v>
      </c>
      <c r="D246" t="s">
        <v>23</v>
      </c>
      <c r="E246" t="s">
        <v>16</v>
      </c>
      <c r="F246" t="s">
        <v>17</v>
      </c>
      <c r="G246" t="s">
        <v>18</v>
      </c>
      <c r="H246">
        <v>273.8</v>
      </c>
      <c r="I246">
        <v>248.5</v>
      </c>
      <c r="J246">
        <v>97.9</v>
      </c>
      <c r="K246">
        <v>65.5</v>
      </c>
      <c r="L246">
        <v>24.9</v>
      </c>
      <c r="M246">
        <v>4</v>
      </c>
      <c r="N246">
        <v>0.24402850374006901</v>
      </c>
      <c r="O246">
        <v>0.38980018836122299</v>
      </c>
      <c r="P246" t="str">
        <f t="shared" si="6"/>
        <v>F</v>
      </c>
      <c r="Q246" t="str">
        <f t="shared" si="7"/>
        <v>F</v>
      </c>
    </row>
    <row r="247" spans="1:17" hidden="1" x14ac:dyDescent="0.3">
      <c r="A247">
        <v>9492</v>
      </c>
      <c r="B247">
        <v>814</v>
      </c>
      <c r="C247">
        <v>279</v>
      </c>
      <c r="D247" t="s">
        <v>23</v>
      </c>
      <c r="E247" t="s">
        <v>16</v>
      </c>
      <c r="F247" t="s">
        <v>17</v>
      </c>
      <c r="G247" t="s">
        <v>18</v>
      </c>
      <c r="H247">
        <v>273.8</v>
      </c>
      <c r="I247">
        <v>248.5</v>
      </c>
      <c r="J247">
        <v>97.9</v>
      </c>
      <c r="K247">
        <v>65.5</v>
      </c>
      <c r="L247">
        <v>24.9</v>
      </c>
      <c r="M247">
        <v>4</v>
      </c>
      <c r="N247">
        <v>0.22523175835155701</v>
      </c>
      <c r="O247">
        <v>0.37853755913300302</v>
      </c>
      <c r="P247" t="str">
        <f t="shared" si="6"/>
        <v>F</v>
      </c>
      <c r="Q247" t="str">
        <f t="shared" si="7"/>
        <v>F</v>
      </c>
    </row>
    <row r="248" spans="1:17" hidden="1" x14ac:dyDescent="0.3">
      <c r="A248">
        <v>9493</v>
      </c>
      <c r="B248">
        <v>814</v>
      </c>
      <c r="C248">
        <v>279</v>
      </c>
      <c r="D248" t="s">
        <v>23</v>
      </c>
      <c r="E248" t="s">
        <v>16</v>
      </c>
      <c r="F248" t="s">
        <v>17</v>
      </c>
      <c r="G248" t="s">
        <v>18</v>
      </c>
      <c r="H248">
        <v>273.8</v>
      </c>
      <c r="I248">
        <v>248.5</v>
      </c>
      <c r="J248">
        <v>97.9</v>
      </c>
      <c r="K248">
        <v>65.5</v>
      </c>
      <c r="L248">
        <v>24.9</v>
      </c>
      <c r="M248">
        <v>4</v>
      </c>
      <c r="N248">
        <v>0.22425124129699101</v>
      </c>
      <c r="O248">
        <v>0.36567199050921101</v>
      </c>
      <c r="P248" t="str">
        <f t="shared" si="6"/>
        <v>F</v>
      </c>
      <c r="Q248" t="str">
        <f t="shared" si="7"/>
        <v>F</v>
      </c>
    </row>
    <row r="249" spans="1:17" hidden="1" x14ac:dyDescent="0.3">
      <c r="A249">
        <v>9768</v>
      </c>
      <c r="B249">
        <v>917</v>
      </c>
      <c r="C249">
        <v>279</v>
      </c>
      <c r="D249" t="s">
        <v>23</v>
      </c>
      <c r="E249" t="s">
        <v>16</v>
      </c>
      <c r="F249" t="s">
        <v>17</v>
      </c>
      <c r="G249" t="s">
        <v>25</v>
      </c>
      <c r="H249">
        <v>273.8</v>
      </c>
      <c r="I249">
        <v>248.5</v>
      </c>
      <c r="J249">
        <v>97.9</v>
      </c>
      <c r="K249">
        <v>65.5</v>
      </c>
      <c r="L249">
        <v>24.9</v>
      </c>
      <c r="M249">
        <v>4</v>
      </c>
      <c r="N249">
        <v>0.244158011031958</v>
      </c>
      <c r="O249">
        <v>0.38278594510179198</v>
      </c>
      <c r="P249" t="str">
        <f t="shared" si="6"/>
        <v>F</v>
      </c>
      <c r="Q249" t="str">
        <f t="shared" si="7"/>
        <v>F</v>
      </c>
    </row>
    <row r="250" spans="1:17" hidden="1" x14ac:dyDescent="0.3">
      <c r="A250">
        <v>9769</v>
      </c>
      <c r="B250">
        <v>917</v>
      </c>
      <c r="C250">
        <v>279</v>
      </c>
      <c r="D250" t="s">
        <v>23</v>
      </c>
      <c r="E250" t="s">
        <v>16</v>
      </c>
      <c r="F250" t="s">
        <v>17</v>
      </c>
      <c r="G250" t="s">
        <v>25</v>
      </c>
      <c r="H250">
        <v>273.8</v>
      </c>
      <c r="I250">
        <v>248.5</v>
      </c>
      <c r="J250">
        <v>97.9</v>
      </c>
      <c r="K250">
        <v>65.5</v>
      </c>
      <c r="L250">
        <v>24.9</v>
      </c>
      <c r="M250">
        <v>4</v>
      </c>
      <c r="N250">
        <v>0.24456743295460801</v>
      </c>
      <c r="O250">
        <v>0.36385007541988101</v>
      </c>
      <c r="P250" t="str">
        <f t="shared" si="6"/>
        <v>F</v>
      </c>
      <c r="Q250" t="str">
        <f t="shared" si="7"/>
        <v>F</v>
      </c>
    </row>
    <row r="251" spans="1:17" hidden="1" x14ac:dyDescent="0.3">
      <c r="A251">
        <v>9784</v>
      </c>
      <c r="B251">
        <v>924</v>
      </c>
      <c r="C251">
        <v>20</v>
      </c>
      <c r="D251" t="s">
        <v>23</v>
      </c>
      <c r="E251" t="s">
        <v>16</v>
      </c>
      <c r="F251" t="s">
        <v>21</v>
      </c>
      <c r="G251" t="s">
        <v>22</v>
      </c>
      <c r="H251">
        <v>282.7</v>
      </c>
      <c r="I251">
        <v>260</v>
      </c>
      <c r="J251">
        <v>103.8</v>
      </c>
      <c r="K251">
        <v>68</v>
      </c>
      <c r="L251">
        <v>26.4</v>
      </c>
      <c r="M251">
        <v>11.5</v>
      </c>
      <c r="N251">
        <v>6.5698573929154597E-2</v>
      </c>
      <c r="O251">
        <v>0.25490386947511301</v>
      </c>
      <c r="P251" t="str">
        <f t="shared" si="6"/>
        <v>T</v>
      </c>
      <c r="Q251" t="str">
        <f t="shared" si="7"/>
        <v>F</v>
      </c>
    </row>
    <row r="252" spans="1:17" hidden="1" x14ac:dyDescent="0.3">
      <c r="A252">
        <v>9785</v>
      </c>
      <c r="B252">
        <v>924</v>
      </c>
      <c r="C252">
        <v>20</v>
      </c>
      <c r="D252" t="s">
        <v>23</v>
      </c>
      <c r="E252" t="s">
        <v>16</v>
      </c>
      <c r="F252" t="s">
        <v>21</v>
      </c>
      <c r="G252" t="s">
        <v>22</v>
      </c>
      <c r="H252">
        <v>282.7</v>
      </c>
      <c r="I252">
        <v>260</v>
      </c>
      <c r="J252">
        <v>103.8</v>
      </c>
      <c r="K252">
        <v>68</v>
      </c>
      <c r="L252">
        <v>26.4</v>
      </c>
      <c r="M252">
        <v>11.5</v>
      </c>
      <c r="N252">
        <v>9.3935458141786402E-2</v>
      </c>
      <c r="O252">
        <v>0.26741723903284498</v>
      </c>
      <c r="P252" t="str">
        <f t="shared" si="6"/>
        <v>T</v>
      </c>
      <c r="Q252" t="str">
        <f t="shared" si="7"/>
        <v>F</v>
      </c>
    </row>
    <row r="253" spans="1:17" hidden="1" x14ac:dyDescent="0.3">
      <c r="A253">
        <v>9786</v>
      </c>
      <c r="B253">
        <v>924</v>
      </c>
      <c r="C253">
        <v>20</v>
      </c>
      <c r="D253" t="s">
        <v>23</v>
      </c>
      <c r="E253" t="s">
        <v>16</v>
      </c>
      <c r="F253" t="s">
        <v>21</v>
      </c>
      <c r="G253" t="s">
        <v>22</v>
      </c>
      <c r="H253">
        <v>282.7</v>
      </c>
      <c r="I253">
        <v>260</v>
      </c>
      <c r="J253">
        <v>103.8</v>
      </c>
      <c r="K253">
        <v>68</v>
      </c>
      <c r="L253">
        <v>26.4</v>
      </c>
      <c r="M253">
        <v>11.5</v>
      </c>
      <c r="N253">
        <v>9.6447783520118902E-2</v>
      </c>
      <c r="O253">
        <v>0.28366224070968599</v>
      </c>
      <c r="P253" t="str">
        <f t="shared" si="6"/>
        <v>T</v>
      </c>
      <c r="Q253" t="str">
        <f t="shared" si="7"/>
        <v>F</v>
      </c>
    </row>
    <row r="254" spans="1:17" hidden="1" x14ac:dyDescent="0.3">
      <c r="A254">
        <v>9787</v>
      </c>
      <c r="B254">
        <v>924</v>
      </c>
      <c r="C254">
        <v>20</v>
      </c>
      <c r="D254" t="s">
        <v>23</v>
      </c>
      <c r="E254" t="s">
        <v>16</v>
      </c>
      <c r="F254" t="s">
        <v>21</v>
      </c>
      <c r="G254" t="s">
        <v>22</v>
      </c>
      <c r="H254">
        <v>282.7</v>
      </c>
      <c r="I254">
        <v>260</v>
      </c>
      <c r="J254">
        <v>103.8</v>
      </c>
      <c r="K254">
        <v>68</v>
      </c>
      <c r="L254">
        <v>26.4</v>
      </c>
      <c r="M254">
        <v>11.5</v>
      </c>
      <c r="N254">
        <v>8.22785841766321E-2</v>
      </c>
      <c r="O254">
        <v>0.27245742367361803</v>
      </c>
      <c r="P254" t="str">
        <f t="shared" si="6"/>
        <v>T</v>
      </c>
      <c r="Q254" t="str">
        <f t="shared" si="7"/>
        <v>F</v>
      </c>
    </row>
    <row r="255" spans="1:17" hidden="1" x14ac:dyDescent="0.3">
      <c r="A255">
        <v>9788</v>
      </c>
      <c r="B255">
        <v>924</v>
      </c>
      <c r="C255">
        <v>20</v>
      </c>
      <c r="D255" t="s">
        <v>23</v>
      </c>
      <c r="E255" t="s">
        <v>16</v>
      </c>
      <c r="F255" t="s">
        <v>21</v>
      </c>
      <c r="G255" t="s">
        <v>22</v>
      </c>
      <c r="H255">
        <v>282.7</v>
      </c>
      <c r="I255">
        <v>260</v>
      </c>
      <c r="J255">
        <v>103.8</v>
      </c>
      <c r="K255">
        <v>68</v>
      </c>
      <c r="L255">
        <v>26.4</v>
      </c>
      <c r="M255">
        <v>11.5</v>
      </c>
      <c r="N255">
        <v>8.8416981395820701E-2</v>
      </c>
      <c r="O255">
        <v>0.25366879425352701</v>
      </c>
      <c r="P255" t="str">
        <f t="shared" si="6"/>
        <v>T</v>
      </c>
      <c r="Q255" t="str">
        <f t="shared" si="7"/>
        <v>F</v>
      </c>
    </row>
    <row r="256" spans="1:17" hidden="1" x14ac:dyDescent="0.3">
      <c r="A256">
        <v>9789</v>
      </c>
      <c r="B256">
        <v>924</v>
      </c>
      <c r="C256">
        <v>20</v>
      </c>
      <c r="D256" t="s">
        <v>23</v>
      </c>
      <c r="E256" t="s">
        <v>16</v>
      </c>
      <c r="F256" t="s">
        <v>21</v>
      </c>
      <c r="G256" t="s">
        <v>22</v>
      </c>
      <c r="H256">
        <v>282.7</v>
      </c>
      <c r="I256">
        <v>260</v>
      </c>
      <c r="J256">
        <v>103.8</v>
      </c>
      <c r="K256">
        <v>68</v>
      </c>
      <c r="L256">
        <v>26.4</v>
      </c>
      <c r="M256">
        <v>11.5</v>
      </c>
      <c r="N256">
        <v>8.9047837662558305E-2</v>
      </c>
      <c r="O256">
        <v>0.28640415213572801</v>
      </c>
      <c r="P256" t="str">
        <f t="shared" si="6"/>
        <v>T</v>
      </c>
      <c r="Q256" t="str">
        <f t="shared" si="7"/>
        <v>F</v>
      </c>
    </row>
    <row r="257" spans="1:17" hidden="1" x14ac:dyDescent="0.3">
      <c r="A257">
        <v>9860</v>
      </c>
      <c r="B257">
        <v>955</v>
      </c>
      <c r="C257">
        <v>279</v>
      </c>
      <c r="D257" t="s">
        <v>23</v>
      </c>
      <c r="E257" t="s">
        <v>16</v>
      </c>
      <c r="F257" t="s">
        <v>21</v>
      </c>
      <c r="G257" t="s">
        <v>22</v>
      </c>
      <c r="H257">
        <v>273.8</v>
      </c>
      <c r="I257">
        <v>248.5</v>
      </c>
      <c r="J257">
        <v>97.9</v>
      </c>
      <c r="K257">
        <v>65.5</v>
      </c>
      <c r="L257">
        <v>24.9</v>
      </c>
      <c r="M257">
        <v>4</v>
      </c>
      <c r="N257">
        <v>0.230509918727371</v>
      </c>
      <c r="O257">
        <v>0.37473994005633499</v>
      </c>
      <c r="P257" t="str">
        <f t="shared" si="6"/>
        <v>F</v>
      </c>
      <c r="Q257" t="str">
        <f t="shared" si="7"/>
        <v>F</v>
      </c>
    </row>
    <row r="258" spans="1:17" hidden="1" x14ac:dyDescent="0.3">
      <c r="A258">
        <v>9861</v>
      </c>
      <c r="B258">
        <v>955</v>
      </c>
      <c r="C258">
        <v>279</v>
      </c>
      <c r="D258" t="s">
        <v>23</v>
      </c>
      <c r="E258" t="s">
        <v>16</v>
      </c>
      <c r="F258" t="s">
        <v>21</v>
      </c>
      <c r="G258" t="s">
        <v>22</v>
      </c>
      <c r="H258">
        <v>273.8</v>
      </c>
      <c r="I258">
        <v>248.5</v>
      </c>
      <c r="J258">
        <v>97.9</v>
      </c>
      <c r="K258">
        <v>65.5</v>
      </c>
      <c r="L258">
        <v>24.9</v>
      </c>
      <c r="M258">
        <v>4</v>
      </c>
      <c r="N258">
        <v>0.24737149066098499</v>
      </c>
      <c r="O258">
        <v>0.37107771858668098</v>
      </c>
      <c r="P258" t="str">
        <f t="shared" si="6"/>
        <v>F</v>
      </c>
      <c r="Q258" t="str">
        <f t="shared" si="7"/>
        <v>F</v>
      </c>
    </row>
    <row r="259" spans="1:17" hidden="1" x14ac:dyDescent="0.3">
      <c r="A259">
        <v>9862</v>
      </c>
      <c r="B259">
        <v>955</v>
      </c>
      <c r="C259">
        <v>279</v>
      </c>
      <c r="D259" t="s">
        <v>23</v>
      </c>
      <c r="E259" t="s">
        <v>16</v>
      </c>
      <c r="F259" t="s">
        <v>21</v>
      </c>
      <c r="G259" t="s">
        <v>22</v>
      </c>
      <c r="H259">
        <v>273.8</v>
      </c>
      <c r="I259">
        <v>248.5</v>
      </c>
      <c r="J259">
        <v>97.9</v>
      </c>
      <c r="K259">
        <v>65.5</v>
      </c>
      <c r="L259">
        <v>24.9</v>
      </c>
      <c r="M259">
        <v>4</v>
      </c>
      <c r="N259">
        <v>0.24053625734032799</v>
      </c>
      <c r="O259">
        <v>0.39670998485765002</v>
      </c>
      <c r="P259" t="str">
        <f t="shared" ref="P259:P261" si="8">IF(N259&lt;0.140836, "T", "F")</f>
        <v>F</v>
      </c>
      <c r="Q259" t="str">
        <f t="shared" ref="Q259:Q261" si="9">IF(O259&lt;0.245351, "T", "F")</f>
        <v>F</v>
      </c>
    </row>
    <row r="260" spans="1:17" hidden="1" x14ac:dyDescent="0.3">
      <c r="A260">
        <v>9863</v>
      </c>
      <c r="B260">
        <v>955</v>
      </c>
      <c r="C260">
        <v>279</v>
      </c>
      <c r="D260" t="s">
        <v>23</v>
      </c>
      <c r="E260" t="s">
        <v>16</v>
      </c>
      <c r="F260" t="s">
        <v>21</v>
      </c>
      <c r="G260" t="s">
        <v>22</v>
      </c>
      <c r="H260">
        <v>273.8</v>
      </c>
      <c r="I260">
        <v>248.5</v>
      </c>
      <c r="J260">
        <v>97.9</v>
      </c>
      <c r="K260">
        <v>65.5</v>
      </c>
      <c r="L260">
        <v>24.9</v>
      </c>
      <c r="M260">
        <v>4</v>
      </c>
      <c r="N260">
        <v>0.238359033427995</v>
      </c>
      <c r="O260">
        <v>0.37821852932297301</v>
      </c>
      <c r="P260" t="str">
        <f t="shared" si="8"/>
        <v>F</v>
      </c>
      <c r="Q260" t="str">
        <f t="shared" si="9"/>
        <v>F</v>
      </c>
    </row>
    <row r="261" spans="1:17" hidden="1" x14ac:dyDescent="0.3">
      <c r="A261">
        <v>9972</v>
      </c>
      <c r="B261">
        <v>99</v>
      </c>
      <c r="C261">
        <v>461</v>
      </c>
      <c r="D261" t="s">
        <v>23</v>
      </c>
      <c r="E261" t="s">
        <v>16</v>
      </c>
      <c r="F261" t="s">
        <v>21</v>
      </c>
      <c r="G261" t="s">
        <v>18</v>
      </c>
      <c r="H261">
        <v>276.60000000000002</v>
      </c>
      <c r="I261">
        <v>260.5</v>
      </c>
      <c r="J261">
        <v>98.2</v>
      </c>
      <c r="K261">
        <v>68</v>
      </c>
      <c r="L261">
        <v>26.5</v>
      </c>
      <c r="M261">
        <v>6</v>
      </c>
      <c r="N261">
        <v>0.20308075530115499</v>
      </c>
      <c r="O261">
        <v>0.27238727077140201</v>
      </c>
      <c r="P261" t="str">
        <f t="shared" si="8"/>
        <v>F</v>
      </c>
      <c r="Q261" t="str">
        <f t="shared" si="9"/>
        <v>F</v>
      </c>
    </row>
  </sheetData>
  <autoFilter ref="A1:Q261" xr:uid="{BA0C5AD2-DCA2-4BDE-A8EC-9354F8D4B485}">
    <filterColumn colId="15">
      <filters>
        <filter val="T"/>
      </filters>
    </filterColumn>
    <filterColumn colId="16">
      <filters>
        <filter val="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all_data</vt:lpstr>
      <vt:lpstr>female_football</vt:lpstr>
      <vt:lpstr>male_football</vt:lpstr>
      <vt:lpstr>female_running</vt:lpstr>
      <vt:lpstr>male_running</vt:lpstr>
      <vt:lpstr>male_basketball</vt:lpstr>
      <vt:lpstr>female_basketball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Ekaansh Khosla</dc:creator>
  <cp:lastModifiedBy>Ekaansh Khosla</cp:lastModifiedBy>
  <dcterms:created xsi:type="dcterms:W3CDTF">2015-06-05T18:17:20Z</dcterms:created>
  <dcterms:modified xsi:type="dcterms:W3CDTF">2024-04-23T16:36:30Z</dcterms:modified>
</cp:coreProperties>
</file>